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iralles/Documents/GitHub/vacantes/"/>
    </mc:Choice>
  </mc:AlternateContent>
  <xr:revisionPtr revIDLastSave="0" documentId="13_ncr:1_{FC1C63C0-1337-0C4D-A76A-F0CE9D9C322A}" xr6:coauthVersionLast="47" xr6:coauthVersionMax="47" xr10:uidLastSave="{00000000-0000-0000-0000-000000000000}"/>
  <bookViews>
    <workbookView xWindow="6300" yWindow="2220" windowWidth="21840" windowHeight="14800" tabRatio="500" activeTab="0" xr2:uid="{00000000-000D-0000-FFFF-FFFF00000000}"/>
  </bookViews>
  <sheets>
    <sheet name="Portada" sheetId="8" r:id="rId11"/>
    <sheet name="Instrucciones" sheetId="10" r:id="rId13"/>
    <sheet name="Docentes" sheetId="9" r:id="rId12"/>
    <sheet name="Validaciones" sheetId="1" state="hidden" r:id="rId1"/>
    <sheet name="Dashboard" sheetId="2" r:id="rId2"/>
    <sheet name="Registro" sheetId="3" r:id="rId3"/>
    <sheet name="Aux" sheetId="4" state="hidden" r:id="rId4"/>
    <sheet name="Registro Refuerzo" sheetId="5" r:id="rId5"/>
    <sheet name="Aux Refuerzo" sheetId="6" state="hidden" r:id="rId6"/>
    <sheet name="Contador Refuerzo" sheetId="7" r:id="rId7"/>
    <sheet name="Informe · Bajas" sheetId="11" r:id="rId14"/>
    <sheet name="Informe · Horas disponibles" sheetId="12" r:id="rId15"/>
    <sheet name="Informe · Capacidad ociosa" sheetId="13" r:id="rId16"/>
    <sheet name="Informe · Refuerzos" sheetId="14" r:id="rId17"/>
    <sheet name="Informe · Horas por docente" sheetId="15" r:id="rId18"/>
    <sheet name="Memoria anual" sheetId="16" r:id="rId19"/>
  </sheets>
  <definedNames>
    <definedName name="ListaDocentes">OFFSET(Docentes!$A$2,0,0,MAX(1,COUNTA(Docentes!$A$2:$A$251)),1)</definedName>
    <definedName name="_xlnm.Print_Titles" localSheetId="10">'Informe · Bajas'!$12:$12</definedName>
    <definedName name="_xlnm.Print_Titles" localSheetId="11">'Informe · Horas disponibles'!$8:$8</definedName>
    <definedName name="_xlnm.Print_Titles" localSheetId="12">'Informe · Capacidad ociosa'!$8:$8</definedName>
    <definedName name="_xlnm.Print_Titles" localSheetId="14">'Informe · Horas por docente'!$6:$6</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<sst xmlns="http://schemas.openxmlformats.org/spreadsheetml/2006/main" count="260" uniqueCount="123">
  <si>
    <t>Especialidades</t>
  </si>
  <si>
    <t>Cursos</t>
  </si>
  <si>
    <t>Motivo de Vacante</t>
  </si>
  <si>
    <t>Estado Vacante</t>
  </si>
  <si>
    <t>Sí/No</t>
  </si>
  <si>
    <t>Duración</t>
  </si>
  <si>
    <t>Especialidades Teóricas</t>
  </si>
  <si>
    <t>Estado Refuerzo</t>
  </si>
  <si>
    <t>ACORDEÓN</t>
  </si>
  <si>
    <t>EEM 1º</t>
  </si>
  <si>
    <t>Vacante post matrícula</t>
  </si>
  <si>
    <t>Disponible</t>
  </si>
  <si>
    <t>Sí</t>
  </si>
  <si>
    <t>30 minutos</t>
  </si>
  <si>
    <t>LENGUAJE MUSICAL</t>
  </si>
  <si>
    <t>Activo</t>
  </si>
  <si>
    <t>ARPA</t>
  </si>
  <si>
    <t>EEM 2º</t>
  </si>
  <si>
    <t>Baja / Renuncia</t>
  </si>
  <si>
    <t>En trámite</t>
  </si>
  <si>
    <t>No</t>
  </si>
  <si>
    <t>1 hora</t>
  </si>
  <si>
    <t>ARMONÍA/ANÁLISIS</t>
  </si>
  <si>
    <t>No activo</t>
  </si>
  <si>
    <t>BAJO ELÉCTRICO</t>
  </si>
  <si>
    <t>EEM 3º</t>
  </si>
  <si>
    <t>Traslado</t>
  </si>
  <si>
    <t>No disponible</t>
  </si>
  <si>
    <t>HISTORIA</t>
  </si>
  <si>
    <t>CANTO</t>
  </si>
  <si>
    <t>EEM 4º</t>
  </si>
  <si>
    <t>Otros</t>
  </si>
  <si>
    <t>CANTO VALENCIANO</t>
  </si>
  <si>
    <t>EPM 1º</t>
  </si>
  <si>
    <t>CLARINETE</t>
  </si>
  <si>
    <t>EPM 2º</t>
  </si>
  <si>
    <t>CLAVICÉMBALO</t>
  </si>
  <si>
    <t>EPM 3º</t>
  </si>
  <si>
    <t>CONTRABAJO</t>
  </si>
  <si>
    <t>EPM 4º</t>
  </si>
  <si>
    <t>DOLÇAINA</t>
  </si>
  <si>
    <t>EPM 5º</t>
  </si>
  <si>
    <t>FAGOT</t>
  </si>
  <si>
    <t>EPM 6º</t>
  </si>
  <si>
    <t>FLAUTA DE PICO</t>
  </si>
  <si>
    <t>FLAUTA TRAVERSA</t>
  </si>
  <si>
    <t>GUITARRA</t>
  </si>
  <si>
    <t>GUITARRA ELÉCTRICA</t>
  </si>
  <si>
    <t>INSTRUMENTOS DE CUERDA PULSADA DEL RENACIMIENTO Y BARROCO</t>
  </si>
  <si>
    <t>INSTRUMENTOS DE PLECTRO</t>
  </si>
  <si>
    <t>OBOE</t>
  </si>
  <si>
    <t>ÓRGANO</t>
  </si>
  <si>
    <t>PERCUSIÓN</t>
  </si>
  <si>
    <t>PIANO</t>
  </si>
  <si>
    <t>SAXOFÓN</t>
  </si>
  <si>
    <t>TROMBÓN DE VARAS</t>
  </si>
  <si>
    <t>TROMPA</t>
  </si>
  <si>
    <t>TROMPETA</t>
  </si>
  <si>
    <t>TUBA</t>
  </si>
  <si>
    <t>VIOLA</t>
  </si>
  <si>
    <t>VIOLA DA GAMBA</t>
  </si>
  <si>
    <t>VIOLÍN</t>
  </si>
  <si>
    <t>VIOLONCHELO</t>
  </si>
  <si>
    <t>PANEL DE CONTROL · VACANTES Y REFUERZOS</t>
  </si>
  <si>
    <t>VACANTES DISPONIBLES POR ESPECIALIDAD</t>
  </si>
  <si>
    <t>Especialidad</t>
  </si>
  <si>
    <t>Disponibles</t>
  </si>
  <si>
    <t>Docente y horario disponible</t>
  </si>
  <si>
    <t>VACANTES UTILIZADAS COMO REFUERZO</t>
  </si>
  <si>
    <t>Total horas completas como refuerzo:</t>
  </si>
  <si>
    <t>Medias horas usadas como refuerzo:</t>
  </si>
  <si>
    <t>RESUMEN GENERAL</t>
  </si>
  <si>
    <t>Total vacantes registradas:</t>
  </si>
  <si>
    <t>Total vacantes disponibles:</t>
  </si>
  <si>
    <t>Total vacantes en trámite:</t>
  </si>
  <si>
    <t>Total vacantes no disponibles:</t>
  </si>
  <si>
    <t>ID</t>
  </si>
  <si>
    <t>Fecha de
Introducción</t>
  </si>
  <si>
    <t>Introducido por</t>
  </si>
  <si>
    <t>Nombre del
Alumno/a</t>
  </si>
  <si>
    <t>Curso</t>
  </si>
  <si>
    <t>Observaciones
sobre Motivo</t>
  </si>
  <si>
    <t>Nombre del Docente</t>
  </si>
  <si>
    <t>Horario Original</t>
  </si>
  <si>
    <t>Nuevo Horario</t>
  </si>
  <si>
    <t>¿En uso como
Refuerzo?</t>
  </si>
  <si>
    <t>Detalle del Refuerzo</t>
  </si>
  <si>
    <t>Estado de la
Vacante</t>
  </si>
  <si>
    <t>Observaciones Generales</t>
  </si>
  <si>
    <t>_RefSlot</t>
  </si>
  <si>
    <t>_RefKey</t>
  </si>
  <si>
    <t>_RefStr</t>
  </si>
  <si>
    <t>Slot 1</t>
  </si>
  <si>
    <t>Slot 2</t>
  </si>
  <si>
    <t>Slot 3</t>
  </si>
  <si>
    <t>Slot 4</t>
  </si>
  <si>
    <t>Slot 5</t>
  </si>
  <si>
    <t>Observaciones
sobre Refuerzo</t>
  </si>
  <si>
    <t>Horario</t>
  </si>
  <si>
    <t>Estado del
Refuerzo</t>
  </si>
  <si>
    <t>_Slot</t>
  </si>
  <si>
    <t>_Key</t>
  </si>
  <si>
    <t>_Str</t>
  </si>
  <si>
    <t>Vac-Slot1</t>
  </si>
  <si>
    <t>Vac-Slot2</t>
  </si>
  <si>
    <t>Vac-Slot3</t>
  </si>
  <si>
    <t>Vac-Slot4</t>
  </si>
  <si>
    <t>Vac-Slot5</t>
  </si>
  <si>
    <t>Dir-Slot1</t>
  </si>
  <si>
    <t>Dir-Slot2</t>
  </si>
  <si>
    <t>Dir-Slot3</t>
  </si>
  <si>
    <t>Dir-Slot4</t>
  </si>
  <si>
    <t>Dir-Slot5</t>
  </si>
  <si>
    <t>REFUERZOS ACTIVOS POR ESPECIALIDAD</t>
  </si>
  <si>
    <t>REFUERZOS ACTIVOS - ESPECIALIDADES TEÓRICAS</t>
  </si>
  <si>
    <t>Refuerzos
(de vacante)</t>
  </si>
  <si>
    <t>Refuerzos
(teórico)</t>
  </si>
  <si>
    <t>Docente y horario activo</t>
  </si>
  <si>
    <t>REFUERZOS ACTIVOS - ESPECIALIDADES INSTRUMENTALES</t>
  </si>
  <si>
    <t>RESUMEN GENERAL DE REFUERZOS</t>
  </si>
  <si>
    <t>Total refuerzos de vacante activos:</t>
  </si>
  <si>
    <t>Total refuerzos sin vacante activos:</t>
  </si>
  <si>
    <t>Total refuerzos activos (ambas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</si>
</sst>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3" x14ac:knownFonts="1">
    <font>
      <sz val="11"/>
      <color theme="1"/>
      <name val="Calibri"/>
      <family val="2"/>
      <charset val="1"/>
    </font>
    <font>
      <b/>
      <sz val="10"/>
      <color rgb="FFFFFFFF"/>
      <name val="Arial"/>
      <family val="2"/>
    </font>
    <font>
      <b/>
      <sz val="16"/>
      <color rgb="FFFFFFFF"/>
      <name val="Arial"/>
      <family val="2"/>
    </font>
    <font>
      <b/>
      <sz val="12"/>
      <color rgb="FFFFFFFF"/>
      <name val="Arial"/>
      <family val="2"/>
    </font>
    <font>
      <sz val="9"/>
      <name val="Arial"/>
      <family val="2"/>
    </font>
    <font>
      <b/>
      <sz val="10"/>
      <name val="Arial"/>
      <family val="2"/>
    </font>
    <font>
      <b/>
      <sz val="11"/>
      <name val="Arial"/>
      <family val="2"/>
    </font>
    <font>
      <b/>
      <sz val="14"/>
      <color rgb="FF1B6B1B"/>
      <name val="Arial"/>
      <family val="2"/>
    </font>
    <font>
      <b/>
      <sz val="13"/>
      <name val="Arial"/>
      <family val="2"/>
    </font>
    <font>
      <sz val="9"/>
      <color rgb="FFAAAAAA"/>
      <name val="Arial"/>
      <family val="2"/>
    </font>
    <font>
      <sz val="10"/>
      <name val="Arial"/>
      <family val="2"/>
    </font>
    <font>
      <sz val="10"/>
      <name val="Arial"/>
      <family val="2"/>
      <charset val="1"/>
    </font>
    <font>
      <sz val="9"/>
      <name val="Arial"/>
      <family val="2"/>
      <charset val="1"/>
    </font>
  </fonts>
  <fills count="12">
    <fill>
      <patternFill patternType="none"/>
    </fill>
    <fill>
      <patternFill patternType="gray125"/>
    </fill>
    <fill>
      <patternFill patternType="solid">
        <fgColor rgb="FF1E3A5F"/>
        <bgColor rgb="FF333300"/>
      </patternFill>
    </fill>
    <fill>
      <patternFill patternType="solid">
        <fgColor rgb="FF048A81"/>
        <bgColor rgb="FF008080"/>
      </patternFill>
    </fill>
    <fill>
      <patternFill patternType="solid">
        <fgColor rgb="FF2E6DA4"/>
        <bgColor rgb="FF3366FF"/>
      </patternFill>
    </fill>
    <fill>
      <patternFill patternType="solid">
        <fgColor rgb="FFF2F2F2"/>
        <bgColor rgb="FFFDECEA"/>
      </patternFill>
    </fill>
    <fill>
      <patternFill patternType="solid">
        <fgColor rgb="FFD6F0D0"/>
        <bgColor rgb="FFC6EFCE"/>
      </patternFill>
    </fill>
    <fill>
      <patternFill patternType="solid">
        <fgColor rgb="FFFFF2CC"/>
        <bgColor rgb="FFFFF4E5"/>
      </patternFill>
    </fill>
    <fill>
      <patternFill patternType="solid">
        <fgColor rgb="FFFCE4E4"/>
        <bgColor rgb="FFFDECEA"/>
      </patternFill>
    </fill>
    <fill>
      <patternFill patternType="solid">
        <fgColor rgb="FFFFFFFF"/>
        <bgColor rgb="FFFFF4E5"/>
      </patternFill>
    </fill>
    <fill>
      <patternFill patternType="solid">
        <fgColor rgb="FF7D3C98"/>
        <bgColor rgb="FF993366"/>
      </patternFill>
    </fill>
    <fill>
      <patternFill patternType="solid">
        <fgColor rgb="FF5B2C6F"/>
        <bgColor rgb="FF7D3C9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0">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4"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1" fontId="5"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6" fillId="0" borderId="0" xfId="0" applyFont="1" applyAlignment="1">
      <alignment horizontal="left" vertical="center"/>
    </xf>
    <xf numFmtId="0" fontId="7" fillId="6" borderId="1" xfId="0" applyFont="1" applyFill="1" applyBorder="1" applyAlignment="1">
      <alignment horizontal="center" vertical="center"/>
    </xf>
    <xf numFmtId="0" fontId="7" fillId="6" borderId="0" xfId="0" applyFont="1" applyFill="1" applyAlignment="1">
      <alignment horizontal="center" vertical="center"/>
    </xf>
    <xf numFmtId="0" fontId="6" fillId="5" borderId="1" xfId="0" applyFont="1" applyFill="1" applyBorder="1" applyAlignment="1">
      <alignment horizontal="left" vertical="center"/>
    </xf>
    <xf numFmtId="0" fontId="8" fillId="5" borderId="1" xfId="0" applyFont="1" applyFill="1" applyBorder="1" applyAlignment="1">
      <alignment horizontal="center" vertical="center"/>
    </xf>
    <xf numFmtId="0" fontId="6" fillId="6" borderId="1" xfId="0" applyFont="1" applyFill="1" applyBorder="1" applyAlignment="1">
      <alignment horizontal="left" vertical="center"/>
    </xf>
    <xf numFmtId="0" fontId="8" fillId="6" borderId="1" xfId="0" applyFont="1" applyFill="1" applyBorder="1" applyAlignment="1">
      <alignment horizontal="center" vertical="center"/>
    </xf>
    <xf numFmtId="0" fontId="6" fillId="7" borderId="1" xfId="0" applyFont="1" applyFill="1" applyBorder="1" applyAlignment="1">
      <alignment horizontal="left" vertical="center"/>
    </xf>
    <xf numFmtId="0" fontId="8" fillId="7" borderId="1" xfId="0" applyFont="1" applyFill="1" applyBorder="1" applyAlignment="1">
      <alignment horizontal="center" vertical="center"/>
    </xf>
    <xf numFmtId="0" fontId="6" fillId="8" borderId="1" xfId="0" applyFont="1" applyFill="1" applyBorder="1" applyAlignment="1">
      <alignment horizontal="left" vertical="center"/>
    </xf>
    <xf numFmtId="0" fontId="8" fillId="8"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9" fillId="0" borderId="0" xfId="0" applyFont="1"/>
    <xf numFmtId="0" fontId="5" fillId="0" borderId="1" xfId="0" applyFont="1" applyBorder="1" applyAlignment="1">
      <alignment horizontal="center" vertical="center"/>
    </xf>
    <xf numFmtId="14" fontId="10" fillId="0" borderId="1" xfId="0" applyNumberFormat="1" applyFont="1" applyBorder="1" applyAlignment="1">
      <alignment horizontal="center" vertical="center"/>
    </xf>
    <xf numFmtId="0" fontId="11" fillId="0" borderId="1" xfId="0" applyFont="1" applyBorder="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4" fillId="5" borderId="1" xfId="0" applyFont="1" applyFill="1" applyBorder="1" applyAlignment="1">
      <alignment horizontal="center" vertical="center"/>
    </xf>
    <xf numFmtId="164" fontId="4" fillId="5" borderId="1" xfId="0" applyNumberFormat="1" applyFont="1" applyFill="1" applyBorder="1" applyAlignment="1">
      <alignment horizontal="left" vertical="center"/>
    </xf>
    <xf numFmtId="0" fontId="12" fillId="5" borderId="1" xfId="0" applyFont="1" applyFill="1" applyBorder="1" applyAlignment="1">
      <alignment horizontal="left" vertical="center"/>
    </xf>
    <xf numFmtId="0" fontId="4" fillId="5" borderId="1" xfId="0" applyFont="1" applyFill="1" applyBorder="1" applyAlignment="1">
      <alignment horizontal="left" vertical="center"/>
    </xf>
    <xf numFmtId="0" fontId="4" fillId="9" borderId="1" xfId="0" applyFont="1" applyFill="1" applyBorder="1" applyAlignment="1">
      <alignment horizontal="center" vertical="center"/>
    </xf>
    <xf numFmtId="164" fontId="4" fillId="9" borderId="1" xfId="0" applyNumberFormat="1" applyFont="1" applyFill="1" applyBorder="1" applyAlignment="1">
      <alignment horizontal="left" vertical="center"/>
    </xf>
    <xf numFmtId="0" fontId="12" fillId="9" borderId="1" xfId="0" applyFont="1" applyFill="1" applyBorder="1" applyAlignment="1">
      <alignment horizontal="left" vertical="center"/>
    </xf>
    <xf numFmtId="0" fontId="4" fillId="9" borderId="1" xfId="0" applyFont="1" applyFill="1" applyBorder="1" applyAlignment="1">
      <alignment horizontal="left" vertical="center"/>
    </xf>
    <xf numFmtId="14" fontId="10" fillId="5" borderId="1" xfId="0" applyNumberFormat="1" applyFont="1" applyFill="1" applyBorder="1" applyAlignment="1">
      <alignment horizontal="center" vertical="center"/>
    </xf>
    <xf numFmtId="0" fontId="10" fillId="5" borderId="1" xfId="0" applyFont="1" applyFill="1" applyBorder="1" applyAlignment="1">
      <alignment horizontal="left" vertical="center"/>
    </xf>
    <xf numFmtId="0" fontId="10" fillId="5" borderId="1" xfId="0" applyFont="1" applyFill="1" applyBorder="1" applyAlignment="1">
      <alignment horizontal="center" vertical="center"/>
    </xf>
    <xf numFmtId="14" fontId="10" fillId="9" borderId="1" xfId="0" applyNumberFormat="1" applyFont="1" applyFill="1" applyBorder="1" applyAlignment="1">
      <alignment horizontal="center" vertical="center"/>
    </xf>
    <xf numFmtId="0" fontId="10" fillId="9" borderId="1" xfId="0" applyFont="1" applyFill="1" applyBorder="1" applyAlignment="1">
      <alignment horizontal="left" vertical="center"/>
    </xf>
    <xf numFmtId="0" fontId="10" fillId="9" borderId="1" xfId="0" applyFont="1" applyFill="1" applyBorder="1" applyAlignment="1">
      <alignment horizontal="center" vertical="center"/>
    </xf>
    <xf numFmtId="0" fontId="1" fillId="11" borderId="1" xfId="0" applyFont="1" applyFill="1" applyBorder="1" applyAlignment="1">
      <alignment horizontal="center" vertical="center" wrapText="1"/>
    </xf>
    <xf numFmtId="0" fontId="5" fillId="9"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10" fillId="0" borderId="0" xfId="0" applyFont="1" applyAlignment="1">
      <alignment horizontal="left" vertical="center"/>
    </xf>
    <xf numFmtId="0" fontId="5" fillId="0" borderId="0" xfId="0" applyFont="1" applyAlignment="1">
      <alignment horizontal="center" vertical="center"/>
    </xf>
    <xf numFmtId="0" fontId="2" fillId="2" borderId="0" xfId="0" applyFont="1" applyFill="1" applyAlignment="1">
      <alignment horizontal="center" vertical="center"/>
    </xf>
    <xf numFmtId="0" fontId="0" fillId="0" borderId="0" xfId="0"/>
    <xf numFmtId="0" fontId="3" fillId="10" borderId="0" xfId="0" applyFont="1" applyFill="1" applyAlignment="1">
      <alignment horizontal="center" vertical="center"/>
    </xf>
    <xf numFmtId="0" fontId="3" fillId="3" borderId="0" xfId="0" applyFont="1" applyFill="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wrapText="1"/>
    </xf>
    <xf applyProtection="1" numFmtId="0" fontId="4" fillId="5" borderId="1" xfId="0" applyFont="1" applyFill="1" applyBorder="1" applyAlignment="1">
      <alignment horizontal="left" vertical="center" wrapText="1"/>
      <protection locked="0"/>
    </xf>
    <xf applyProtection="1" numFmtId="0" fontId="4" fillId="0" borderId="1" xfId="0" applyFont="1" applyBorder="1" applyAlignment="1">
      <alignment horizontal="left" vertical="center" wrapText="1"/>
      <protection locked="0"/>
    </xf>
    <xf applyProtection="1" numFmtId="0" fontId="8" fillId="5" borderId="1" xfId="0" applyFont="1" applyFill="1" applyBorder="1" applyAlignment="1">
      <alignment horizontal="center" vertical="center"/>
      <protection locked="0"/>
    </xf>
    <xf applyProtection="1" numFmtId="14" fontId="10" fillId="0" borderId="1" xfId="0" applyNumberFormat="1" applyFont="1" applyBorder="1" applyAlignment="1">
      <alignment horizontal="center" vertical="center"/>
      <protection locked="0"/>
    </xf>
    <xf applyProtection="1" numFmtId="0" fontId="10" fillId="0" borderId="1" xfId="0" applyFont="1" applyBorder="1" applyAlignment="1">
      <alignment vertical="center"/>
      <protection locked="0"/>
    </xf>
    <xf applyProtection="1" numFmtId="0" fontId="10" fillId="0" borderId="1" xfId="0" applyFont="1" applyBorder="1" applyAlignment="1">
      <alignment vertical="center" wrapText="1"/>
      <protection locked="0"/>
    </xf>
    <xf applyProtection="1" numFmtId="0" fontId="10" fillId="0" borderId="1" xfId="0" applyFont="1" applyBorder="1" applyAlignment="1">
      <alignment horizontal="center" vertical="center"/>
      <protection locked="0"/>
    </xf>
    <xf applyProtection="1" numFmtId="0" fontId="12" fillId="5" borderId="1" xfId="0" applyFont="1" applyFill="1" applyBorder="1" applyAlignment="1">
      <alignment horizontal="left" vertical="center"/>
      <protection locked="0"/>
    </xf>
    <xf applyProtection="1" numFmtId="0" fontId="4" fillId="5" borderId="1" xfId="0" applyFont="1" applyFill="1" applyBorder="1" applyAlignment="1">
      <alignment horizontal="left" vertical="center"/>
      <protection locked="0"/>
    </xf>
    <xf applyProtection="1" numFmtId="0" fontId="12" fillId="9" borderId="1" xfId="0" applyFont="1" applyFill="1" applyBorder="1" applyAlignment="1">
      <alignment horizontal="left" vertical="center"/>
      <protection locked="0"/>
    </xf>
    <xf applyProtection="1" numFmtId="0" fontId="4" fillId="9" borderId="1" xfId="0" applyFont="1" applyFill="1" applyBorder="1" applyAlignment="1">
      <alignment horizontal="left" vertical="center"/>
      <protection locked="0"/>
    </xf>
    <xf applyProtection="1" numFmtId="14" fontId="10" fillId="5" borderId="1" xfId="0" applyNumberFormat="1" applyFont="1" applyFill="1" applyBorder="1" applyAlignment="1">
      <alignment horizontal="center" vertical="center"/>
      <protection locked="0"/>
    </xf>
    <xf applyProtection="1" numFmtId="0" fontId="10" fillId="5" borderId="1" xfId="0" applyFont="1" applyFill="1" applyBorder="1" applyAlignment="1">
      <alignment horizontal="left" vertical="center"/>
      <protection locked="0"/>
    </xf>
    <xf applyProtection="1" numFmtId="0" fontId="10" fillId="5" borderId="1" xfId="0" applyFont="1" applyFill="1" applyBorder="1" applyAlignment="1">
      <alignment horizontal="center" vertical="center"/>
      <protection locked="0"/>
    </xf>
    <xf applyProtection="1" numFmtId="14" fontId="10" fillId="9" borderId="1" xfId="0" applyNumberFormat="1" applyFont="1" applyFill="1" applyBorder="1" applyAlignment="1">
      <alignment horizontal="center" vertical="center"/>
      <protection locked="0"/>
    </xf>
    <xf applyProtection="1" numFmtId="0" fontId="10" fillId="9" borderId="1" xfId="0" applyFont="1" applyFill="1" applyBorder="1" applyAlignment="1">
      <alignment horizontal="left" vertical="center"/>
      <protection locked="0"/>
    </xf>
    <xf applyProtection="1" numFmtId="0" fontId="10" fillId="9" borderId="1" xfId="0" applyFont="1" applyFill="1" applyBorder="1" applyAlignment="1">
      <alignment horizontal="center" vertical="center"/>
      <protection locked="0"/>
    </xf>
    <xf numFmtId="0" fontId="6" fillId="0" borderId="0" xfId="0" applyFont="1" applyAlignment="1">
      <alignment horizontal="left" vertical="center" wrapText="1"/>
    </xf>
  </cellXfs>
  <cellStyles count="1">
    <cellStyle name="Normal" xfId="0" builtinId="0"/>
  </cellStyles>
  <dxfs count="14">
    <dxf>
      <font>
        <color rgb="FF276221"/>
        <name val="Arial"/>
        <charset val="1"/>
      </font>
      <fill>
        <patternFill>
          <bgColor rgb="FFC6EFCE"/>
        </patternFill>
      </fill>
    </dxf>
    <dxf>
      <font>
        <color rgb="FF276221"/>
        <name val="Arial"/>
        <charset val="1"/>
      </font>
      <fill>
        <patternFill>
          <bgColor rgb="FFC6EFCE"/>
        </patternFill>
      </fill>
    </dxf>
    <dxf>
      <font>
        <b/>
        <sz val="10"/>
        <color rgb="FFCC0000"/>
        <name val="Arial"/>
        <charset val="1"/>
      </font>
      <fill>
        <patternFill>
          <bgColor rgb="FFFFB3B3"/>
        </patternFill>
      </fill>
    </dxf>
    <dxf>
      <font>
        <b/>
        <sz val="10"/>
        <color rgb="FFA0522D"/>
        <name val="Arial"/>
        <charset val="1"/>
      </font>
      <fill>
        <patternFill>
          <bgColor rgb="FFFFD9A0"/>
        </patternFill>
      </fill>
    </dxf>
    <dxf>
      <font>
        <b/>
        <sz val="10"/>
        <color rgb="FFCC0000"/>
        <name val="Arial"/>
        <charset val="1"/>
      </font>
      <fill>
        <patternFill>
          <bgColor rgb="FFFFB3B3"/>
        </patternFill>
      </fill>
    </dxf>
    <dxf>
      <font>
        <b/>
        <sz val="10"/>
        <color rgb="FFA0522D"/>
        <name val="Arial"/>
        <charset val="1"/>
      </font>
      <fill>
        <patternFill>
          <bgColor rgb="FFFFD9A0"/>
        </patternFill>
      </fill>
    </dxf>
    <dxf>
      <fill>
        <patternFill>
          <bgColor rgb="FFFFF4E5"/>
        </patternFill>
      </fill>
    </dxf>
    <dxf>
      <fill>
        <patternFill>
          <bgColor rgb="FFFDECEA"/>
        </patternFill>
      </fill>
    </dxf>
    <dxf>
      <fill>
        <patternFill>
          <bgColor rgb="FFFDECEA"/>
        </patternFill>
      </fill>
    </dxf>
    <dxf>
      <fill>
        <patternFill>
          <bgColor rgb="FFFFF2CC"/>
        </patternFill>
      </fill>
    </dxf>
    <dxf>
      <fill>
        <patternFill>
          <bgColor rgb="FFD6F0D0"/>
        </patternFill>
      </fill>
    </dxf>
    <dxf>
      <font>
        <b/>
        <sz val="10"/>
        <color rgb="FF1B6B1B"/>
        <name val="Arial"/>
        <charset val="1"/>
      </font>
      <fill>
        <patternFill>
          <bgColor rgb="FFD6F0D0"/>
        </patternFill>
      </fill>
    </dxf>
    <dxf>
      <fill>
        <patternFill>
          <bgColor rgb="FFD6F0D0"/>
        </patternFill>
      </fill>
    </dxf>
    <dxf>
      <font>
        <color rgb="FF7A8079"/>
        <name val="Arial"/>
        <charset val="1"/>
      </font>
      <fill>
        <patternFill>
          <bgColor rgb="FFEDEEEC"/>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1B6B1B"/>
      <rgbColor rgb="FF000080"/>
      <rgbColor rgb="FF808000"/>
      <rgbColor rgb="FF800080"/>
      <rgbColor rgb="FF048A81"/>
      <rgbColor rgb="FFCCCCCC"/>
      <rgbColor rgb="FF808080"/>
      <rgbColor rgb="FF9999FF"/>
      <rgbColor rgb="FF7D3C98"/>
      <rgbColor rgb="FFFFF2CC"/>
      <rgbColor rgb="FFD6F0D0"/>
      <rgbColor rgb="FF660066"/>
      <rgbColor rgb="FFFF8080"/>
      <rgbColor rgb="FF2E6DA4"/>
      <rgbColor rgb="FFFCE4E4"/>
      <rgbColor rgb="FF000080"/>
      <rgbColor rgb="FFFF00FF"/>
      <rgbColor rgb="FFFFFF00"/>
      <rgbColor rgb="FF00FFFF"/>
      <rgbColor rgb="FF800080"/>
      <rgbColor rgb="FF800000"/>
      <rgbColor rgb="FF008080"/>
      <rgbColor rgb="FF0000FF"/>
      <rgbColor rgb="FF00CCFF"/>
      <rgbColor rgb="FFF2F2F2"/>
      <rgbColor rgb="FFC6EFCE"/>
      <rgbColor rgb="FFFFF4E5"/>
      <rgbColor rgb="FFFDECEA"/>
      <rgbColor rgb="FFFFB3B3"/>
      <rgbColor rgb="FFCC99FF"/>
      <rgbColor rgb="FFFFD9A0"/>
      <rgbColor rgb="FF3366FF"/>
      <rgbColor rgb="FF33CCCC"/>
      <rgbColor rgb="FF99CC00"/>
      <rgbColor rgb="FFFFCC00"/>
      <rgbColor rgb="FFFF9900"/>
      <rgbColor rgb="FFFF6600"/>
      <rgbColor rgb="FF666699"/>
      <rgbColor rgb="FFAAAAAA"/>
      <rgbColor rgb="FF1E3A5F"/>
      <rgbColor rgb="FF339966"/>
      <rgbColor rgb="FF003300"/>
      <rgbColor rgb="FF333300"/>
      <rgbColor rgb="FFA0522D"/>
      <rgbColor rgb="FF993366"/>
      <rgbColor rgb="FF5B2C6F"/>
      <rgbColor rgb="FF2762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zoomScaleNormal="100" workbookViewId="0"/>
  </sheetViews>
  <sheetFormatPr baseColWidth="10" defaultColWidth="8.6640625" defaultRowHeight="15" customHeight="1" x14ac:dyDescent="0.2"/>
  <cols>
    <col min="1" max="1" width="55" customWidth="1"/>
    <col min="2" max="2" width="14" customWidth="1"/>
    <col min="3" max="3" width="28" customWidth="1"/>
    <col min="4" max="4" width="20" customWidth="1"/>
    <col min="5" max="5" width="8" customWidth="1"/>
    <col min="6" max="6" width="14" customWidth="1"/>
  </cols>
  <sheetData>
    <row r="1" spans="1:9" ht="15" customHeight="1" x14ac:dyDescent="0.2">
      <c r="A1" s="1" t="s">
        <v>0</v>
      </c>
      <c r="B1" s="1" t="s">
        <v>1</v>
      </c>
      <c r="C1" s="1" t="s">
        <v>2</v>
      </c>
      <c r="D1" s="1" t="s">
        <v>3</v>
      </c>
      <c r="E1" s="1" t="s">
        <v>4</v>
      </c>
      <c r="F1" s="1" t="s">
        <v>5</v>
      </c>
      <c r="G1" s="2" t="inlineStr">
        <is>
          <t xml:space="preserve">Especialidades teóricas (refuerzo)</t>
        </is>
      </c>
      <c r="H1" s="2" t="s">
        <v>7</v>
      </c>
      <c r="I1" s="1" t="inlineStr">
        <is>
          <t xml:space="preserve">Vía de cobertura</t>
        </is>
      </c>
      <c r="J1" s="1" t="inlineStr">
        <is>
          <t xml:space="preserve">Datos personales</t>
        </is>
      </c>
    </row>
    <row r="2" spans="1:9" ht="15" customHeight="1" x14ac:dyDescent="0.2">
      <c r="A2" t="s">
        <v>8</v>
      </c>
      <c r="B2" t="s">
        <v>9</v>
      </c>
      <c r="C2" t="inlineStr">
        <is>
          <t xml:space="preserve">No adjudicada · sin demanda</t>
        </is>
      </c>
      <c r="D2" t="s">
        <v>11</v>
      </c>
      <c r="E2" t="s">
        <v>12</v>
      </c>
      <c r="F2" t="s">
        <v>13</v>
      </c>
      <c r="G2" t="inlineStr">
        <is>
          <t xml:space="preserve">LENGUAJE MUSICAL</t>
        </is>
      </c>
      <c r="H2" t="s">
        <v>15</v>
      </c>
      <c r="I2" t="inlineStr">
        <is>
          <t xml:space="preserve">Lista de espera · propio centro</t>
        </is>
      </c>
      <c r="J2" t="inlineStr">
        <is>
          <t xml:space="preserve">Visibles</t>
        </is>
      </c>
    </row>
    <row r="3" spans="1:9" ht="15" customHeight="1" x14ac:dyDescent="0.2">
      <c r="A3" t="s">
        <v>16</v>
      </c>
      <c r="B3" t="s">
        <v>17</v>
      </c>
      <c r="C3" t="inlineStr">
        <is>
          <t xml:space="preserve">Adjudicada y no matriculada (art. 23.3)</t>
        </is>
      </c>
      <c r="D3" t="s">
        <v>19</v>
      </c>
      <c r="E3" t="s">
        <v>20</v>
      </c>
      <c r="F3" t="s">
        <v>21</v>
      </c>
      <c r="G3" t="inlineStr">
        <is>
          <t xml:space="preserve">ARMONÍA/ANÁLISIS</t>
        </is>
      </c>
      <c r="H3" t="s">
        <v>23</v>
      </c>
      <c r="I3" t="inlineStr">
        <is>
          <t xml:space="preserve">Traslado de expediente</t>
        </is>
      </c>
      <c r="J3" t="inlineStr">
        <is>
          <t xml:space="preserve">Anonimizados</t>
        </is>
      </c>
    </row>
    <row r="4" spans="1:9" ht="15" customHeight="1" x14ac:dyDescent="0.2">
      <c r="A4" t="s">
        <v>24</v>
      </c>
      <c r="B4" t="s">
        <v>25</v>
      </c>
      <c r="C4" t="inlineStr">
        <is>
          <t xml:space="preserve">Renuncia (hasta 30 nov)</t>
        </is>
      </c>
      <c r="D4" t="s">
        <v>27</v>
      </c>
      <c r="G4" t="inlineStr">
        <is>
          <t xml:space="preserve">HISTORIA</t>
        </is>
      </c>
      <c r="I4" t="inlineStr">
        <is>
          <t xml:space="preserve">Lista de espera · otro centro</t>
        </is>
      </c>
    </row>
    <row r="5" spans="1:9" ht="15" customHeight="1" x14ac:dyDescent="0.2">
      <c r="A5" t="s">
        <v>29</v>
      </c>
      <c r="B5" t="s">
        <v>30</v>
      </c>
      <c r="C5" t="inlineStr">
        <is>
          <t xml:space="preserve">Baja (desde 1 dic)</t>
        </is>
      </c>
      <c r="G5"/>
      <c r="I5" t="inlineStr">
        <is>
          <t xml:space="preserve">Reconvertida en refuerzo</t>
        </is>
      </c>
    </row>
    <row r="6" spans="1:9" ht="15" customHeight="1" x14ac:dyDescent="0.2">
      <c r="A6" t="s">
        <v>32</v>
      </c>
      <c r="B6" t="s">
        <v>33</v>
      </c>
      <c r="C6" t="inlineStr">
        <is>
          <t xml:space="preserve">Renuncia excepcional (art. 25.3)</t>
        </is>
      </c>
      <c r="G6"/>
      <c r="I6" t="inlineStr">
        <is>
          <t xml:space="preserve">No cubierta</t>
        </is>
      </c>
    </row>
    <row r="7" spans="1:9" ht="15" customHeight="1" x14ac:dyDescent="0.2">
      <c r="A7" t="s">
        <v>34</v>
      </c>
      <c r="B7" t="s">
        <v>35</v>
      </c>
      <c r="C7" t="inlineStr">
        <is>
          <t xml:space="preserve">Traslado de expediente</t>
        </is>
      </c>
      <c r="G7"/>
    </row>
    <row r="8" spans="1:9" ht="15" customHeight="1" x14ac:dyDescent="0.2">
      <c r="A8" t="s">
        <v>36</v>
      </c>
      <c r="B8" t="s">
        <v>37</v>
      </c>
      <c r="C8" t="inlineStr">
        <is>
          <t xml:space="preserve">Hora que nunca tuvo alumnado</t>
        </is>
      </c>
      <c r="G8"/>
    </row>
    <row r="9" spans="1:9" ht="15" customHeight="1" x14ac:dyDescent="0.2">
      <c r="A9" t="s">
        <v>38</v>
      </c>
      <c r="B9" t="s">
        <v>39</v>
      </c>
      <c r="C9" t="inlineStr">
        <is>
          <t xml:space="preserve">Otros</t>
        </is>
      </c>
      <c r="G9"/>
    </row>
    <row r="10" spans="1:9" ht="15" customHeight="1" x14ac:dyDescent="0.2">
      <c r="A10" t="s">
        <v>40</v>
      </c>
      <c r="B10" t="s">
        <v>41</v>
      </c>
      <c r="G10"/>
    </row>
    <row r="11" spans="1:9" ht="15" customHeight="1" x14ac:dyDescent="0.2">
      <c r="A11" t="s">
        <v>42</v>
      </c>
      <c r="B11" t="s">
        <v>43</v>
      </c>
      <c r="G11"/>
    </row>
    <row r="12" spans="1:9" ht="15" customHeight="1" x14ac:dyDescent="0.2">
      <c r="A12" t="s">
        <v>44</v>
      </c>
      <c r="G12"/>
    </row>
    <row r="13" spans="1:9" ht="15" customHeight="1" x14ac:dyDescent="0.2">
      <c r="A13" t="s">
        <v>45</v>
      </c>
      <c r="G13"/>
    </row>
    <row r="14" spans="1:9" ht="15" customHeight="1" x14ac:dyDescent="0.2">
      <c r="A14" t="s">
        <v>46</v>
      </c>
      <c r="G14"/>
    </row>
    <row r="15" spans="1:9" ht="15" customHeight="1" x14ac:dyDescent="0.2">
      <c r="A15" t="s">
        <v>47</v>
      </c>
      <c r="G15"/>
    </row>
    <row r="16" spans="1:9" ht="15" customHeight="1" x14ac:dyDescent="0.2">
      <c r="A16" t="s">
        <v>48</v>
      </c>
      <c r="G16"/>
    </row>
    <row r="17" spans="1:1" ht="15" customHeight="1" x14ac:dyDescent="0.2">
      <c r="A17" t="s">
        <v>49</v>
      </c>
      <c r="G17"/>
    </row>
    <row r="18" spans="1:1" ht="15" customHeight="1" x14ac:dyDescent="0.2">
      <c r="A18" t="s">
        <v>50</v>
      </c>
      <c r="G18"/>
    </row>
    <row r="19" spans="1:1" ht="15" customHeight="1" x14ac:dyDescent="0.2">
      <c r="A19" t="s">
        <v>51</v>
      </c>
      <c r="G19"/>
    </row>
    <row r="20" spans="1:1" ht="15" customHeight="1" x14ac:dyDescent="0.2">
      <c r="A20" t="s">
        <v>52</v>
      </c>
      <c r="G20"/>
    </row>
    <row r="21" spans="1:1" ht="15" customHeight="1" x14ac:dyDescent="0.2">
      <c r="A21" t="s">
        <v>53</v>
      </c>
      <c r="G21"/>
    </row>
    <row r="22" spans="1:1" ht="15" customHeight="1" x14ac:dyDescent="0.2">
      <c r="A22" t="s">
        <v>54</v>
      </c>
      <c r="G22"/>
    </row>
    <row r="23" spans="1:1" ht="15" customHeight="1" x14ac:dyDescent="0.2">
      <c r="A23" t="s">
        <v>55</v>
      </c>
      <c r="G23"/>
    </row>
    <row r="24" spans="1:1" ht="15" customHeight="1" x14ac:dyDescent="0.2">
      <c r="A24" t="s">
        <v>56</v>
      </c>
      <c r="G24"/>
    </row>
    <row r="25" spans="1:1" ht="15" customHeight="1" x14ac:dyDescent="0.2">
      <c r="A25" t="s">
        <v>57</v>
      </c>
      <c r="G25"/>
    </row>
    <row r="26" spans="1:1" ht="15" customHeight="1" x14ac:dyDescent="0.2">
      <c r="A26" t="s">
        <v>58</v>
      </c>
      <c r="G26"/>
    </row>
    <row r="27" spans="1:1" ht="15" customHeight="1" x14ac:dyDescent="0.2">
      <c r="A27" t="s">
        <v>59</v>
      </c>
      <c r="G27"/>
    </row>
    <row r="28" spans="1:1" ht="15" customHeight="1" x14ac:dyDescent="0.2">
      <c r="A28" t="s">
        <v>60</v>
      </c>
      <c r="G28"/>
    </row>
    <row r="29" spans="1:1" ht="15" customHeight="1" x14ac:dyDescent="0.2">
      <c r="A29" t="s">
        <v>61</v>
      </c>
      <c r="G29"/>
    </row>
    <row r="30" spans="1:1" ht="15" customHeight="1" x14ac:dyDescent="0.2">
      <c r="A30" t="s">
        <v>62</v>
      </c>
      <c r="G30"/>
    </row>
    <row r="31" spans="1:9">
      <c r="G31"/>
    </row>
    <row r="32" spans="1:9">
      <c r="G32"/>
    </row>
    <row r="33" spans="1:9">
      <c r="G33"/>
    </row>
  </sheetData>
  <sheetProtection sheet="1" objects="1" scenarios="1" formatCells="1" formatColumns="1" formatRows="1" insertColumns="1" insertRows="1" insertHyperlinks="1" deleteColumns="1" deleteRows="1" sort="1" autoFilter="0" pivotTables="1" selectLockedCells="0" selectUnlockedCell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showGridLines="0" topLeftCell="A29" zoomScaleNormal="100" workbookViewId="0">
      <selection activeCell="C44" sqref="C44"/>
    </sheetView>
  </sheetViews>
  <sheetFormatPr baseColWidth="10" defaultColWidth="8.6640625" defaultRowHeight="15" customHeight="1" x14ac:dyDescent="0.2"/>
  <cols>
    <col min="1" max="1" width="50" customWidth="1"/>
    <col min="2" max="2" width="14" customWidth="1"/>
    <col min="3" max="3" width="90.5" customWidth="1"/>
    <col min="4" max="5" width="14" customWidth="1"/>
  </cols>
  <sheetData>
    <row r="1" spans="1:5" ht="43.5" customHeight="1" x14ac:dyDescent="0.2">
      <c r="A1" s="46" t="s">
        <v>63</v>
      </c>
      <c r="B1" s="47"/>
      <c r="C1" s="47"/>
      <c r="D1" s="47"/>
      <c r="E1" s="47"/>
    </row>
    <row r="2" spans="1:5" ht="24" customHeight="1" x14ac:dyDescent="0.2">
      <c r="A2" s="7">
        <f>Portada!$A$9</f>
      </c>
      <c r="B2" s="7"/>
      <c r="C2" s="7"/>
      <c r="D2" s="7"/>
      <c r="E2" s="7"/>
    </row>
    <row r="3" spans="1:5" ht="27.75" customHeight="1" x14ac:dyDescent="0.2">
      <c r="A3" s="51" t="s">
        <v>64</v>
      </c>
      <c r="B3" s="47"/>
      <c r="C3" s="47"/>
      <c r="D3" s="47"/>
      <c r="E3" s="47"/>
    </row>
    <row r="4" spans="1:5" ht="25.5" customHeight="1" x14ac:dyDescent="0.2">
      <c r="A4" s="3" t="s">
        <v>65</v>
      </c>
      <c r="B4" s="3" t="s">
        <v>66</v>
      </c>
      <c r="C4" s="3" t="s">
        <v>67</v>
      </c>
    </row>
    <row r="5" spans="1:5" ht="19.5" customHeight="1" x14ac:dyDescent="0.2">
      <c r="A5" s="4" t="s">
        <v>8</v>
      </c>
      <c r="B5" s="5">
        <f>COUNTIFS(Registro!$D$2:$D$501,A5,Registro!$Q$2:$Q$501,"Disponible")</f>
        <v>0</v>
      </c>
      <c r="C5" s="6">
        <f>IF(B5=0,"Sin vacantes",Aux!B2 &amp; IF(Aux!C2&lt;&gt;""," | "&amp;Aux!C2,"") &amp; IF(Aux!D2&lt;&gt;""," | "&amp;Aux!D2,"") &amp; IF(Aux!E2&lt;&gt;""," | "&amp;Aux!E2,"") &amp; IF(Aux!F2&lt;&gt;""," | "&amp;Aux!F2,"") &amp; IF(Aux!G2&lt;&gt;""," | "&amp;Aux!G2,"") &amp; IF(Aux!H2&lt;&gt;""," | "&amp;Aux!H2,"") &amp; IF(Aux!I2&lt;&gt;""," | "&amp;Aux!I2,"") &amp; IF(Aux!J2&lt;&gt;""," | "&amp;Aux!J2,"") &amp; IF(Aux!K2&lt;&gt;""," | "&amp;Aux!K2,"") &amp; IF(Aux!L2&lt;&gt;""," | "&amp;Aux!L2,"") &amp; IF(Aux!M2&lt;&gt;""," | "&amp;Aux!M2,"") &amp; IF(B5&gt;12," | (+"&amp;(B5-12)&amp;" más)",""))</f>
      </c>
    </row>
    <row r="6" spans="1:5" ht="19.5" customHeight="1" x14ac:dyDescent="0.2">
      <c r="A6" s="4" t="s">
        <v>16</v>
      </c>
      <c r="B6" s="5">
        <f>COUNTIFS(Registro!$D$2:$D$501,A6,Registro!$Q$2:$Q$501,"Disponible")</f>
        <v>0</v>
      </c>
      <c r="C6" s="6">
        <f>IF(B6=0,"Sin vacantes",Aux!B3 &amp; IF(Aux!C3&lt;&gt;""," | "&amp;Aux!C3,"") &amp; IF(Aux!D3&lt;&gt;""," | "&amp;Aux!D3,"") &amp; IF(Aux!E3&lt;&gt;""," | "&amp;Aux!E3,"") &amp; IF(Aux!F3&lt;&gt;""," | "&amp;Aux!F3,"") &amp; IF(Aux!G3&lt;&gt;""," | "&amp;Aux!G3,"") &amp; IF(Aux!H3&lt;&gt;""," | "&amp;Aux!H3,"") &amp; IF(Aux!I3&lt;&gt;""," | "&amp;Aux!I3,"") &amp; IF(Aux!J3&lt;&gt;""," | "&amp;Aux!J3,"") &amp; IF(Aux!K3&lt;&gt;""," | "&amp;Aux!K3,"") &amp; IF(Aux!L3&lt;&gt;""," | "&amp;Aux!L3,"") &amp; IF(Aux!M3&lt;&gt;""," | "&amp;Aux!M3,"") &amp; IF(B6&gt;12," | (+"&amp;(B6-12)&amp;" más)",""))</f>
      </c>
    </row>
    <row r="7" spans="1:5" ht="19.5" customHeight="1" x14ac:dyDescent="0.2">
      <c r="A7" s="4" t="s">
        <v>24</v>
      </c>
      <c r="B7" s="5">
        <f>COUNTIFS(Registro!$D$2:$D$501,A7,Registro!$Q$2:$Q$501,"Disponible")</f>
        <v>0</v>
      </c>
      <c r="C7" s="6">
        <f>IF(B7=0,"Sin vacantes",Aux!B4 &amp; IF(Aux!C4&lt;&gt;""," | "&amp;Aux!C4,"") &amp; IF(Aux!D4&lt;&gt;""," | "&amp;Aux!D4,"") &amp; IF(Aux!E4&lt;&gt;""," | "&amp;Aux!E4,"") &amp; IF(Aux!F4&lt;&gt;""," | "&amp;Aux!F4,"") &amp; IF(Aux!G4&lt;&gt;""," | "&amp;Aux!G4,"") &amp; IF(Aux!H4&lt;&gt;""," | "&amp;Aux!H4,"") &amp; IF(Aux!I4&lt;&gt;""," | "&amp;Aux!I4,"") &amp; IF(Aux!J4&lt;&gt;""," | "&amp;Aux!J4,"") &amp; IF(Aux!K4&lt;&gt;""," | "&amp;Aux!K4,"") &amp; IF(Aux!L4&lt;&gt;""," | "&amp;Aux!L4,"") &amp; IF(Aux!M4&lt;&gt;""," | "&amp;Aux!M4,"") &amp; IF(B7&gt;12," | (+"&amp;(B7-12)&amp;" más)",""))</f>
      </c>
    </row>
    <row r="8" spans="1:5" ht="19.5" customHeight="1" x14ac:dyDescent="0.2">
      <c r="A8" s="4" t="s">
        <v>29</v>
      </c>
      <c r="B8" s="5">
        <f>COUNTIFS(Registro!$D$2:$D$501,A8,Registro!$Q$2:$Q$501,"Disponible")</f>
        <v>0</v>
      </c>
      <c r="C8" s="6">
        <f>IF(B8=0,"Sin vacantes",Aux!B5 &amp; IF(Aux!C5&lt;&gt;""," | "&amp;Aux!C5,"") &amp; IF(Aux!D5&lt;&gt;""," | "&amp;Aux!D5,"") &amp; IF(Aux!E5&lt;&gt;""," | "&amp;Aux!E5,"") &amp; IF(Aux!F5&lt;&gt;""," | "&amp;Aux!F5,"") &amp; IF(Aux!G5&lt;&gt;""," | "&amp;Aux!G5,"") &amp; IF(Aux!H5&lt;&gt;""," | "&amp;Aux!H5,"") &amp; IF(Aux!I5&lt;&gt;""," | "&amp;Aux!I5,"") &amp; IF(Aux!J5&lt;&gt;""," | "&amp;Aux!J5,"") &amp; IF(Aux!K5&lt;&gt;""," | "&amp;Aux!K5,"") &amp; IF(Aux!L5&lt;&gt;""," | "&amp;Aux!L5,"") &amp; IF(Aux!M5&lt;&gt;""," | "&amp;Aux!M5,"") &amp; IF(B8&gt;12," | (+"&amp;(B8-12)&amp;" más)",""))</f>
      </c>
    </row>
    <row r="9" spans="1:5" ht="19.5" customHeight="1" x14ac:dyDescent="0.2">
      <c r="A9" s="4" t="s">
        <v>32</v>
      </c>
      <c r="B9" s="5">
        <f>COUNTIFS(Registro!$D$2:$D$501,A9,Registro!$Q$2:$Q$501,"Disponible")</f>
        <v>0</v>
      </c>
      <c r="C9" s="6">
        <f>IF(B9=0,"Sin vacantes",Aux!B6 &amp; IF(Aux!C6&lt;&gt;""," | "&amp;Aux!C6,"") &amp; IF(Aux!D6&lt;&gt;""," | "&amp;Aux!D6,"") &amp; IF(Aux!E6&lt;&gt;""," | "&amp;Aux!E6,"") &amp; IF(Aux!F6&lt;&gt;""," | "&amp;Aux!F6,"") &amp; IF(Aux!G6&lt;&gt;""," | "&amp;Aux!G6,"") &amp; IF(Aux!H6&lt;&gt;""," | "&amp;Aux!H6,"") &amp; IF(Aux!I6&lt;&gt;""," | "&amp;Aux!I6,"") &amp; IF(Aux!J6&lt;&gt;""," | "&amp;Aux!J6,"") &amp; IF(Aux!K6&lt;&gt;""," | "&amp;Aux!K6,"") &amp; IF(Aux!L6&lt;&gt;""," | "&amp;Aux!L6,"") &amp; IF(Aux!M6&lt;&gt;""," | "&amp;Aux!M6,"") &amp; IF(B9&gt;12," | (+"&amp;(B9-12)&amp;" más)",""))</f>
      </c>
    </row>
    <row r="10" spans="1:5" ht="19.5" customHeight="1" x14ac:dyDescent="0.2">
      <c r="A10" s="4" t="s">
        <v>34</v>
      </c>
      <c r="B10" s="5">
        <f>COUNTIFS(Registro!$D$2:$D$501,A10,Registro!$Q$2:$Q$501,"Disponible")</f>
        <v>0</v>
      </c>
      <c r="C10" s="6">
        <f>IF(B10=0,"Sin vacantes",Aux!B7 &amp; IF(Aux!C7&lt;&gt;""," | "&amp;Aux!C7,"") &amp; IF(Aux!D7&lt;&gt;""," | "&amp;Aux!D7,"") &amp; IF(Aux!E7&lt;&gt;""," | "&amp;Aux!E7,"") &amp; IF(Aux!F7&lt;&gt;""," | "&amp;Aux!F7,"") &amp; IF(Aux!G7&lt;&gt;""," | "&amp;Aux!G7,"") &amp; IF(Aux!H7&lt;&gt;""," | "&amp;Aux!H7,"") &amp; IF(Aux!I7&lt;&gt;""," | "&amp;Aux!I7,"") &amp; IF(Aux!J7&lt;&gt;""," | "&amp;Aux!J7,"") &amp; IF(Aux!K7&lt;&gt;""," | "&amp;Aux!K7,"") &amp; IF(Aux!L7&lt;&gt;""," | "&amp;Aux!L7,"") &amp; IF(Aux!M7&lt;&gt;""," | "&amp;Aux!M7,"") &amp; IF(B10&gt;12," | (+"&amp;(B10-12)&amp;" más)",""))</f>
      </c>
    </row>
    <row r="11" spans="1:5" ht="19.5" customHeight="1" x14ac:dyDescent="0.2">
      <c r="A11" s="4" t="s">
        <v>36</v>
      </c>
      <c r="B11" s="5">
        <f>COUNTIFS(Registro!$D$2:$D$501,A11,Registro!$Q$2:$Q$501,"Disponible")</f>
        <v>0</v>
      </c>
      <c r="C11" s="6">
        <f>IF(B11=0,"Sin vacantes",Aux!B8 &amp; IF(Aux!C8&lt;&gt;""," | "&amp;Aux!C8,"") &amp; IF(Aux!D8&lt;&gt;""," | "&amp;Aux!D8,"") &amp; IF(Aux!E8&lt;&gt;""," | "&amp;Aux!E8,"") &amp; IF(Aux!F8&lt;&gt;""," | "&amp;Aux!F8,"") &amp; IF(Aux!G8&lt;&gt;""," | "&amp;Aux!G8,"") &amp; IF(Aux!H8&lt;&gt;""," | "&amp;Aux!H8,"") &amp; IF(Aux!I8&lt;&gt;""," | "&amp;Aux!I8,"") &amp; IF(Aux!J8&lt;&gt;""," | "&amp;Aux!J8,"") &amp; IF(Aux!K8&lt;&gt;""," | "&amp;Aux!K8,"") &amp; IF(Aux!L8&lt;&gt;""," | "&amp;Aux!L8,"") &amp; IF(Aux!M8&lt;&gt;""," | "&amp;Aux!M8,"") &amp; IF(B11&gt;12," | (+"&amp;(B11-12)&amp;" más)",""))</f>
      </c>
    </row>
    <row r="12" spans="1:5" ht="19.5" customHeight="1" x14ac:dyDescent="0.2">
      <c r="A12" s="4" t="s">
        <v>38</v>
      </c>
      <c r="B12" s="5">
        <f>COUNTIFS(Registro!$D$2:$D$501,A12,Registro!$Q$2:$Q$501,"Disponible")</f>
        <v>0</v>
      </c>
      <c r="C12" s="6">
        <f>IF(B12=0,"Sin vacantes",Aux!B9 &amp; IF(Aux!C9&lt;&gt;""," | "&amp;Aux!C9,"") &amp; IF(Aux!D9&lt;&gt;""," | "&amp;Aux!D9,"") &amp; IF(Aux!E9&lt;&gt;""," | "&amp;Aux!E9,"") &amp; IF(Aux!F9&lt;&gt;""," | "&amp;Aux!F9,"") &amp; IF(Aux!G9&lt;&gt;""," | "&amp;Aux!G9,"") &amp; IF(Aux!H9&lt;&gt;""," | "&amp;Aux!H9,"") &amp; IF(Aux!I9&lt;&gt;""," | "&amp;Aux!I9,"") &amp; IF(Aux!J9&lt;&gt;""," | "&amp;Aux!J9,"") &amp; IF(Aux!K9&lt;&gt;""," | "&amp;Aux!K9,"") &amp; IF(Aux!L9&lt;&gt;""," | "&amp;Aux!L9,"") &amp; IF(Aux!M9&lt;&gt;""," | "&amp;Aux!M9,"") &amp; IF(B12&gt;12," | (+"&amp;(B12-12)&amp;" más)",""))</f>
      </c>
    </row>
    <row r="13" spans="1:5" ht="19.5" customHeight="1" x14ac:dyDescent="0.2">
      <c r="A13" s="4" t="s">
        <v>40</v>
      </c>
      <c r="B13" s="5">
        <f>COUNTIFS(Registro!$D$2:$D$501,A13,Registro!$Q$2:$Q$501,"Disponible")</f>
        <v>0</v>
      </c>
      <c r="C13" s="6">
        <f>IF(B13=0,"Sin vacantes",Aux!B10 &amp; IF(Aux!C10&lt;&gt;""," | "&amp;Aux!C10,"") &amp; IF(Aux!D10&lt;&gt;""," | "&amp;Aux!D10,"") &amp; IF(Aux!E10&lt;&gt;""," | "&amp;Aux!E10,"") &amp; IF(Aux!F10&lt;&gt;""," | "&amp;Aux!F10,"") &amp; IF(Aux!G10&lt;&gt;""," | "&amp;Aux!G10,"") &amp; IF(Aux!H10&lt;&gt;""," | "&amp;Aux!H10,"") &amp; IF(Aux!I10&lt;&gt;""," | "&amp;Aux!I10,"") &amp; IF(Aux!J10&lt;&gt;""," | "&amp;Aux!J10,"") &amp; IF(Aux!K10&lt;&gt;""," | "&amp;Aux!K10,"") &amp; IF(Aux!L10&lt;&gt;""," | "&amp;Aux!L10,"") &amp; IF(Aux!M10&lt;&gt;""," | "&amp;Aux!M10,"") &amp; IF(B13&gt;12," | (+"&amp;(B13-12)&amp;" más)",""))</f>
      </c>
    </row>
    <row r="14" spans="1:5" ht="19.5" customHeight="1" x14ac:dyDescent="0.2">
      <c r="A14" s="4" t="s">
        <v>42</v>
      </c>
      <c r="B14" s="5">
        <f>COUNTIFS(Registro!$D$2:$D$501,A14,Registro!$Q$2:$Q$501,"Disponible")</f>
        <v>0</v>
      </c>
      <c r="C14" s="6">
        <f>IF(B14=0,"Sin vacantes",Aux!B11 &amp; IF(Aux!C11&lt;&gt;""," | "&amp;Aux!C11,"") &amp; IF(Aux!D11&lt;&gt;""," | "&amp;Aux!D11,"") &amp; IF(Aux!E11&lt;&gt;""," | "&amp;Aux!E11,"") &amp; IF(Aux!F11&lt;&gt;""," | "&amp;Aux!F11,"") &amp; IF(Aux!G11&lt;&gt;""," | "&amp;Aux!G11,"") &amp; IF(Aux!H11&lt;&gt;""," | "&amp;Aux!H11,"") &amp; IF(Aux!I11&lt;&gt;""," | "&amp;Aux!I11,"") &amp; IF(Aux!J11&lt;&gt;""," | "&amp;Aux!J11,"") &amp; IF(Aux!K11&lt;&gt;""," | "&amp;Aux!K11,"") &amp; IF(Aux!L11&lt;&gt;""," | "&amp;Aux!L11,"") &amp; IF(Aux!M11&lt;&gt;""," | "&amp;Aux!M11,"") &amp; IF(B14&gt;12," | (+"&amp;(B14-12)&amp;" más)",""))</f>
      </c>
    </row>
    <row r="15" spans="1:5" ht="19.5" customHeight="1" x14ac:dyDescent="0.2">
      <c r="A15" s="4" t="s">
        <v>44</v>
      </c>
      <c r="B15" s="5">
        <f>COUNTIFS(Registro!$D$2:$D$501,A15,Registro!$Q$2:$Q$501,"Disponible")</f>
        <v>0</v>
      </c>
      <c r="C15" s="6">
        <f>IF(B15=0,"Sin vacantes",Aux!B12 &amp; IF(Aux!C12&lt;&gt;""," | "&amp;Aux!C12,"") &amp; IF(Aux!D12&lt;&gt;""," | "&amp;Aux!D12,"") &amp; IF(Aux!E12&lt;&gt;""," | "&amp;Aux!E12,"") &amp; IF(Aux!F12&lt;&gt;""," | "&amp;Aux!F12,"") &amp; IF(Aux!G12&lt;&gt;""," | "&amp;Aux!G12,"") &amp; IF(Aux!H12&lt;&gt;""," | "&amp;Aux!H12,"") &amp; IF(Aux!I12&lt;&gt;""," | "&amp;Aux!I12,"") &amp; IF(Aux!J12&lt;&gt;""," | "&amp;Aux!J12,"") &amp; IF(Aux!K12&lt;&gt;""," | "&amp;Aux!K12,"") &amp; IF(Aux!L12&lt;&gt;""," | "&amp;Aux!L12,"") &amp; IF(Aux!M12&lt;&gt;""," | "&amp;Aux!M12,"") &amp; IF(B15&gt;12," | (+"&amp;(B15-12)&amp;" más)",""))</f>
      </c>
    </row>
    <row r="16" spans="1:5" ht="19.5" customHeight="1" x14ac:dyDescent="0.2">
      <c r="A16" s="4" t="s">
        <v>45</v>
      </c>
      <c r="B16" s="5">
        <f>COUNTIFS(Registro!$D$2:$D$501,A16,Registro!$Q$2:$Q$501,"Disponible")</f>
        <v>0</v>
      </c>
      <c r="C16" s="6">
        <f>IF(B16=0,"Sin vacantes",Aux!B13 &amp; IF(Aux!C13&lt;&gt;""," | "&amp;Aux!C13,"") &amp; IF(Aux!D13&lt;&gt;""," | "&amp;Aux!D13,"") &amp; IF(Aux!E13&lt;&gt;""," | "&amp;Aux!E13,"") &amp; IF(Aux!F13&lt;&gt;""," | "&amp;Aux!F13,"") &amp; IF(Aux!G13&lt;&gt;""," | "&amp;Aux!G13,"") &amp; IF(Aux!H13&lt;&gt;""," | "&amp;Aux!H13,"") &amp; IF(Aux!I13&lt;&gt;""," | "&amp;Aux!I13,"") &amp; IF(Aux!J13&lt;&gt;""," | "&amp;Aux!J13,"") &amp; IF(Aux!K13&lt;&gt;""," | "&amp;Aux!K13,"") &amp; IF(Aux!L13&lt;&gt;""," | "&amp;Aux!L13,"") &amp; IF(Aux!M13&lt;&gt;""," | "&amp;Aux!M13,"") &amp; IF(B16&gt;12," | (+"&amp;(B16-12)&amp;" más)",""))</f>
      </c>
    </row>
    <row r="17" spans="1:3" ht="19.5" customHeight="1" x14ac:dyDescent="0.2">
      <c r="A17" s="4" t="s">
        <v>46</v>
      </c>
      <c r="B17" s="5">
        <f>COUNTIFS(Registro!$D$2:$D$501,A17,Registro!$Q$2:$Q$501,"Disponible")</f>
        <v>0</v>
      </c>
      <c r="C17" s="6">
        <f>IF(B17=0,"Sin vacantes",Aux!B14 &amp; IF(Aux!C14&lt;&gt;""," | "&amp;Aux!C14,"") &amp; IF(Aux!D14&lt;&gt;""," | "&amp;Aux!D14,"") &amp; IF(Aux!E14&lt;&gt;""," | "&amp;Aux!E14,"") &amp; IF(Aux!F14&lt;&gt;""," | "&amp;Aux!F14,"") &amp; IF(Aux!G14&lt;&gt;""," | "&amp;Aux!G14,"") &amp; IF(Aux!H14&lt;&gt;""," | "&amp;Aux!H14,"") &amp; IF(Aux!I14&lt;&gt;""," | "&amp;Aux!I14,"") &amp; IF(Aux!J14&lt;&gt;""," | "&amp;Aux!J14,"") &amp; IF(Aux!K14&lt;&gt;""," | "&amp;Aux!K14,"") &amp; IF(Aux!L14&lt;&gt;""," | "&amp;Aux!L14,"") &amp; IF(Aux!M14&lt;&gt;""," | "&amp;Aux!M14,"") &amp; IF(B17&gt;12," | (+"&amp;(B17-12)&amp;" más)",""))</f>
      </c>
    </row>
    <row r="18" spans="1:3" ht="19.5" customHeight="1" x14ac:dyDescent="0.2">
      <c r="A18" s="4" t="s">
        <v>47</v>
      </c>
      <c r="B18" s="5">
        <f>COUNTIFS(Registro!$D$2:$D$501,A18,Registro!$Q$2:$Q$501,"Disponible")</f>
        <v>0</v>
      </c>
      <c r="C18" s="6">
        <f>IF(B18=0,"Sin vacantes",Aux!B15 &amp; IF(Aux!C15&lt;&gt;""," | "&amp;Aux!C15,"") &amp; IF(Aux!D15&lt;&gt;""," | "&amp;Aux!D15,"") &amp; IF(Aux!E15&lt;&gt;""," | "&amp;Aux!E15,"") &amp; IF(Aux!F15&lt;&gt;""," | "&amp;Aux!F15,"") &amp; IF(Aux!G15&lt;&gt;""," | "&amp;Aux!G15,"") &amp; IF(Aux!H15&lt;&gt;""," | "&amp;Aux!H15,"") &amp; IF(Aux!I15&lt;&gt;""," | "&amp;Aux!I15,"") &amp; IF(Aux!J15&lt;&gt;""," | "&amp;Aux!J15,"") &amp; IF(Aux!K15&lt;&gt;""," | "&amp;Aux!K15,"") &amp; IF(Aux!L15&lt;&gt;""," | "&amp;Aux!L15,"") &amp; IF(Aux!M15&lt;&gt;""," | "&amp;Aux!M15,"") &amp; IF(B18&gt;12," | (+"&amp;(B18-12)&amp;" más)",""))</f>
      </c>
    </row>
    <row r="19" spans="1:3" ht="19.5" customHeight="1" x14ac:dyDescent="0.2">
      <c r="A19" s="4" t="s">
        <v>48</v>
      </c>
      <c r="B19" s="5">
        <f>COUNTIFS(Registro!$D$2:$D$501,A19,Registro!$Q$2:$Q$501,"Disponible")</f>
        <v>0</v>
      </c>
      <c r="C19" s="6">
        <f>IF(B19=0,"Sin vacantes",Aux!B16 &amp; IF(Aux!C16&lt;&gt;""," | "&amp;Aux!C16,"") &amp; IF(Aux!D16&lt;&gt;""," | "&amp;Aux!D16,"") &amp; IF(Aux!E16&lt;&gt;""," | "&amp;Aux!E16,"") &amp; IF(Aux!F16&lt;&gt;""," | "&amp;Aux!F16,"") &amp; IF(Aux!G16&lt;&gt;""," | "&amp;Aux!G16,"") &amp; IF(Aux!H16&lt;&gt;""," | "&amp;Aux!H16,"") &amp; IF(Aux!I16&lt;&gt;""," | "&amp;Aux!I16,"") &amp; IF(Aux!J16&lt;&gt;""," | "&amp;Aux!J16,"") &amp; IF(Aux!K16&lt;&gt;""," | "&amp;Aux!K16,"") &amp; IF(Aux!L16&lt;&gt;""," | "&amp;Aux!L16,"") &amp; IF(Aux!M16&lt;&gt;""," | "&amp;Aux!M16,"") &amp; IF(B19&gt;12," | (+"&amp;(B19-12)&amp;" más)",""))</f>
      </c>
    </row>
    <row r="20" spans="1:3" ht="19.5" customHeight="1" x14ac:dyDescent="0.2">
      <c r="A20" s="4" t="s">
        <v>49</v>
      </c>
      <c r="B20" s="5">
        <f>COUNTIFS(Registro!$D$2:$D$501,A20,Registro!$Q$2:$Q$501,"Disponible")</f>
        <v>0</v>
      </c>
      <c r="C20" s="6">
        <f>IF(B20=0,"Sin vacantes",Aux!B17 &amp; IF(Aux!C17&lt;&gt;""," | "&amp;Aux!C17,"") &amp; IF(Aux!D17&lt;&gt;""," | "&amp;Aux!D17,"") &amp; IF(Aux!E17&lt;&gt;""," | "&amp;Aux!E17,"") &amp; IF(Aux!F17&lt;&gt;""," | "&amp;Aux!F17,"") &amp; IF(Aux!G17&lt;&gt;""," | "&amp;Aux!G17,"") &amp; IF(Aux!H17&lt;&gt;""," | "&amp;Aux!H17,"") &amp; IF(Aux!I17&lt;&gt;""," | "&amp;Aux!I17,"") &amp; IF(Aux!J17&lt;&gt;""," | "&amp;Aux!J17,"") &amp; IF(Aux!K17&lt;&gt;""," | "&amp;Aux!K17,"") &amp; IF(Aux!L17&lt;&gt;""," | "&amp;Aux!L17,"") &amp; IF(Aux!M17&lt;&gt;""," | "&amp;Aux!M17,"") &amp; IF(B20&gt;12," | (+"&amp;(B20-12)&amp;" más)",""))</f>
      </c>
    </row>
    <row r="21" spans="1:3" ht="19.5" customHeight="1" x14ac:dyDescent="0.2">
      <c r="A21" s="4" t="s">
        <v>50</v>
      </c>
      <c r="B21" s="5">
        <f>COUNTIFS(Registro!$D$2:$D$501,A21,Registro!$Q$2:$Q$501,"Disponible")</f>
        <v>0</v>
      </c>
      <c r="C21" s="6">
        <f>IF(B21=0,"Sin vacantes",Aux!B18 &amp; IF(Aux!C18&lt;&gt;""," | "&amp;Aux!C18,"") &amp; IF(Aux!D18&lt;&gt;""," | "&amp;Aux!D18,"") &amp; IF(Aux!E18&lt;&gt;""," | "&amp;Aux!E18,"") &amp; IF(Aux!F18&lt;&gt;""," | "&amp;Aux!F18,"") &amp; IF(Aux!G18&lt;&gt;""," | "&amp;Aux!G18,"") &amp; IF(Aux!H18&lt;&gt;""," | "&amp;Aux!H18,"") &amp; IF(Aux!I18&lt;&gt;""," | "&amp;Aux!I18,"") &amp; IF(Aux!J18&lt;&gt;""," | "&amp;Aux!J18,"") &amp; IF(Aux!K18&lt;&gt;""," | "&amp;Aux!K18,"") &amp; IF(Aux!L18&lt;&gt;""," | "&amp;Aux!L18,"") &amp; IF(Aux!M18&lt;&gt;""," | "&amp;Aux!M18,"") &amp; IF(B21&gt;12," | (+"&amp;(B21-12)&amp;" más)",""))</f>
      </c>
    </row>
    <row r="22" spans="1:3" ht="19.5" customHeight="1" x14ac:dyDescent="0.2">
      <c r="A22" s="4" t="s">
        <v>51</v>
      </c>
      <c r="B22" s="5">
        <f>COUNTIFS(Registro!$D$2:$D$501,A22,Registro!$Q$2:$Q$501,"Disponible")</f>
        <v>0</v>
      </c>
      <c r="C22" s="6">
        <f>IF(B22=0,"Sin vacantes",Aux!B19 &amp; IF(Aux!C19&lt;&gt;""," | "&amp;Aux!C19,"") &amp; IF(Aux!D19&lt;&gt;""," | "&amp;Aux!D19,"") &amp; IF(Aux!E19&lt;&gt;""," | "&amp;Aux!E19,"") &amp; IF(Aux!F19&lt;&gt;""," | "&amp;Aux!F19,"") &amp; IF(Aux!G19&lt;&gt;""," | "&amp;Aux!G19,"") &amp; IF(Aux!H19&lt;&gt;""," | "&amp;Aux!H19,"") &amp; IF(Aux!I19&lt;&gt;""," | "&amp;Aux!I19,"") &amp; IF(Aux!J19&lt;&gt;""," | "&amp;Aux!J19,"") &amp; IF(Aux!K19&lt;&gt;""," | "&amp;Aux!K19,"") &amp; IF(Aux!L19&lt;&gt;""," | "&amp;Aux!L19,"") &amp; IF(Aux!M19&lt;&gt;""," | "&amp;Aux!M19,"") &amp; IF(B22&gt;12," | (+"&amp;(B22-12)&amp;" más)",""))</f>
      </c>
    </row>
    <row r="23" spans="1:3" ht="19.5" customHeight="1" x14ac:dyDescent="0.2">
      <c r="A23" s="4" t="s">
        <v>52</v>
      </c>
      <c r="B23" s="5">
        <f>COUNTIFS(Registro!$D$2:$D$501,A23,Registro!$Q$2:$Q$501,"Disponible")</f>
        <v>0</v>
      </c>
      <c r="C23" s="6">
        <f>IF(B23=0,"Sin vacantes",Aux!B20 &amp; IF(Aux!C20&lt;&gt;""," | "&amp;Aux!C20,"") &amp; IF(Aux!D20&lt;&gt;""," | "&amp;Aux!D20,"") &amp; IF(Aux!E20&lt;&gt;""," | "&amp;Aux!E20,"") &amp; IF(Aux!F20&lt;&gt;""," | "&amp;Aux!F20,"") &amp; IF(Aux!G20&lt;&gt;""," | "&amp;Aux!G20,"") &amp; IF(Aux!H20&lt;&gt;""," | "&amp;Aux!H20,"") &amp; IF(Aux!I20&lt;&gt;""," | "&amp;Aux!I20,"") &amp; IF(Aux!J20&lt;&gt;""," | "&amp;Aux!J20,"") &amp; IF(Aux!K20&lt;&gt;""," | "&amp;Aux!K20,"") &amp; IF(Aux!L20&lt;&gt;""," | "&amp;Aux!L20,"") &amp; IF(Aux!M20&lt;&gt;""," | "&amp;Aux!M20,"") &amp; IF(B23&gt;12," | (+"&amp;(B23-12)&amp;" más)",""))</f>
      </c>
    </row>
    <row r="24" spans="1:3" ht="19.5" customHeight="1" x14ac:dyDescent="0.2">
      <c r="A24" s="4" t="s">
        <v>53</v>
      </c>
      <c r="B24" s="5">
        <f>COUNTIFS(Registro!$D$2:$D$501,A24,Registro!$Q$2:$Q$501,"Disponible")</f>
        <v>0</v>
      </c>
      <c r="C24" s="6">
        <f>IF(B24=0,"Sin vacantes",Aux!B21 &amp; IF(Aux!C21&lt;&gt;""," | "&amp;Aux!C21,"") &amp; IF(Aux!D21&lt;&gt;""," | "&amp;Aux!D21,"") &amp; IF(Aux!E21&lt;&gt;""," | "&amp;Aux!E21,"") &amp; IF(Aux!F21&lt;&gt;""," | "&amp;Aux!F21,"") &amp; IF(Aux!G21&lt;&gt;""," | "&amp;Aux!G21,"") &amp; IF(Aux!H21&lt;&gt;""," | "&amp;Aux!H21,"") &amp; IF(Aux!I21&lt;&gt;""," | "&amp;Aux!I21,"") &amp; IF(Aux!J21&lt;&gt;""," | "&amp;Aux!J21,"") &amp; IF(Aux!K21&lt;&gt;""," | "&amp;Aux!K21,"") &amp; IF(Aux!L21&lt;&gt;""," | "&amp;Aux!L21,"") &amp; IF(Aux!M21&lt;&gt;""," | "&amp;Aux!M21,"") &amp; IF(B24&gt;12," | (+"&amp;(B24-12)&amp;" más)",""))</f>
      </c>
    </row>
    <row r="25" spans="1:3" ht="19.5" customHeight="1" x14ac:dyDescent="0.2">
      <c r="A25" s="4" t="s">
        <v>54</v>
      </c>
      <c r="B25" s="5">
        <f>COUNTIFS(Registro!$D$2:$D$501,A25,Registro!$Q$2:$Q$501,"Disponible")</f>
        <v>0</v>
      </c>
      <c r="C25" s="6">
        <f>IF(B25=0,"Sin vacantes",Aux!B22 &amp; IF(Aux!C22&lt;&gt;""," | "&amp;Aux!C22,"") &amp; IF(Aux!D22&lt;&gt;""," | "&amp;Aux!D22,"") &amp; IF(Aux!E22&lt;&gt;""," | "&amp;Aux!E22,"") &amp; IF(Aux!F22&lt;&gt;""," | "&amp;Aux!F22,"") &amp; IF(Aux!G22&lt;&gt;""," | "&amp;Aux!G22,"") &amp; IF(Aux!H22&lt;&gt;""," | "&amp;Aux!H22,"") &amp; IF(Aux!I22&lt;&gt;""," | "&amp;Aux!I22,"") &amp; IF(Aux!J22&lt;&gt;""," | "&amp;Aux!J22,"") &amp; IF(Aux!K22&lt;&gt;""," | "&amp;Aux!K22,"") &amp; IF(Aux!L22&lt;&gt;""," | "&amp;Aux!L22,"") &amp; IF(Aux!M22&lt;&gt;""," | "&amp;Aux!M22,"") &amp; IF(B25&gt;12," | (+"&amp;(B25-12)&amp;" más)",""))</f>
      </c>
    </row>
    <row r="26" spans="1:3" ht="19.5" customHeight="1" x14ac:dyDescent="0.2">
      <c r="A26" s="4" t="s">
        <v>55</v>
      </c>
      <c r="B26" s="5">
        <f>COUNTIFS(Registro!$D$2:$D$501,A26,Registro!$Q$2:$Q$501,"Disponible")</f>
        <v>0</v>
      </c>
      <c r="C26" s="6">
        <f>IF(B26=0,"Sin vacantes",Aux!B23 &amp; IF(Aux!C23&lt;&gt;""," | "&amp;Aux!C23,"") &amp; IF(Aux!D23&lt;&gt;""," | "&amp;Aux!D23,"") &amp; IF(Aux!E23&lt;&gt;""," | "&amp;Aux!E23,"") &amp; IF(Aux!F23&lt;&gt;""," | "&amp;Aux!F23,"") &amp; IF(Aux!G23&lt;&gt;""," | "&amp;Aux!G23,"") &amp; IF(Aux!H23&lt;&gt;""," | "&amp;Aux!H23,"") &amp; IF(Aux!I23&lt;&gt;""," | "&amp;Aux!I23,"") &amp; IF(Aux!J23&lt;&gt;""," | "&amp;Aux!J23,"") &amp; IF(Aux!K23&lt;&gt;""," | "&amp;Aux!K23,"") &amp; IF(Aux!L23&lt;&gt;""," | "&amp;Aux!L23,"") &amp; IF(Aux!M23&lt;&gt;""," | "&amp;Aux!M23,"") &amp; IF(B26&gt;12," | (+"&amp;(B26-12)&amp;" más)",""))</f>
      </c>
    </row>
    <row r="27" spans="1:3" ht="19.5" customHeight="1" x14ac:dyDescent="0.2">
      <c r="A27" s="4" t="s">
        <v>56</v>
      </c>
      <c r="B27" s="5">
        <f>COUNTIFS(Registro!$D$2:$D$501,A27,Registro!$Q$2:$Q$501,"Disponible")</f>
        <v>0</v>
      </c>
      <c r="C27" s="6">
        <f>IF(B27=0,"Sin vacantes",Aux!B24 &amp; IF(Aux!C24&lt;&gt;""," | "&amp;Aux!C24,"") &amp; IF(Aux!D24&lt;&gt;""," | "&amp;Aux!D24,"") &amp; IF(Aux!E24&lt;&gt;""," | "&amp;Aux!E24,"") &amp; IF(Aux!F24&lt;&gt;""," | "&amp;Aux!F24,"") &amp; IF(Aux!G24&lt;&gt;""," | "&amp;Aux!G24,"") &amp; IF(Aux!H24&lt;&gt;""," | "&amp;Aux!H24,"") &amp; IF(Aux!I24&lt;&gt;""," | "&amp;Aux!I24,"") &amp; IF(Aux!J24&lt;&gt;""," | "&amp;Aux!J24,"") &amp; IF(Aux!K24&lt;&gt;""," | "&amp;Aux!K24,"") &amp; IF(Aux!L24&lt;&gt;""," | "&amp;Aux!L24,"") &amp; IF(Aux!M24&lt;&gt;""," | "&amp;Aux!M24,"") &amp; IF(B27&gt;12," | (+"&amp;(B27-12)&amp;" más)",""))</f>
      </c>
    </row>
    <row r="28" spans="1:3" ht="19.5" customHeight="1" x14ac:dyDescent="0.2">
      <c r="A28" s="4" t="s">
        <v>57</v>
      </c>
      <c r="B28" s="5">
        <f>COUNTIFS(Registro!$D$2:$D$501,A28,Registro!$Q$2:$Q$501,"Disponible")</f>
        <v>0</v>
      </c>
      <c r="C28" s="6">
        <f>IF(B28=0,"Sin vacantes",Aux!B25 &amp; IF(Aux!C25&lt;&gt;""," | "&amp;Aux!C25,"") &amp; IF(Aux!D25&lt;&gt;""," | "&amp;Aux!D25,"") &amp; IF(Aux!E25&lt;&gt;""," | "&amp;Aux!E25,"") &amp; IF(Aux!F25&lt;&gt;""," | "&amp;Aux!F25,"") &amp; IF(Aux!G25&lt;&gt;""," | "&amp;Aux!G25,"") &amp; IF(Aux!H25&lt;&gt;""," | "&amp;Aux!H25,"") &amp; IF(Aux!I25&lt;&gt;""," | "&amp;Aux!I25,"") &amp; IF(Aux!J25&lt;&gt;""," | "&amp;Aux!J25,"") &amp; IF(Aux!K25&lt;&gt;""," | "&amp;Aux!K25,"") &amp; IF(Aux!L25&lt;&gt;""," | "&amp;Aux!L25,"") &amp; IF(Aux!M25&lt;&gt;""," | "&amp;Aux!M25,"") &amp; IF(B28&gt;12," | (+"&amp;(B28-12)&amp;" más)",""))</f>
      </c>
    </row>
    <row r="29" spans="1:3" ht="19.5" customHeight="1" x14ac:dyDescent="0.2">
      <c r="A29" s="4" t="s">
        <v>58</v>
      </c>
      <c r="B29" s="5">
        <f>COUNTIFS(Registro!$D$2:$D$501,A29,Registro!$Q$2:$Q$501,"Disponible")</f>
        <v>0</v>
      </c>
      <c r="C29" s="6">
        <f>IF(B29=0,"Sin vacantes",Aux!B26 &amp; IF(Aux!C26&lt;&gt;""," | "&amp;Aux!C26,"") &amp; IF(Aux!D26&lt;&gt;""," | "&amp;Aux!D26,"") &amp; IF(Aux!E26&lt;&gt;""," | "&amp;Aux!E26,"") &amp; IF(Aux!F26&lt;&gt;""," | "&amp;Aux!F26,"") &amp; IF(Aux!G26&lt;&gt;""," | "&amp;Aux!G26,"") &amp; IF(Aux!H26&lt;&gt;""," | "&amp;Aux!H26,"") &amp; IF(Aux!I26&lt;&gt;""," | "&amp;Aux!I26,"") &amp; IF(Aux!J26&lt;&gt;""," | "&amp;Aux!J26,"") &amp; IF(Aux!K26&lt;&gt;""," | "&amp;Aux!K26,"") &amp; IF(Aux!L26&lt;&gt;""," | "&amp;Aux!L26,"") &amp; IF(Aux!M26&lt;&gt;""," | "&amp;Aux!M26,"") &amp; IF(B29&gt;12," | (+"&amp;(B29-12)&amp;" más)",""))</f>
      </c>
    </row>
    <row r="30" spans="1:3" ht="19.5" customHeight="1" x14ac:dyDescent="0.2">
      <c r="A30" s="4" t="s">
        <v>59</v>
      </c>
      <c r="B30" s="5">
        <f>COUNTIFS(Registro!$D$2:$D$501,A30,Registro!$Q$2:$Q$501,"Disponible")</f>
        <v>0</v>
      </c>
      <c r="C30" s="6">
        <f>IF(B30=0,"Sin vacantes",Aux!B27 &amp; IF(Aux!C27&lt;&gt;""," | "&amp;Aux!C27,"") &amp; IF(Aux!D27&lt;&gt;""," | "&amp;Aux!D27,"") &amp; IF(Aux!E27&lt;&gt;""," | "&amp;Aux!E27,"") &amp; IF(Aux!F27&lt;&gt;""," | "&amp;Aux!F27,"") &amp; IF(Aux!G27&lt;&gt;""," | "&amp;Aux!G27,"") &amp; IF(Aux!H27&lt;&gt;""," | "&amp;Aux!H27,"") &amp; IF(Aux!I27&lt;&gt;""," | "&amp;Aux!I27,"") &amp; IF(Aux!J27&lt;&gt;""," | "&amp;Aux!J27,"") &amp; IF(Aux!K27&lt;&gt;""," | "&amp;Aux!K27,"") &amp; IF(Aux!L27&lt;&gt;""," | "&amp;Aux!L27,"") &amp; IF(Aux!M27&lt;&gt;""," | "&amp;Aux!M27,"") &amp; IF(B30&gt;12," | (+"&amp;(B30-12)&amp;" más)",""))</f>
      </c>
    </row>
    <row r="31" spans="1:3" ht="19.5" customHeight="1" x14ac:dyDescent="0.2">
      <c r="A31" s="4" t="s">
        <v>60</v>
      </c>
      <c r="B31" s="5">
        <f>COUNTIFS(Registro!$D$2:$D$501,A31,Registro!$Q$2:$Q$501,"Disponible")</f>
        <v>0</v>
      </c>
      <c r="C31" s="6">
        <f>IF(B31=0,"Sin vacantes",Aux!B28 &amp; IF(Aux!C28&lt;&gt;""," | "&amp;Aux!C28,"") &amp; IF(Aux!D28&lt;&gt;""," | "&amp;Aux!D28,"") &amp; IF(Aux!E28&lt;&gt;""," | "&amp;Aux!E28,"") &amp; IF(Aux!F28&lt;&gt;""," | "&amp;Aux!F28,"") &amp; IF(Aux!G28&lt;&gt;""," | "&amp;Aux!G28,"") &amp; IF(Aux!H28&lt;&gt;""," | "&amp;Aux!H28,"") &amp; IF(Aux!I28&lt;&gt;""," | "&amp;Aux!I28,"") &amp; IF(Aux!J28&lt;&gt;""," | "&amp;Aux!J28,"") &amp; IF(Aux!K28&lt;&gt;""," | "&amp;Aux!K28,"") &amp; IF(Aux!L28&lt;&gt;""," | "&amp;Aux!L28,"") &amp; IF(Aux!M28&lt;&gt;""," | "&amp;Aux!M28,"") &amp; IF(B31&gt;12," | (+"&amp;(B31-12)&amp;" más)",""))</f>
      </c>
    </row>
    <row r="32" spans="1:3" ht="19.5" customHeight="1" x14ac:dyDescent="0.2">
      <c r="A32" s="4" t="s">
        <v>61</v>
      </c>
      <c r="B32" s="5">
        <f>COUNTIFS(Registro!$D$2:$D$501,A32,Registro!$Q$2:$Q$501,"Disponible")</f>
        <v>0</v>
      </c>
      <c r="C32" s="6">
        <f>IF(B32=0,"Sin vacantes",Aux!B29 &amp; IF(Aux!C29&lt;&gt;""," | "&amp;Aux!C29,"") &amp; IF(Aux!D29&lt;&gt;""," | "&amp;Aux!D29,"") &amp; IF(Aux!E29&lt;&gt;""," | "&amp;Aux!E29,"") &amp; IF(Aux!F29&lt;&gt;""," | "&amp;Aux!F29,"") &amp; IF(Aux!G29&lt;&gt;""," | "&amp;Aux!G29,"") &amp; IF(Aux!H29&lt;&gt;""," | "&amp;Aux!H29,"") &amp; IF(Aux!I29&lt;&gt;""," | "&amp;Aux!I29,"") &amp; IF(Aux!J29&lt;&gt;""," | "&amp;Aux!J29,"") &amp; IF(Aux!K29&lt;&gt;""," | "&amp;Aux!K29,"") &amp; IF(Aux!L29&lt;&gt;""," | "&amp;Aux!L29,"") &amp; IF(Aux!M29&lt;&gt;""," | "&amp;Aux!M29,"") &amp; IF(B32&gt;12," | (+"&amp;(B32-12)&amp;" más)",""))</f>
      </c>
    </row>
    <row r="33" spans="1:5" ht="19.5" customHeight="1" x14ac:dyDescent="0.2">
      <c r="A33" s="4" t="s">
        <v>62</v>
      </c>
      <c r="B33" s="5">
        <f>COUNTIFS(Registro!$D$2:$D$501,A33,Registro!$Q$2:$Q$501,"Disponible")</f>
        <v>0</v>
      </c>
      <c r="C33" s="6">
        <f>IF(B33=0,"Sin vacantes",Aux!B30 &amp; IF(Aux!C30&lt;&gt;""," | "&amp;Aux!C30,"") &amp; IF(Aux!D30&lt;&gt;""," | "&amp;Aux!D30,"") &amp; IF(Aux!E30&lt;&gt;""," | "&amp;Aux!E30,"") &amp; IF(Aux!F30&lt;&gt;""," | "&amp;Aux!F30,"") &amp; IF(Aux!G30&lt;&gt;""," | "&amp;Aux!G30,"") &amp; IF(Aux!H30&lt;&gt;""," | "&amp;Aux!H30,"") &amp; IF(Aux!I30&lt;&gt;""," | "&amp;Aux!I30,"") &amp; IF(Aux!J30&lt;&gt;""," | "&amp;Aux!J30,"") &amp; IF(Aux!K30&lt;&gt;""," | "&amp;Aux!K30,"") &amp; IF(Aux!L30&lt;&gt;""," | "&amp;Aux!L30,"") &amp; IF(Aux!M30&lt;&gt;""," | "&amp;Aux!M30,"") &amp; IF(B33&gt;12," | (+"&amp;(B33-12)&amp;" más)",""))</f>
      </c>
    </row>
    <row r="35" spans="1:5" ht="27.75" customHeight="1" x14ac:dyDescent="0.2">
      <c r="A35" s="51" t="s">
        <v>68</v>
      </c>
      <c r="B35" s="47"/>
      <c r="C35" s="47"/>
      <c r="D35" s="47"/>
      <c r="E35" s="47"/>
    </row>
    <row r="36" spans="1:5" ht="25.5" customHeight="1" x14ac:dyDescent="0.2">
      <c r="A36" s="7" t="s">
        <v>69</v>
      </c>
      <c r="B36" s="8">
        <f>COUNTIFS(Registro!$O$2:$O$501,"Sí",Registro!$N$2:$N$501,"1 hora")</f>
      </c>
    </row>
    <row r="37" spans="1:5" ht="25.5" customHeight="1" x14ac:dyDescent="0.2">
      <c r="A37" s="7" t="s">
        <v>70</v>
      </c>
      <c r="B37" s="9">
        <f>COUNTIFS(Registro!$O$2:$O$501,"Sí",Registro!$N$2:$N$501,"30 minutos")</f>
        <v>0</v>
      </c>
    </row>
    <row r="38" spans="1:5" ht="27.75" customHeight="1" x14ac:dyDescent="0.2">
      <c r="A38" s="51" t="s">
        <v>71</v>
      </c>
      <c r="B38" s="47"/>
      <c r="C38" s="47"/>
      <c r="D38" s="47"/>
      <c r="E38" s="47"/>
    </row>
    <row r="39" spans="1:5" ht="24" customHeight="1" x14ac:dyDescent="0.2">
      <c r="A39" s="10" t="s">
        <v>72</v>
      </c>
      <c r="B39" s="11">
        <f>COUNTA(Registro!$D$2:$D$501)</f>
        <v>0</v>
      </c>
    </row>
    <row r="40" spans="1:5" ht="24" customHeight="1" x14ac:dyDescent="0.2">
      <c r="A40" s="12" t="s">
        <v>73</v>
      </c>
      <c r="B40" s="13">
        <f>COUNTIF(Registro!$Q$2:$Q$501,"Disponible")</f>
        <v>0</v>
      </c>
      <c r="C40" s="7">
        <f>IF(SUM(B5:B33)=B40,"✓ cuadra","⚠ descuadre de "&amp;(B40-SUM(B5:B33))&amp;": hay vacantes cuya especialidad no está en la lista")</f>
      </c>
    </row>
    <row r="41" spans="1:5" ht="24" customHeight="1" x14ac:dyDescent="0.2">
      <c r="A41" s="14" t="s">
        <v>74</v>
      </c>
      <c r="B41" s="15">
        <f>COUNTIF(Registro!$Q$2:$Q$501,"En trámite")</f>
        <v>0</v>
      </c>
    </row>
    <row r="42" spans="1:5" ht="24" customHeight="1" x14ac:dyDescent="0.2">
      <c r="A42" s="16" t="s">
        <v>75</v>
      </c>
      <c r="B42" s="17">
        <f>COUNTIF(Registro!$Q$2:$Q$501,"No disponible")</f>
        <v>0</v>
      </c>
    </row>
    <row r="43" spans="1:5" ht="18" customHeight="1">
      <c r="A43" s="16" t="inlineStr">
        <is>
          <t xml:space="preserve">Filas incompletas en el Registro:</t>
        </is>
      </c>
      <c r="B43" s="17">
        <f>COUNTIF(Registro!$AD$2:$AD$501,"Falta*")</f>
      </c>
    </row>
    <row r="44" spans="1:5" ht="27.75" customHeight="1">
      <c r="A44" s="51" t="inlineStr">
        <is>
          <t xml:space="preserve">QUIÉN PUEDE ESCRIBIR EN EL LIBRO</t>
        </is>
      </c>
      <c r="B44" s="47"/>
      <c r="C44" s="47"/>
      <c r="D44" s="47"/>
      <c r="E44" s="47"/>
    </row>
    <row r="45" spans="1:5" ht="30" customHeight="1">
      <c r="A45" s="7" t="inlineStr">
        <is>
          <t xml:space="preserve">Esta lista alimenta el desplegable «Introducido por» de las dos hojas de registro. Cambia los cargos o añade los que necesite tu centro: las dos últimas casillas están libres.</t>
        </is>
      </c>
      <c r="B45" s="47"/>
      <c r="C45" s="47"/>
      <c r="D45" s="47"/>
      <c r="E45" s="47"/>
    </row>
    <row r="46" spans="1:5" ht="18" customHeight="1">
      <c r="A46" s="52" t="inlineStr">
        <is>
          <t xml:space="preserve">Jefatura</t>
        </is>
      </c>
      <c r="B46" s="47"/>
      <c r="C46" s="47"/>
      <c r="D46" s="47"/>
      <c r="E46" s="47"/>
    </row>
    <row r="47" spans="1:5" ht="18" customHeight="1">
      <c r="A47" s="52" t="inlineStr">
        <is>
          <t xml:space="preserve">Secretaría</t>
        </is>
      </c>
      <c r="B47" s="47"/>
      <c r="C47" s="47"/>
      <c r="D47" s="47"/>
      <c r="E47" s="47"/>
    </row>
    <row r="48" spans="1:5" ht="18" customHeight="1">
      <c r="A48" s="52" t="inlineStr">
        <is>
          <t xml:space="preserve">Administración</t>
        </is>
      </c>
      <c r="B48" s="47"/>
      <c r="C48" s="47"/>
      <c r="D48" s="47"/>
      <c r="E48" s="47"/>
    </row>
    <row r="49" spans="1:5" ht="18" customHeight="1">
      <c r="A49" s="52"/>
      <c r="B49" s="7" t="inlineStr">
        <is>
          <t xml:space="preserve">← libre</t>
        </is>
      </c>
      <c r="C49" s="47"/>
      <c r="D49" s="47"/>
      <c r="E49" s="47"/>
    </row>
    <row r="50" spans="1:5" ht="18" customHeight="1">
      <c r="A50" s="52"/>
      <c r="B50" s="7" t="inlineStr">
        <is>
          <t xml:space="preserve">← libre</t>
        </is>
      </c>
      <c r="C50" s="47"/>
      <c r="D50" s="47"/>
      <c r="E50" s="47"/>
    </row>
  </sheetData>
  <sheetProtection sheet="1" objects="1" scenarios="1" formatCells="1" formatColumns="1" formatRows="1" insertColumns="1" insertRows="1" insertHyperlinks="1" deleteColumns="1" deleteRows="1" sort="1" autoFilter="0" pivotTables="1" selectLockedCells="0" selectUnlockedCells="0"/>
  <mergeCells count="7">
    <mergeCell ref="A44:E44"/>
    <mergeCell ref="A45:E45"/>
    <mergeCell ref="A2:E2"/>
    <mergeCell ref="A1:E1"/>
    <mergeCell ref="A3:E3"/>
    <mergeCell ref="A35:E35"/>
    <mergeCell ref="A38:E38"/>
  </mergeCells>
  <conditionalFormatting sqref="A2:E2">
    <cfRule type="expression" dxfId="2" priority="20">
      <formula>LEFT($A$2,5)="Falta"</formula>
    </cfRule>
    <cfRule type="expression" dxfId="9" priority="21">
      <formula>TODAY()&gt;DATE(IF(MONTH(TODAY())&gt;=9,YEAR(TODAY()),YEAR(TODAY())-1),12,15)</formula>
    </cfRule>
  </conditionalFormatting>
  <conditionalFormatting sqref="C40">
    <cfRule type="expression" dxfId="2" priority="30">
      <formula>LEFT($C$40,1)&lt;&gt;"✓"</formula>
    </cfRule>
  </conditionalFormatting>
  <conditionalFormatting sqref="A5:C33">
    <cfRule type="expression" dxfId="12" priority="3">
      <formula>$B5&gt;0</formula>
    </cfRule>
  </conditionalFormatting>
  <conditionalFormatting sqref="B5:B33">
    <cfRule type="cellIs" dxfId="11" priority="2"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501"/>
  <sheetViews>
    <sheetView zoomScaleNormal="100" workbookViewId="0">
      <pane ySplit="1" topLeftCell="A2" activePane="bottomLeft" state="frozen"/>
      <selection pane="bottomLeft" activeCell="B2" sqref="B2"/>
    </sheetView>
  </sheetViews>
  <sheetFormatPr baseColWidth="10" defaultColWidth="8.6640625" defaultRowHeight="15" customHeight="1" x14ac:dyDescent="0.2"/>
  <cols>
    <col min="1" max="1" width="7" customWidth="1"/>
    <col min="2" max="2" width="18" customWidth="1"/>
    <col min="3" max="3" width="22" customWidth="1"/>
    <col min="4" max="4" width="42" customWidth="1"/>
    <col min="5" max="5" width="26" customWidth="1"/>
    <col min="6" max="6" width="20" customWidth="1"/>
    <col min="7" max="7" width="14" customWidth="1"/>
    <col min="8" max="8" width="14" customWidth="1"/>
    <col min="9" max="9" width="24" customWidth="1"/>
    <col min="10" max="10" width="30" customWidth="1"/>
    <col min="11" max="11" width="26" customWidth="1"/>
    <col min="12" max="12" width="22" customWidth="1"/>
    <col min="13" max="13" width="22" customWidth="1"/>
    <col min="14" max="14" width="16" customWidth="1"/>
    <col min="15" max="15" width="18" customWidth="1"/>
    <col min="16" max="16" width="28" customWidth="1"/>
    <col min="17" max="17" width="20" customWidth="1"/>
    <col min="18" max="18" width="30" customWidth="1"/>
    <col min="19" max="19" width="26" customWidth="1"/>
    <col min="20" max="20" width="20" customWidth="1"/>
    <col min="21" max="21" width="14" customWidth="1"/>
    <col min="22" max="22" width="34" customWidth="1"/>
    <col min="23" max="23" width="13" hidden="1" customWidth="1"/>
    <col min="24" max="24" width="13" hidden="1" customWidth="1"/>
    <col min="25" max="25" width="13" hidden="1" customWidth="1"/>
    <col min="26" max="26" width="13" hidden="1" customWidth="1"/>
    <col min="27" max="27" width="13" hidden="1" customWidth="1"/>
    <col min="28" max="28" width="13" hidden="1" customWidth="1"/>
    <col min="29" max="29" width="13" hidden="1" customWidth="1"/>
    <col min="30" max="30" width="105" customWidth="1"/>
    <col min="31" max="31" width="9" hidden="1" customWidth="1"/>
    <col min="32" max="32" width="9" hidden="1" customWidth="1"/>
    <col min="33" max="33" width="9" hidden="1" customWidth="1"/>
    <col min="34" max="34" width="9" hidden="1" customWidth="1"/>
    <col min="35" max="37" width="9" hidden="1" customWidth="1"/>
  </cols>
  <sheetData>
    <row r="1" spans="1:37" ht="45" customHeight="1">
      <c r="A1" s="18" t="inlineStr">
        <is>
          <t xml:space="preserve">Nº de orden</t>
        </is>
      </c>
      <c r="B1" s="18" t="inlineStr">
        <is>
          <t xml:space="preserve">Fecha de
Introducción</t>
        </is>
      </c>
      <c r="C1" s="18" t="inlineStr">
        <is>
          <t xml:space="preserve">Introducido por</t>
        </is>
      </c>
      <c r="D1" s="18" t="inlineStr">
        <is>
          <t xml:space="preserve">Especialidad</t>
        </is>
      </c>
      <c r="E1" s="18" t="inlineStr">
        <is>
          <t xml:space="preserve">Apellidos
(deja la plaza)</t>
        </is>
      </c>
      <c r="F1" s="18" t="inlineStr">
        <is>
          <t xml:space="preserve">Nombre
(deja la plaza)</t>
        </is>
      </c>
      <c r="G1" s="18" t="inlineStr">
        <is>
          <t xml:space="preserve">NIA
(deja la plaza)</t>
        </is>
      </c>
      <c r="H1" s="18" t="inlineStr">
        <is>
          <t xml:space="preserve">Curso</t>
        </is>
      </c>
      <c r="I1" s="18" t="inlineStr">
        <is>
          <t xml:space="preserve">Motivo de Vacante</t>
        </is>
      </c>
      <c r="J1" s="18" t="inlineStr">
        <is>
          <t xml:space="preserve">Observaciones
sobre Motivo</t>
        </is>
      </c>
      <c r="K1" s="18" t="inlineStr">
        <is>
          <t xml:space="preserve">Nombre del Docente</t>
        </is>
      </c>
      <c r="L1" s="18" t="inlineStr">
        <is>
          <t xml:space="preserve">Horario Original</t>
        </is>
      </c>
      <c r="M1" s="18" t="inlineStr">
        <is>
          <t xml:space="preserve">Nuevo Horario</t>
        </is>
      </c>
      <c r="N1" s="18" t="inlineStr">
        <is>
          <t xml:space="preserve">Duración</t>
        </is>
      </c>
      <c r="O1" s="18" t="inlineStr">
        <is>
          <t xml:space="preserve">¿En uso como
Refuerzo?</t>
        </is>
      </c>
      <c r="P1" s="18" t="inlineStr">
        <is>
          <t xml:space="preserve">Detalle del Refuerzo</t>
        </is>
      </c>
      <c r="Q1" s="18" t="inlineStr">
        <is>
          <t xml:space="preserve">Estado de la
Vacante</t>
        </is>
      </c>
      <c r="R1" s="18" t="inlineStr">
        <is>
          <t xml:space="preserve">Vía de cobertura</t>
        </is>
      </c>
      <c r="S1" s="18" t="inlineStr">
        <is>
          <t xml:space="preserve">Apellidos
(ocupa la plaza)</t>
        </is>
      </c>
      <c r="T1" s="18" t="inlineStr">
        <is>
          <t xml:space="preserve">Nombre
(ocupa la plaza)</t>
        </is>
      </c>
      <c r="U1" s="18" t="inlineStr">
        <is>
          <t xml:space="preserve">NIA
(ocupa la plaza)</t>
        </is>
      </c>
      <c r="V1" s="18" t="inlineStr">
        <is>
          <t xml:space="preserve">Observaciones Generales</t>
        </is>
      </c>
      <c r="W1" s="19" t="inlineStr">
        <is>
          <t xml:space="preserve">_VacSlot</t>
        </is>
      </c>
      <c r="X1" s="19" t="inlineStr">
        <is>
          <t xml:space="preserve">_VacKey</t>
        </is>
      </c>
      <c r="Y1" s="19" t="inlineStr">
        <is>
          <t xml:space="preserve">_VacStr</t>
        </is>
      </c>
      <c r="Z1" s="19" t="inlineStr">
        <is>
          <t xml:space="preserve">_RefSlot</t>
        </is>
      </c>
      <c r="AA1" s="19" t="inlineStr">
        <is>
          <t xml:space="preserve">_RefKey</t>
        </is>
      </c>
      <c r="AB1" s="19" t="inlineStr">
        <is>
          <t xml:space="preserve">_RefStr</t>
        </is>
      </c>
      <c r="AC1" s="19" t="inlineStr">
        <is>
          <t xml:space="preserve">_Faltas</t>
        </is>
      </c>
      <c r="AD1" s="18" t="inlineStr">
        <is>
          <t xml:space="preserve">Comprobación</t>
        </is>
      </c>
      <c r="AE1" s="19" t="inlineStr">
        <is>
          <t xml:space="preserve">_iBaja</t>
        </is>
      </c>
      <c r="AF1" s="19" t="inlineStr">
        <is>
          <t xml:space="preserve">_iDisp</t>
        </is>
      </c>
      <c r="AG1" s="19" t="inlineStr">
        <is>
          <t xml:space="preserve">_iRef</t>
        </is>
      </c>
      <c r="AH1" s="19" t="inlineStr">
        <is>
          <t xml:space="preserve">_iOcio</t>
        </is>
      </c>
      <c r="AI1" s="19" t="inlineStr">
        <is>
          <t xml:space="preserve">_DocSlot</t>
        </is>
      </c>
      <c r="AJ1" s="19" t="inlineStr">
        <is>
          <t xml:space="preserve">_DocKey</t>
        </is>
      </c>
      <c r="AK1" s="19" t="inlineStr">
        <is>
          <t xml:space="preserve">_Revisar</t>
        </is>
      </c>
    </row>
    <row r="2" spans="1:37">
      <c r="A2" s="20">
        <f>IF(D2&lt;&gt;"",ROW()-1,"")</f>
      </c>
      <c r="B2" s="55"/>
      <c r="C2" s="56"/>
      <c r="D2" s="56"/>
      <c r="E2" s="56"/>
      <c r="F2" s="56"/>
      <c r="G2" s="56"/>
      <c r="H2" s="56"/>
      <c r="I2" s="56"/>
      <c r="J2" s="57"/>
      <c r="K2" s="56"/>
      <c r="L2" s="58"/>
      <c r="M2" s="58">
        <f>IF(L2="","",L2)</f>
      </c>
      <c r="N2" s="56"/>
      <c r="O2" s="56"/>
      <c r="P2" s="57"/>
      <c r="Q2" s="56"/>
      <c r="R2" s="56"/>
      <c r="S2" s="56"/>
      <c r="T2" s="56"/>
      <c r="U2" s="56"/>
      <c r="V2" s="57"/>
      <c r="W2">
        <f>IF(Q2="Disponible",COUNTIFS($D$2:D2,D2,$Q$2:Q2,"Disponible"),"")</f>
      </c>
      <c r="X2">
        <f>IF(W2&lt;&gt;"",D2&amp;"|"&amp;W2,"")</f>
      </c>
      <c r="Y2">
        <f>IF(X2&lt;&gt;"",IF(K2&lt;&gt;"",K2&amp;" ("&amp;M2&amp;")",M2),"")</f>
      </c>
      <c r="Z2">
        <f>IF(O2="Sí",COUNTIFS($D$2:D2,D2,$O$2:O2,"Sí"),"")</f>
      </c>
      <c r="AA2">
        <f>IF(Z2&lt;&gt;"",D2&amp;"|"&amp;Z2,"")</f>
      </c>
      <c r="AB2">
        <f>IF(AA2&lt;&gt;"",IF(K2&lt;&gt;"",K2&amp;" ("&amp;M2&amp;")",M2),"")</f>
      </c>
      <c r="AC2">
        <f>IF($B2="","fecha, ","")&amp;IF($C2="","quién lo introduce, ","")&amp;IF($I2="","motivo, ","")&amp;IF($K2="","docente, ","")&amp;IF($L2="","horario, ","")&amp;IF($N2="","duración, ","")&amp;IF($Q2="","estado, ","")&amp;IF(AND($I2="Otros",$J2=""),"detalle del motivo, ","")&amp;IF(AND($O2="Sí",$P2=""),"detalle del refuerzo, ","")&amp;IF(AND(OR($I2="Renuncia (hasta 30 nov)",$I2="Baja (desde 1 dic)",$I2="Renuncia excepcional (art. 25.3)",$I2="Traslado de expediente"),OR($E2="",$F2="",$G2="")),"quién deja la plaza, ","")&amp;IF(AND($Q2="No disponible",$R2=""),"vía de cobertura, ","")&amp;IF(AND(OR($R2="Lista de espera · propio centro",$R2="Traslado de expediente",$R2="Lista de espera · otro centro"),OR($S2="",$T2="",$U2="")),"quién ocupa la plaza, ","")</f>
      </c>
      <c r="AD2" s="24">
        <f>IF($D2="","",IF(AND(LEN($AC2)=0,LEN($AK2)=0),"Completa",IF(LEN($AC2)=0,"Revisar: "&amp;LEFT($AK2,LEN($AK2)-2),"Falta: "&amp;LEFT($AC2,LEN($AC2)-2)&amp;IF(LEN($AK2)&gt;0,"  ·  Revisar: "&amp;LEFT($AK2,LEN($AK2)-2),""))))</f>
      </c>
      <c r="AE2">
        <f>IF(AND($D2&lt;&gt;"",OR($I2="Renuncia (hasta 30 nov)",$I2="Baja (desde 1 dic)",$I2="Renuncia excepcional (art. 25.3)",$I2="Traslado de expediente")),COUNTIF($AE$1:AE1,"&gt;0")+1,"")</f>
      </c>
      <c r="AF2">
        <f>IF($Q2="Disponible",COUNTIF($AF$1:AF1,"&gt;0")+1,"")</f>
      </c>
      <c r="AG2">
        <f>IF($O2="Sí",COUNTIF($AG$1:AG1,"&gt;0")+1,"")</f>
      </c>
      <c r="AH2">
        <f>IF(AND($Q2="Disponible",$O2&lt;&gt;"Sí"),COUNTIF($AH$1:AH1,"&gt;0")+1,"")</f>
      </c>
      <c r="AI2">
        <f>IF(AND($Q2="Disponible",$K2&lt;&gt;""),COUNTIFS($K$2:K2,K2,$Q$2:Q2,"Disponible"),"")</f>
      </c>
      <c r="AJ2">
        <f>IF(AI2&lt;&gt;"",K2&amp;"|"&amp;AI2,"")</f>
      </c>
      <c r="AK2">
        <f>IF(AND($Q2="No disponible",OR($R2="Lista de espera · propio centro",$R2="Traslado de expediente",$R2="Lista de espera · otro centro"),$O2="Sí"),"la plaza ya tiene alumno y sigue marcada como refuerzo, ","")&amp;IF(AND($R2="Reconvertida en refuerzo",$O2&lt;&gt;"Sí"),"reconvertida en refuerzo pero sin marcar «En uso como refuerzo», ","")</f>
      </c>
    </row>
    <row r="3" spans="1:37">
      <c r="A3" s="20">
        <f>IF(D3&lt;&gt;"",ROW()-1,"")</f>
      </c>
      <c r="B3" s="55"/>
      <c r="C3" s="56"/>
      <c r="D3" s="56"/>
      <c r="E3" s="56"/>
      <c r="F3" s="56"/>
      <c r="G3" s="56"/>
      <c r="H3" s="56"/>
      <c r="I3" s="56"/>
      <c r="J3" s="57"/>
      <c r="K3" s="56"/>
      <c r="L3" s="58"/>
      <c r="M3" s="58">
        <f>IF(L3="","",L3)</f>
      </c>
      <c r="N3" s="56"/>
      <c r="O3" s="56"/>
      <c r="P3" s="57"/>
      <c r="Q3" s="56"/>
      <c r="R3" s="56"/>
      <c r="S3" s="56"/>
      <c r="T3" s="56"/>
      <c r="U3" s="56"/>
      <c r="V3" s="57"/>
      <c r="W3">
        <f>IF(Q3="Disponible",COUNTIFS($D$2:D3,D3,$Q$2:Q3,"Disponible"),"")</f>
      </c>
      <c r="X3">
        <f>IF(W3&lt;&gt;"",D3&amp;"|"&amp;W3,"")</f>
      </c>
      <c r="Y3">
        <f>IF(X3&lt;&gt;"",IF(K3&lt;&gt;"",K3&amp;" ("&amp;M3&amp;")",M3),"")</f>
      </c>
      <c r="Z3">
        <f>IF(O3="Sí",COUNTIFS($D$2:D3,D3,$O$2:O3,"Sí"),"")</f>
      </c>
      <c r="AA3">
        <f>IF(Z3&lt;&gt;"",D3&amp;"|"&amp;Z3,"")</f>
      </c>
      <c r="AB3">
        <f>IF(AA3&lt;&gt;"",IF(K3&lt;&gt;"",K3&amp;" ("&amp;M3&amp;")",M3),"")</f>
      </c>
      <c r="AC3">
        <f>IF($B3="","fecha, ","")&amp;IF($C3="","quién lo introduce, ","")&amp;IF($I3="","motivo, ","")&amp;IF($K3="","docente, ","")&amp;IF($L3="","horario, ","")&amp;IF($N3="","duración, ","")&amp;IF($Q3="","estado, ","")&amp;IF(AND($I3="Otros",$J3=""),"detalle del motivo, ","")&amp;IF(AND($O3="Sí",$P3=""),"detalle del refuerzo, ","")&amp;IF(AND(OR($I3="Renuncia (hasta 30 nov)",$I3="Baja (desde 1 dic)",$I3="Renuncia excepcional (art. 25.3)",$I3="Traslado de expediente"),OR($E3="",$F3="",$G3="")),"quién deja la plaza, ","")&amp;IF(AND($Q3="No disponible",$R3=""),"vía de cobertura, ","")&amp;IF(AND(OR($R3="Lista de espera · propio centro",$R3="Traslado de expediente",$R3="Lista de espera · otro centro"),OR($S3="",$T3="",$U3="")),"quién ocupa la plaza, ","")</f>
      </c>
      <c r="AD3" s="24">
        <f>IF($D3="","",IF(AND(LEN($AC3)=0,LEN($AK3)=0),"Completa",IF(LEN($AC3)=0,"Revisar: "&amp;LEFT($AK3,LEN($AK3)-2),"Falta: "&amp;LEFT($AC3,LEN($AC3)-2)&amp;IF(LEN($AK3)&gt;0,"  ·  Revisar: "&amp;LEFT($AK3,LEN($AK3)-2),""))))</f>
      </c>
      <c r="AE3">
        <f>IF(AND($D3&lt;&gt;"",OR($I3="Renuncia (hasta 30 nov)",$I3="Baja (desde 1 dic)",$I3="Renuncia excepcional (art. 25.3)",$I3="Traslado de expediente")),COUNTIF($AE$1:AE2,"&gt;0")+1,"")</f>
      </c>
      <c r="AF3">
        <f>IF($Q3="Disponible",COUNTIF($AF$1:AF2,"&gt;0")+1,"")</f>
      </c>
      <c r="AG3">
        <f>IF($O3="Sí",COUNTIF($AG$1:AG2,"&gt;0")+1,"")</f>
      </c>
      <c r="AH3">
        <f>IF(AND($Q3="Disponible",$O3&lt;&gt;"Sí"),COUNTIF($AH$1:AH2,"&gt;0")+1,"")</f>
      </c>
      <c r="AI3">
        <f>IF(AND($Q3="Disponible",$K3&lt;&gt;""),COUNTIFS($K$2:K3,K3,$Q$2:Q3,"Disponible"),"")</f>
      </c>
      <c r="AJ3">
        <f>IF(AI3&lt;&gt;"",K3&amp;"|"&amp;AI3,"")</f>
      </c>
      <c r="AK3">
        <f>IF(AND($Q3="No disponible",OR($R3="Lista de espera · propio centro",$R3="Traslado de expediente",$R3="Lista de espera · otro centro"),$O3="Sí"),"la plaza ya tiene alumno y sigue marcada como refuerzo, ","")&amp;IF(AND($R3="Reconvertida en refuerzo",$O3&lt;&gt;"Sí"),"reconvertida en refuerzo pero sin marcar «En uso como refuerzo», ","")</f>
      </c>
    </row>
    <row r="4" spans="1:37">
      <c r="A4" s="20">
        <f>IF(D4&lt;&gt;"",ROW()-1,"")</f>
      </c>
      <c r="B4" s="55"/>
      <c r="C4" s="56"/>
      <c r="D4" s="56"/>
      <c r="E4" s="56"/>
      <c r="F4" s="56"/>
      <c r="G4" s="56"/>
      <c r="H4" s="56"/>
      <c r="I4" s="56"/>
      <c r="J4" s="57"/>
      <c r="K4" s="56"/>
      <c r="L4" s="58"/>
      <c r="M4" s="58">
        <f>IF(L4="","",L4)</f>
      </c>
      <c r="N4" s="56"/>
      <c r="O4" s="56"/>
      <c r="P4" s="57"/>
      <c r="Q4" s="56"/>
      <c r="R4" s="56"/>
      <c r="S4" s="56"/>
      <c r="T4" s="56"/>
      <c r="U4" s="56"/>
      <c r="V4" s="57"/>
      <c r="W4">
        <f>IF(Q4="Disponible",COUNTIFS($D$2:D4,D4,$Q$2:Q4,"Disponible"),"")</f>
      </c>
      <c r="X4">
        <f>IF(W4&lt;&gt;"",D4&amp;"|"&amp;W4,"")</f>
      </c>
      <c r="Y4">
        <f>IF(X4&lt;&gt;"",IF(K4&lt;&gt;"",K4&amp;" ("&amp;M4&amp;")",M4),"")</f>
      </c>
      <c r="Z4">
        <f>IF(O4="Sí",COUNTIFS($D$2:D4,D4,$O$2:O4,"Sí"),"")</f>
      </c>
      <c r="AA4">
        <f>IF(Z4&lt;&gt;"",D4&amp;"|"&amp;Z4,"")</f>
      </c>
      <c r="AB4">
        <f>IF(AA4&lt;&gt;"",IF(K4&lt;&gt;"",K4&amp;" ("&amp;M4&amp;")",M4),"")</f>
      </c>
      <c r="AC4">
        <f>IF($B4="","fecha, ","")&amp;IF($C4="","quién lo introduce, ","")&amp;IF($I4="","motivo, ","")&amp;IF($K4="","docente, ","")&amp;IF($L4="","horario, ","")&amp;IF($N4="","duración, ","")&amp;IF($Q4="","estado, ","")&amp;IF(AND($I4="Otros",$J4=""),"detalle del motivo, ","")&amp;IF(AND($O4="Sí",$P4=""),"detalle del refuerzo, ","")&amp;IF(AND(OR($I4="Renuncia (hasta 30 nov)",$I4="Baja (desde 1 dic)",$I4="Renuncia excepcional (art. 25.3)",$I4="Traslado de expediente"),OR($E4="",$F4="",$G4="")),"quién deja la plaza, ","")&amp;IF(AND($Q4="No disponible",$R4=""),"vía de cobertura, ","")&amp;IF(AND(OR($R4="Lista de espera · propio centro",$R4="Traslado de expediente",$R4="Lista de espera · otro centro"),OR($S4="",$T4="",$U4="")),"quién ocupa la plaza, ","")</f>
      </c>
      <c r="AD4" s="24">
        <f>IF($D4="","",IF(AND(LEN($AC4)=0,LEN($AK4)=0),"Completa",IF(LEN($AC4)=0,"Revisar: "&amp;LEFT($AK4,LEN($AK4)-2),"Falta: "&amp;LEFT($AC4,LEN($AC4)-2)&amp;IF(LEN($AK4)&gt;0,"  ·  Revisar: "&amp;LEFT($AK4,LEN($AK4)-2),""))))</f>
      </c>
      <c r="AE4">
        <f>IF(AND($D4&lt;&gt;"",OR($I4="Renuncia (hasta 30 nov)",$I4="Baja (desde 1 dic)",$I4="Renuncia excepcional (art. 25.3)",$I4="Traslado de expediente")),COUNTIF($AE$1:AE3,"&gt;0")+1,"")</f>
      </c>
      <c r="AF4">
        <f>IF($Q4="Disponible",COUNTIF($AF$1:AF3,"&gt;0")+1,"")</f>
      </c>
      <c r="AG4">
        <f>IF($O4="Sí",COUNTIF($AG$1:AG3,"&gt;0")+1,"")</f>
      </c>
      <c r="AH4">
        <f>IF(AND($Q4="Disponible",$O4&lt;&gt;"Sí"),COUNTIF($AH$1:AH3,"&gt;0")+1,"")</f>
      </c>
      <c r="AI4">
        <f>IF(AND($Q4="Disponible",$K4&lt;&gt;""),COUNTIFS($K$2:K4,K4,$Q$2:Q4,"Disponible"),"")</f>
      </c>
      <c r="AJ4">
        <f>IF(AI4&lt;&gt;"",K4&amp;"|"&amp;AI4,"")</f>
      </c>
      <c r="AK4">
        <f>IF(AND($Q4="No disponible",OR($R4="Lista de espera · propio centro",$R4="Traslado de expediente",$R4="Lista de espera · otro centro"),$O4="Sí"),"la plaza ya tiene alumno y sigue marcada como refuerzo, ","")&amp;IF(AND($R4="Reconvertida en refuerzo",$O4&lt;&gt;"Sí"),"reconvertida en refuerzo pero sin marcar «En uso como refuerzo», ","")</f>
      </c>
    </row>
    <row r="5" spans="1:37">
      <c r="A5" s="20">
        <f>IF(D5&lt;&gt;"",ROW()-1,"")</f>
      </c>
      <c r="B5" s="55"/>
      <c r="C5" s="56"/>
      <c r="D5" s="56"/>
      <c r="E5" s="56"/>
      <c r="F5" s="56"/>
      <c r="G5" s="56"/>
      <c r="H5" s="56"/>
      <c r="I5" s="56"/>
      <c r="J5" s="57"/>
      <c r="K5" s="56"/>
      <c r="L5" s="58"/>
      <c r="M5" s="58">
        <f>IF(L5="","",L5)</f>
      </c>
      <c r="N5" s="56"/>
      <c r="O5" s="56"/>
      <c r="P5" s="57"/>
      <c r="Q5" s="56"/>
      <c r="R5" s="56"/>
      <c r="S5" s="56"/>
      <c r="T5" s="56"/>
      <c r="U5" s="56"/>
      <c r="V5" s="57"/>
      <c r="W5">
        <f>IF(Q5="Disponible",COUNTIFS($D$2:D5,D5,$Q$2:Q5,"Disponible"),"")</f>
      </c>
      <c r="X5">
        <f>IF(W5&lt;&gt;"",D5&amp;"|"&amp;W5,"")</f>
      </c>
      <c r="Y5">
        <f>IF(X5&lt;&gt;"",IF(K5&lt;&gt;"",K5&amp;" ("&amp;M5&amp;")",M5),"")</f>
      </c>
      <c r="Z5">
        <f>IF(O5="Sí",COUNTIFS($D$2:D5,D5,$O$2:O5,"Sí"),"")</f>
      </c>
      <c r="AA5">
        <f>IF(Z5&lt;&gt;"",D5&amp;"|"&amp;Z5,"")</f>
      </c>
      <c r="AB5">
        <f>IF(AA5&lt;&gt;"",IF(K5&lt;&gt;"",K5&amp;" ("&amp;M5&amp;")",M5),"")</f>
      </c>
      <c r="AC5">
        <f>IF($B5="","fecha, ","")&amp;IF($C5="","quién lo introduce, ","")&amp;IF($I5="","motivo, ","")&amp;IF($K5="","docente, ","")&amp;IF($L5="","horario, ","")&amp;IF($N5="","duración, ","")&amp;IF($Q5="","estado, ","")&amp;IF(AND($I5="Otros",$J5=""),"detalle del motivo, ","")&amp;IF(AND($O5="Sí",$P5=""),"detalle del refuerzo, ","")&amp;IF(AND(OR($I5="Renuncia (hasta 30 nov)",$I5="Baja (desde 1 dic)",$I5="Renuncia excepcional (art. 25.3)",$I5="Traslado de expediente"),OR($E5="",$F5="",$G5="")),"quién deja la plaza, ","")&amp;IF(AND($Q5="No disponible",$R5=""),"vía de cobertura, ","")&amp;IF(AND(OR($R5="Lista de espera · propio centro",$R5="Traslado de expediente",$R5="Lista de espera · otro centro"),OR($S5="",$T5="",$U5="")),"quién ocupa la plaza, ","")</f>
      </c>
      <c r="AD5" s="24">
        <f>IF($D5="","",IF(AND(LEN($AC5)=0,LEN($AK5)=0),"Completa",IF(LEN($AC5)=0,"Revisar: "&amp;LEFT($AK5,LEN($AK5)-2),"Falta: "&amp;LEFT($AC5,LEN($AC5)-2)&amp;IF(LEN($AK5)&gt;0,"  ·  Revisar: "&amp;LEFT($AK5,LEN($AK5)-2),""))))</f>
      </c>
      <c r="AE5">
        <f>IF(AND($D5&lt;&gt;"",OR($I5="Renuncia (hasta 30 nov)",$I5="Baja (desde 1 dic)",$I5="Renuncia excepcional (art. 25.3)",$I5="Traslado de expediente")),COUNTIF($AE$1:AE4,"&gt;0")+1,"")</f>
      </c>
      <c r="AF5">
        <f>IF($Q5="Disponible",COUNTIF($AF$1:AF4,"&gt;0")+1,"")</f>
      </c>
      <c r="AG5">
        <f>IF($O5="Sí",COUNTIF($AG$1:AG4,"&gt;0")+1,"")</f>
      </c>
      <c r="AH5">
        <f>IF(AND($Q5="Disponible",$O5&lt;&gt;"Sí"),COUNTIF($AH$1:AH4,"&gt;0")+1,"")</f>
      </c>
      <c r="AI5">
        <f>IF(AND($Q5="Disponible",$K5&lt;&gt;""),COUNTIFS($K$2:K5,K5,$Q$2:Q5,"Disponible"),"")</f>
      </c>
      <c r="AJ5">
        <f>IF(AI5&lt;&gt;"",K5&amp;"|"&amp;AI5,"")</f>
      </c>
      <c r="AK5">
        <f>IF(AND($Q5="No disponible",OR($R5="Lista de espera · propio centro",$R5="Traslado de expediente",$R5="Lista de espera · otro centro"),$O5="Sí"),"la plaza ya tiene alumno y sigue marcada como refuerzo, ","")&amp;IF(AND($R5="Reconvertida en refuerzo",$O5&lt;&gt;"Sí"),"reconvertida en refuerzo pero sin marcar «En uso como refuerzo», ","")</f>
      </c>
    </row>
    <row r="6" spans="1:37">
      <c r="A6" s="20">
        <f>IF(D6&lt;&gt;"",ROW()-1,"")</f>
      </c>
      <c r="B6" s="55"/>
      <c r="C6" s="56"/>
      <c r="D6" s="56"/>
      <c r="E6" s="56"/>
      <c r="F6" s="56"/>
      <c r="G6" s="56"/>
      <c r="H6" s="56"/>
      <c r="I6" s="56"/>
      <c r="J6" s="57"/>
      <c r="K6" s="56"/>
      <c r="L6" s="58"/>
      <c r="M6" s="58">
        <f>IF(L6="","",L6)</f>
      </c>
      <c r="N6" s="56"/>
      <c r="O6" s="56"/>
      <c r="P6" s="57"/>
      <c r="Q6" s="56"/>
      <c r="R6" s="56"/>
      <c r="S6" s="56"/>
      <c r="T6" s="56"/>
      <c r="U6" s="56"/>
      <c r="V6" s="57"/>
      <c r="W6">
        <f>IF(Q6="Disponible",COUNTIFS($D$2:D6,D6,$Q$2:Q6,"Disponible"),"")</f>
      </c>
      <c r="X6">
        <f>IF(W6&lt;&gt;"",D6&amp;"|"&amp;W6,"")</f>
      </c>
      <c r="Y6">
        <f>IF(X6&lt;&gt;"",IF(K6&lt;&gt;"",K6&amp;" ("&amp;M6&amp;")",M6),"")</f>
      </c>
      <c r="Z6">
        <f>IF(O6="Sí",COUNTIFS($D$2:D6,D6,$O$2:O6,"Sí"),"")</f>
      </c>
      <c r="AA6">
        <f>IF(Z6&lt;&gt;"",D6&amp;"|"&amp;Z6,"")</f>
      </c>
      <c r="AB6">
        <f>IF(AA6&lt;&gt;"",IF(K6&lt;&gt;"",K6&amp;" ("&amp;M6&amp;")",M6),"")</f>
      </c>
      <c r="AC6">
        <f>IF($B6="","fecha, ","")&amp;IF($C6="","quién lo introduce, ","")&amp;IF($I6="","motivo, ","")&amp;IF($K6="","docente, ","")&amp;IF($L6="","horario, ","")&amp;IF($N6="","duración, ","")&amp;IF($Q6="","estado, ","")&amp;IF(AND($I6="Otros",$J6=""),"detalle del motivo, ","")&amp;IF(AND($O6="Sí",$P6=""),"detalle del refuerzo, ","")&amp;IF(AND(OR($I6="Renuncia (hasta 30 nov)",$I6="Baja (desde 1 dic)",$I6="Renuncia excepcional (art. 25.3)",$I6="Traslado de expediente"),OR($E6="",$F6="",$G6="")),"quién deja la plaza, ","")&amp;IF(AND($Q6="No disponible",$R6=""),"vía de cobertura, ","")&amp;IF(AND(OR($R6="Lista de espera · propio centro",$R6="Traslado de expediente",$R6="Lista de espera · otro centro"),OR($S6="",$T6="",$U6="")),"quién ocupa la plaza, ","")</f>
      </c>
      <c r="AD6" s="24">
        <f>IF($D6="","",IF(AND(LEN($AC6)=0,LEN($AK6)=0),"Completa",IF(LEN($AC6)=0,"Revisar: "&amp;LEFT($AK6,LEN($AK6)-2),"Falta: "&amp;LEFT($AC6,LEN($AC6)-2)&amp;IF(LEN($AK6)&gt;0,"  ·  Revisar: "&amp;LEFT($AK6,LEN($AK6)-2),""))))</f>
      </c>
      <c r="AE6">
        <f>IF(AND($D6&lt;&gt;"",OR($I6="Renuncia (hasta 30 nov)",$I6="Baja (desde 1 dic)",$I6="Renuncia excepcional (art. 25.3)",$I6="Traslado de expediente")),COUNTIF($AE$1:AE5,"&gt;0")+1,"")</f>
      </c>
      <c r="AF6">
        <f>IF($Q6="Disponible",COUNTIF($AF$1:AF5,"&gt;0")+1,"")</f>
      </c>
      <c r="AG6">
        <f>IF($O6="Sí",COUNTIF($AG$1:AG5,"&gt;0")+1,"")</f>
      </c>
      <c r="AH6">
        <f>IF(AND($Q6="Disponible",$O6&lt;&gt;"Sí"),COUNTIF($AH$1:AH5,"&gt;0")+1,"")</f>
      </c>
      <c r="AI6">
        <f>IF(AND($Q6="Disponible",$K6&lt;&gt;""),COUNTIFS($K$2:K6,K6,$Q$2:Q6,"Disponible"),"")</f>
      </c>
      <c r="AJ6">
        <f>IF(AI6&lt;&gt;"",K6&amp;"|"&amp;AI6,"")</f>
      </c>
      <c r="AK6">
        <f>IF(AND($Q6="No disponible",OR($R6="Lista de espera · propio centro",$R6="Traslado de expediente",$R6="Lista de espera · otro centro"),$O6="Sí"),"la plaza ya tiene alumno y sigue marcada como refuerzo, ","")&amp;IF(AND($R6="Reconvertida en refuerzo",$O6&lt;&gt;"Sí"),"reconvertida en refuerzo pero sin marcar «En uso como refuerzo», ","")</f>
      </c>
    </row>
    <row r="7" spans="1:37">
      <c r="A7" s="20">
        <f>IF(D7&lt;&gt;"",ROW()-1,"")</f>
      </c>
      <c r="B7" s="55"/>
      <c r="C7" s="56"/>
      <c r="D7" s="56"/>
      <c r="E7" s="56"/>
      <c r="F7" s="56"/>
      <c r="G7" s="56"/>
      <c r="H7" s="56"/>
      <c r="I7" s="56"/>
      <c r="J7" s="57"/>
      <c r="K7" s="56"/>
      <c r="L7" s="58"/>
      <c r="M7" s="58">
        <f>IF(L7="","",L7)</f>
      </c>
      <c r="N7" s="56"/>
      <c r="O7" s="56"/>
      <c r="P7" s="57"/>
      <c r="Q7" s="56"/>
      <c r="R7" s="56"/>
      <c r="S7" s="56"/>
      <c r="T7" s="56"/>
      <c r="U7" s="56"/>
      <c r="V7" s="57"/>
      <c r="W7">
        <f>IF(Q7="Disponible",COUNTIFS($D$2:D7,D7,$Q$2:Q7,"Disponible"),"")</f>
      </c>
      <c r="X7">
        <f>IF(W7&lt;&gt;"",D7&amp;"|"&amp;W7,"")</f>
      </c>
      <c r="Y7">
        <f>IF(X7&lt;&gt;"",IF(K7&lt;&gt;"",K7&amp;" ("&amp;M7&amp;")",M7),"")</f>
      </c>
      <c r="Z7">
        <f>IF(O7="Sí",COUNTIFS($D$2:D7,D7,$O$2:O7,"Sí"),"")</f>
      </c>
      <c r="AA7">
        <f>IF(Z7&lt;&gt;"",D7&amp;"|"&amp;Z7,"")</f>
      </c>
      <c r="AB7">
        <f>IF(AA7&lt;&gt;"",IF(K7&lt;&gt;"",K7&amp;" ("&amp;M7&amp;")",M7),"")</f>
      </c>
      <c r="AC7">
        <f>IF($B7="","fecha, ","")&amp;IF($C7="","quién lo introduce, ","")&amp;IF($I7="","motivo, ","")&amp;IF($K7="","docente, ","")&amp;IF($L7="","horario, ","")&amp;IF($N7="","duración, ","")&amp;IF($Q7="","estado, ","")&amp;IF(AND($I7="Otros",$J7=""),"detalle del motivo, ","")&amp;IF(AND($O7="Sí",$P7=""),"detalle del refuerzo, ","")&amp;IF(AND(OR($I7="Renuncia (hasta 30 nov)",$I7="Baja (desde 1 dic)",$I7="Renuncia excepcional (art. 25.3)",$I7="Traslado de expediente"),OR($E7="",$F7="",$G7="")),"quién deja la plaza, ","")&amp;IF(AND($Q7="No disponible",$R7=""),"vía de cobertura, ","")&amp;IF(AND(OR($R7="Lista de espera · propio centro",$R7="Traslado de expediente",$R7="Lista de espera · otro centro"),OR($S7="",$T7="",$U7="")),"quién ocupa la plaza, ","")</f>
      </c>
      <c r="AD7" s="24">
        <f>IF($D7="","",IF(AND(LEN($AC7)=0,LEN($AK7)=0),"Completa",IF(LEN($AC7)=0,"Revisar: "&amp;LEFT($AK7,LEN($AK7)-2),"Falta: "&amp;LEFT($AC7,LEN($AC7)-2)&amp;IF(LEN($AK7)&gt;0,"  ·  Revisar: "&amp;LEFT($AK7,LEN($AK7)-2),""))))</f>
      </c>
      <c r="AE7">
        <f>IF(AND($D7&lt;&gt;"",OR($I7="Renuncia (hasta 30 nov)",$I7="Baja (desde 1 dic)",$I7="Renuncia excepcional (art. 25.3)",$I7="Traslado de expediente")),COUNTIF($AE$1:AE6,"&gt;0")+1,"")</f>
      </c>
      <c r="AF7">
        <f>IF($Q7="Disponible",COUNTIF($AF$1:AF6,"&gt;0")+1,"")</f>
      </c>
      <c r="AG7">
        <f>IF($O7="Sí",COUNTIF($AG$1:AG6,"&gt;0")+1,"")</f>
      </c>
      <c r="AH7">
        <f>IF(AND($Q7="Disponible",$O7&lt;&gt;"Sí"),COUNTIF($AH$1:AH6,"&gt;0")+1,"")</f>
      </c>
      <c r="AI7">
        <f>IF(AND($Q7="Disponible",$K7&lt;&gt;""),COUNTIFS($K$2:K7,K7,$Q$2:Q7,"Disponible"),"")</f>
      </c>
      <c r="AJ7">
        <f>IF(AI7&lt;&gt;"",K7&amp;"|"&amp;AI7,"")</f>
      </c>
      <c r="AK7">
        <f>IF(AND($Q7="No disponible",OR($R7="Lista de espera · propio centro",$R7="Traslado de expediente",$R7="Lista de espera · otro centro"),$O7="Sí"),"la plaza ya tiene alumno y sigue marcada como refuerzo, ","")&amp;IF(AND($R7="Reconvertida en refuerzo",$O7&lt;&gt;"Sí"),"reconvertida en refuerzo pero sin marcar «En uso como refuerzo», ","")</f>
      </c>
    </row>
    <row r="8" spans="1:37">
      <c r="A8" s="20">
        <f>IF(D8&lt;&gt;"",ROW()-1,"")</f>
      </c>
      <c r="B8" s="55"/>
      <c r="C8" s="56"/>
      <c r="D8" s="56"/>
      <c r="E8" s="56"/>
      <c r="F8" s="56"/>
      <c r="G8" s="56"/>
      <c r="H8" s="56"/>
      <c r="I8" s="56"/>
      <c r="J8" s="57"/>
      <c r="K8" s="56"/>
      <c r="L8" s="58"/>
      <c r="M8" s="58">
        <f>IF(L8="","",L8)</f>
      </c>
      <c r="N8" s="56"/>
      <c r="O8" s="56"/>
      <c r="P8" s="57"/>
      <c r="Q8" s="56"/>
      <c r="R8" s="56"/>
      <c r="S8" s="56"/>
      <c r="T8" s="56"/>
      <c r="U8" s="56"/>
      <c r="V8" s="57"/>
      <c r="W8">
        <f>IF(Q8="Disponible",COUNTIFS($D$2:D8,D8,$Q$2:Q8,"Disponible"),"")</f>
      </c>
      <c r="X8">
        <f>IF(W8&lt;&gt;"",D8&amp;"|"&amp;W8,"")</f>
      </c>
      <c r="Y8">
        <f>IF(X8&lt;&gt;"",IF(K8&lt;&gt;"",K8&amp;" ("&amp;M8&amp;")",M8),"")</f>
      </c>
      <c r="Z8">
        <f>IF(O8="Sí",COUNTIFS($D$2:D8,D8,$O$2:O8,"Sí"),"")</f>
      </c>
      <c r="AA8">
        <f>IF(Z8&lt;&gt;"",D8&amp;"|"&amp;Z8,"")</f>
      </c>
      <c r="AB8">
        <f>IF(AA8&lt;&gt;"",IF(K8&lt;&gt;"",K8&amp;" ("&amp;M8&amp;")",M8),"")</f>
      </c>
      <c r="AC8">
        <f>IF($B8="","fecha, ","")&amp;IF($C8="","quién lo introduce, ","")&amp;IF($I8="","motivo, ","")&amp;IF($K8="","docente, ","")&amp;IF($L8="","horario, ","")&amp;IF($N8="","duración, ","")&amp;IF($Q8="","estado, ","")&amp;IF(AND($I8="Otros",$J8=""),"detalle del motivo, ","")&amp;IF(AND($O8="Sí",$P8=""),"detalle del refuerzo, ","")&amp;IF(AND(OR($I8="Renuncia (hasta 30 nov)",$I8="Baja (desde 1 dic)",$I8="Renuncia excepcional (art. 25.3)",$I8="Traslado de expediente"),OR($E8="",$F8="",$G8="")),"quién deja la plaza, ","")&amp;IF(AND($Q8="No disponible",$R8=""),"vía de cobertura, ","")&amp;IF(AND(OR($R8="Lista de espera · propio centro",$R8="Traslado de expediente",$R8="Lista de espera · otro centro"),OR($S8="",$T8="",$U8="")),"quién ocupa la plaza, ","")</f>
      </c>
      <c r="AD8" s="24">
        <f>IF($D8="","",IF(AND(LEN($AC8)=0,LEN($AK8)=0),"Completa",IF(LEN($AC8)=0,"Revisar: "&amp;LEFT($AK8,LEN($AK8)-2),"Falta: "&amp;LEFT($AC8,LEN($AC8)-2)&amp;IF(LEN($AK8)&gt;0,"  ·  Revisar: "&amp;LEFT($AK8,LEN($AK8)-2),""))))</f>
      </c>
      <c r="AE8">
        <f>IF(AND($D8&lt;&gt;"",OR($I8="Renuncia (hasta 30 nov)",$I8="Baja (desde 1 dic)",$I8="Renuncia excepcional (art. 25.3)",$I8="Traslado de expediente")),COUNTIF($AE$1:AE7,"&gt;0")+1,"")</f>
      </c>
      <c r="AF8">
        <f>IF($Q8="Disponible",COUNTIF($AF$1:AF7,"&gt;0")+1,"")</f>
      </c>
      <c r="AG8">
        <f>IF($O8="Sí",COUNTIF($AG$1:AG7,"&gt;0")+1,"")</f>
      </c>
      <c r="AH8">
        <f>IF(AND($Q8="Disponible",$O8&lt;&gt;"Sí"),COUNTIF($AH$1:AH7,"&gt;0")+1,"")</f>
      </c>
      <c r="AI8">
        <f>IF(AND($Q8="Disponible",$K8&lt;&gt;""),COUNTIFS($K$2:K8,K8,$Q$2:Q8,"Disponible"),"")</f>
      </c>
      <c r="AJ8">
        <f>IF(AI8&lt;&gt;"",K8&amp;"|"&amp;AI8,"")</f>
      </c>
      <c r="AK8">
        <f>IF(AND($Q8="No disponible",OR($R8="Lista de espera · propio centro",$R8="Traslado de expediente",$R8="Lista de espera · otro centro"),$O8="Sí"),"la plaza ya tiene alumno y sigue marcada como refuerzo, ","")&amp;IF(AND($R8="Reconvertida en refuerzo",$O8&lt;&gt;"Sí"),"reconvertida en refuerzo pero sin marcar «En uso como refuerzo», ","")</f>
      </c>
    </row>
    <row r="9" spans="1:37">
      <c r="A9" s="20">
        <f>IF(D9&lt;&gt;"",ROW()-1,"")</f>
      </c>
      <c r="B9" s="55"/>
      <c r="C9" s="56"/>
      <c r="D9" s="56"/>
      <c r="E9" s="56"/>
      <c r="F9" s="56"/>
      <c r="G9" s="56"/>
      <c r="H9" s="56"/>
      <c r="I9" s="56"/>
      <c r="J9" s="57"/>
      <c r="K9" s="56"/>
      <c r="L9" s="58"/>
      <c r="M9" s="58">
        <f>IF(L9="","",L9)</f>
      </c>
      <c r="N9" s="56"/>
      <c r="O9" s="56"/>
      <c r="P9" s="57"/>
      <c r="Q9" s="56"/>
      <c r="R9" s="56"/>
      <c r="S9" s="56"/>
      <c r="T9" s="56"/>
      <c r="U9" s="56"/>
      <c r="V9" s="57"/>
      <c r="W9">
        <f>IF(Q9="Disponible",COUNTIFS($D$2:D9,D9,$Q$2:Q9,"Disponible"),"")</f>
      </c>
      <c r="X9">
        <f>IF(W9&lt;&gt;"",D9&amp;"|"&amp;W9,"")</f>
      </c>
      <c r="Y9">
        <f>IF(X9&lt;&gt;"",IF(K9&lt;&gt;"",K9&amp;" ("&amp;M9&amp;")",M9),"")</f>
      </c>
      <c r="Z9">
        <f>IF(O9="Sí",COUNTIFS($D$2:D9,D9,$O$2:O9,"Sí"),"")</f>
      </c>
      <c r="AA9">
        <f>IF(Z9&lt;&gt;"",D9&amp;"|"&amp;Z9,"")</f>
      </c>
      <c r="AB9">
        <f>IF(AA9&lt;&gt;"",IF(K9&lt;&gt;"",K9&amp;" ("&amp;M9&amp;")",M9),"")</f>
      </c>
      <c r="AC9">
        <f>IF($B9="","fecha, ","")&amp;IF($C9="","quién lo introduce, ","")&amp;IF($I9="","motivo, ","")&amp;IF($K9="","docente, ","")&amp;IF($L9="","horario, ","")&amp;IF($N9="","duración, ","")&amp;IF($Q9="","estado, ","")&amp;IF(AND($I9="Otros",$J9=""),"detalle del motivo, ","")&amp;IF(AND($O9="Sí",$P9=""),"detalle del refuerzo, ","")&amp;IF(AND(OR($I9="Renuncia (hasta 30 nov)",$I9="Baja (desde 1 dic)",$I9="Renuncia excepcional (art. 25.3)",$I9="Traslado de expediente"),OR($E9="",$F9="",$G9="")),"quién deja la plaza, ","")&amp;IF(AND($Q9="No disponible",$R9=""),"vía de cobertura, ","")&amp;IF(AND(OR($R9="Lista de espera · propio centro",$R9="Traslado de expediente",$R9="Lista de espera · otro centro"),OR($S9="",$T9="",$U9="")),"quién ocupa la plaza, ","")</f>
      </c>
      <c r="AD9" s="24">
        <f>IF($D9="","",IF(AND(LEN($AC9)=0,LEN($AK9)=0),"Completa",IF(LEN($AC9)=0,"Revisar: "&amp;LEFT($AK9,LEN($AK9)-2),"Falta: "&amp;LEFT($AC9,LEN($AC9)-2)&amp;IF(LEN($AK9)&gt;0,"  ·  Revisar: "&amp;LEFT($AK9,LEN($AK9)-2),""))))</f>
      </c>
      <c r="AE9">
        <f>IF(AND($D9&lt;&gt;"",OR($I9="Renuncia (hasta 30 nov)",$I9="Baja (desde 1 dic)",$I9="Renuncia excepcional (art. 25.3)",$I9="Traslado de expediente")),COUNTIF($AE$1:AE8,"&gt;0")+1,"")</f>
      </c>
      <c r="AF9">
        <f>IF($Q9="Disponible",COUNTIF($AF$1:AF8,"&gt;0")+1,"")</f>
      </c>
      <c r="AG9">
        <f>IF($O9="Sí",COUNTIF($AG$1:AG8,"&gt;0")+1,"")</f>
      </c>
      <c r="AH9">
        <f>IF(AND($Q9="Disponible",$O9&lt;&gt;"Sí"),COUNTIF($AH$1:AH8,"&gt;0")+1,"")</f>
      </c>
      <c r="AI9">
        <f>IF(AND($Q9="Disponible",$K9&lt;&gt;""),COUNTIFS($K$2:K9,K9,$Q$2:Q9,"Disponible"),"")</f>
      </c>
      <c r="AJ9">
        <f>IF(AI9&lt;&gt;"",K9&amp;"|"&amp;AI9,"")</f>
      </c>
      <c r="AK9">
        <f>IF(AND($Q9="No disponible",OR($R9="Lista de espera · propio centro",$R9="Traslado de expediente",$R9="Lista de espera · otro centro"),$O9="Sí"),"la plaza ya tiene alumno y sigue marcada como refuerzo, ","")&amp;IF(AND($R9="Reconvertida en refuerzo",$O9&lt;&gt;"Sí"),"reconvertida en refuerzo pero sin marcar «En uso como refuerzo», ","")</f>
      </c>
    </row>
    <row r="10" spans="1:37">
      <c r="A10" s="20">
        <f>IF(D10&lt;&gt;"",ROW()-1,"")</f>
      </c>
      <c r="B10" s="55"/>
      <c r="C10" s="56"/>
      <c r="D10" s="56"/>
      <c r="E10" s="56"/>
      <c r="F10" s="56"/>
      <c r="G10" s="56"/>
      <c r="H10" s="56"/>
      <c r="I10" s="56"/>
      <c r="J10" s="57"/>
      <c r="K10" s="56"/>
      <c r="L10" s="58"/>
      <c r="M10" s="58">
        <f>IF(L10="","",L10)</f>
      </c>
      <c r="N10" s="56"/>
      <c r="O10" s="56"/>
      <c r="P10" s="57"/>
      <c r="Q10" s="56"/>
      <c r="R10" s="56"/>
      <c r="S10" s="56"/>
      <c r="T10" s="56"/>
      <c r="U10" s="56"/>
      <c r="V10" s="57"/>
      <c r="W10">
        <f>IF(Q10="Disponible",COUNTIFS($D$2:D10,D10,$Q$2:Q10,"Disponible"),"")</f>
      </c>
      <c r="X10">
        <f>IF(W10&lt;&gt;"",D10&amp;"|"&amp;W10,"")</f>
      </c>
      <c r="Y10">
        <f>IF(X10&lt;&gt;"",IF(K10&lt;&gt;"",K10&amp;" ("&amp;M10&amp;")",M10),"")</f>
      </c>
      <c r="Z10">
        <f>IF(O10="Sí",COUNTIFS($D$2:D10,D10,$O$2:O10,"Sí"),"")</f>
      </c>
      <c r="AA10">
        <f>IF(Z10&lt;&gt;"",D10&amp;"|"&amp;Z10,"")</f>
      </c>
      <c r="AB10">
        <f>IF(AA10&lt;&gt;"",IF(K10&lt;&gt;"",K10&amp;" ("&amp;M10&amp;")",M10),"")</f>
      </c>
      <c r="AC10">
        <f>IF($B10="","fecha, ","")&amp;IF($C10="","quién lo introduce, ","")&amp;IF($I10="","motivo, ","")&amp;IF($K10="","docente, ","")&amp;IF($L10="","horario, ","")&amp;IF($N10="","duración, ","")&amp;IF($Q10="","estado, ","")&amp;IF(AND($I10="Otros",$J10=""),"detalle del motivo, ","")&amp;IF(AND($O10="Sí",$P10=""),"detalle del refuerzo, ","")&amp;IF(AND(OR($I10="Renuncia (hasta 30 nov)",$I10="Baja (desde 1 dic)",$I10="Renuncia excepcional (art. 25.3)",$I10="Traslado de expediente"),OR($E10="",$F10="",$G10="")),"quién deja la plaza, ","")&amp;IF(AND($Q10="No disponible",$R10=""),"vía de cobertura, ","")&amp;IF(AND(OR($R10="Lista de espera · propio centro",$R10="Traslado de expediente",$R10="Lista de espera · otro centro"),OR($S10="",$T10="",$U10="")),"quién ocupa la plaza, ","")</f>
      </c>
      <c r="AD10" s="24">
        <f>IF($D10="","",IF(AND(LEN($AC10)=0,LEN($AK10)=0),"Completa",IF(LEN($AC10)=0,"Revisar: "&amp;LEFT($AK10,LEN($AK10)-2),"Falta: "&amp;LEFT($AC10,LEN($AC10)-2)&amp;IF(LEN($AK10)&gt;0,"  ·  Revisar: "&amp;LEFT($AK10,LEN($AK10)-2),""))))</f>
      </c>
      <c r="AE10">
        <f>IF(AND($D10&lt;&gt;"",OR($I10="Renuncia (hasta 30 nov)",$I10="Baja (desde 1 dic)",$I10="Renuncia excepcional (art. 25.3)",$I10="Traslado de expediente")),COUNTIF($AE$1:AE9,"&gt;0")+1,"")</f>
      </c>
      <c r="AF10">
        <f>IF($Q10="Disponible",COUNTIF($AF$1:AF9,"&gt;0")+1,"")</f>
      </c>
      <c r="AG10">
        <f>IF($O10="Sí",COUNTIF($AG$1:AG9,"&gt;0")+1,"")</f>
      </c>
      <c r="AH10">
        <f>IF(AND($Q10="Disponible",$O10&lt;&gt;"Sí"),COUNTIF($AH$1:AH9,"&gt;0")+1,"")</f>
      </c>
      <c r="AI10">
        <f>IF(AND($Q10="Disponible",$K10&lt;&gt;""),COUNTIFS($K$2:K10,K10,$Q$2:Q10,"Disponible"),"")</f>
      </c>
      <c r="AJ10">
        <f>IF(AI10&lt;&gt;"",K10&amp;"|"&amp;AI10,"")</f>
      </c>
      <c r="AK10">
        <f>IF(AND($Q10="No disponible",OR($R10="Lista de espera · propio centro",$R10="Traslado de expediente",$R10="Lista de espera · otro centro"),$O10="Sí"),"la plaza ya tiene alumno y sigue marcada como refuerzo, ","")&amp;IF(AND($R10="Reconvertida en refuerzo",$O10&lt;&gt;"Sí"),"reconvertida en refuerzo pero sin marcar «En uso como refuerzo», ","")</f>
      </c>
    </row>
    <row r="11" spans="1:37">
      <c r="A11" s="20">
        <f>IF(D11&lt;&gt;"",ROW()-1,"")</f>
      </c>
      <c r="B11" s="55"/>
      <c r="C11" s="56"/>
      <c r="D11" s="56"/>
      <c r="E11" s="56"/>
      <c r="F11" s="56"/>
      <c r="G11" s="56"/>
      <c r="H11" s="56"/>
      <c r="I11" s="56"/>
      <c r="J11" s="57"/>
      <c r="K11" s="56"/>
      <c r="L11" s="58"/>
      <c r="M11" s="58">
        <f>IF(L11="","",L11)</f>
      </c>
      <c r="N11" s="56"/>
      <c r="O11" s="56"/>
      <c r="P11" s="57"/>
      <c r="Q11" s="56"/>
      <c r="R11" s="56"/>
      <c r="S11" s="56"/>
      <c r="T11" s="56"/>
      <c r="U11" s="56"/>
      <c r="V11" s="57"/>
      <c r="W11">
        <f>IF(Q11="Disponible",COUNTIFS($D$2:D11,D11,$Q$2:Q11,"Disponible"),"")</f>
      </c>
      <c r="X11">
        <f>IF(W11&lt;&gt;"",D11&amp;"|"&amp;W11,"")</f>
      </c>
      <c r="Y11">
        <f>IF(X11&lt;&gt;"",IF(K11&lt;&gt;"",K11&amp;" ("&amp;M11&amp;")",M11),"")</f>
      </c>
      <c r="Z11">
        <f>IF(O11="Sí",COUNTIFS($D$2:D11,D11,$O$2:O11,"Sí"),"")</f>
      </c>
      <c r="AA11">
        <f>IF(Z11&lt;&gt;"",D11&amp;"|"&amp;Z11,"")</f>
      </c>
      <c r="AB11">
        <f>IF(AA11&lt;&gt;"",IF(K11&lt;&gt;"",K11&amp;" ("&amp;M11&amp;")",M11),"")</f>
      </c>
      <c r="AC11">
        <f>IF($B11="","fecha, ","")&amp;IF($C11="","quién lo introduce, ","")&amp;IF($I11="","motivo, ","")&amp;IF($K11="","docente, ","")&amp;IF($L11="","horario, ","")&amp;IF($N11="","duración, ","")&amp;IF($Q11="","estado, ","")&amp;IF(AND($I11="Otros",$J11=""),"detalle del motivo, ","")&amp;IF(AND($O11="Sí",$P11=""),"detalle del refuerzo, ","")&amp;IF(AND(OR($I11="Renuncia (hasta 30 nov)",$I11="Baja (desde 1 dic)",$I11="Renuncia excepcional (art. 25.3)",$I11="Traslado de expediente"),OR($E11="",$F11="",$G11="")),"quién deja la plaza, ","")&amp;IF(AND($Q11="No disponible",$R11=""),"vía de cobertura, ","")&amp;IF(AND(OR($R11="Lista de espera · propio centro",$R11="Traslado de expediente",$R11="Lista de espera · otro centro"),OR($S11="",$T11="",$U11="")),"quién ocupa la plaza, ","")</f>
      </c>
      <c r="AD11" s="24">
        <f>IF($D11="","",IF(AND(LEN($AC11)=0,LEN($AK11)=0),"Completa",IF(LEN($AC11)=0,"Revisar: "&amp;LEFT($AK11,LEN($AK11)-2),"Falta: "&amp;LEFT($AC11,LEN($AC11)-2)&amp;IF(LEN($AK11)&gt;0,"  ·  Revisar: "&amp;LEFT($AK11,LEN($AK11)-2),""))))</f>
      </c>
      <c r="AE11">
        <f>IF(AND($D11&lt;&gt;"",OR($I11="Renuncia (hasta 30 nov)",$I11="Baja (desde 1 dic)",$I11="Renuncia excepcional (art. 25.3)",$I11="Traslado de expediente")),COUNTIF($AE$1:AE10,"&gt;0")+1,"")</f>
      </c>
      <c r="AF11">
        <f>IF($Q11="Disponible",COUNTIF($AF$1:AF10,"&gt;0")+1,"")</f>
      </c>
      <c r="AG11">
        <f>IF($O11="Sí",COUNTIF($AG$1:AG10,"&gt;0")+1,"")</f>
      </c>
      <c r="AH11">
        <f>IF(AND($Q11="Disponible",$O11&lt;&gt;"Sí"),COUNTIF($AH$1:AH10,"&gt;0")+1,"")</f>
      </c>
      <c r="AI11">
        <f>IF(AND($Q11="Disponible",$K11&lt;&gt;""),COUNTIFS($K$2:K11,K11,$Q$2:Q11,"Disponible"),"")</f>
      </c>
      <c r="AJ11">
        <f>IF(AI11&lt;&gt;"",K11&amp;"|"&amp;AI11,"")</f>
      </c>
      <c r="AK11">
        <f>IF(AND($Q11="No disponible",OR($R11="Lista de espera · propio centro",$R11="Traslado de expediente",$R11="Lista de espera · otro centro"),$O11="Sí"),"la plaza ya tiene alumno y sigue marcada como refuerzo, ","")&amp;IF(AND($R11="Reconvertida en refuerzo",$O11&lt;&gt;"Sí"),"reconvertida en refuerzo pero sin marcar «En uso como refuerzo», ","")</f>
      </c>
    </row>
    <row r="12" spans="1:37">
      <c r="A12" s="20">
        <f>IF(D12&lt;&gt;"",ROW()-1,"")</f>
      </c>
      <c r="B12" s="55"/>
      <c r="C12" s="56"/>
      <c r="D12" s="56"/>
      <c r="E12" s="56"/>
      <c r="F12" s="56"/>
      <c r="G12" s="56"/>
      <c r="H12" s="56"/>
      <c r="I12" s="56"/>
      <c r="J12" s="57"/>
      <c r="K12" s="56"/>
      <c r="L12" s="58"/>
      <c r="M12" s="58">
        <f>IF(L12="","",L12)</f>
      </c>
      <c r="N12" s="56"/>
      <c r="O12" s="56"/>
      <c r="P12" s="57"/>
      <c r="Q12" s="56"/>
      <c r="R12" s="56"/>
      <c r="S12" s="56"/>
      <c r="T12" s="56"/>
      <c r="U12" s="56"/>
      <c r="V12" s="57"/>
      <c r="W12">
        <f>IF(Q12="Disponible",COUNTIFS($D$2:D12,D12,$Q$2:Q12,"Disponible"),"")</f>
      </c>
      <c r="X12">
        <f>IF(W12&lt;&gt;"",D12&amp;"|"&amp;W12,"")</f>
      </c>
      <c r="Y12">
        <f>IF(X12&lt;&gt;"",IF(K12&lt;&gt;"",K12&amp;" ("&amp;M12&amp;")",M12),"")</f>
      </c>
      <c r="Z12">
        <f>IF(O12="Sí",COUNTIFS($D$2:D12,D12,$O$2:O12,"Sí"),"")</f>
      </c>
      <c r="AA12">
        <f>IF(Z12&lt;&gt;"",D12&amp;"|"&amp;Z12,"")</f>
      </c>
      <c r="AB12">
        <f>IF(AA12&lt;&gt;"",IF(K12&lt;&gt;"",K12&amp;" ("&amp;M12&amp;")",M12),"")</f>
      </c>
      <c r="AC12">
        <f>IF($B12="","fecha, ","")&amp;IF($C12="","quién lo introduce, ","")&amp;IF($I12="","motivo, ","")&amp;IF($K12="","docente, ","")&amp;IF($L12="","horario, ","")&amp;IF($N12="","duración, ","")&amp;IF($Q12="","estado, ","")&amp;IF(AND($I12="Otros",$J12=""),"detalle del motivo, ","")&amp;IF(AND($O12="Sí",$P12=""),"detalle del refuerzo, ","")&amp;IF(AND(OR($I12="Renuncia (hasta 30 nov)",$I12="Baja (desde 1 dic)",$I12="Renuncia excepcional (art. 25.3)",$I12="Traslado de expediente"),OR($E12="",$F12="",$G12="")),"quién deja la plaza, ","")&amp;IF(AND($Q12="No disponible",$R12=""),"vía de cobertura, ","")&amp;IF(AND(OR($R12="Lista de espera · propio centro",$R12="Traslado de expediente",$R12="Lista de espera · otro centro"),OR($S12="",$T12="",$U12="")),"quién ocupa la plaza, ","")</f>
      </c>
      <c r="AD12" s="24">
        <f>IF($D12="","",IF(AND(LEN($AC12)=0,LEN($AK12)=0),"Completa",IF(LEN($AC12)=0,"Revisar: "&amp;LEFT($AK12,LEN($AK12)-2),"Falta: "&amp;LEFT($AC12,LEN($AC12)-2)&amp;IF(LEN($AK12)&gt;0,"  ·  Revisar: "&amp;LEFT($AK12,LEN($AK12)-2),""))))</f>
      </c>
      <c r="AE12">
        <f>IF(AND($D12&lt;&gt;"",OR($I12="Renuncia (hasta 30 nov)",$I12="Baja (desde 1 dic)",$I12="Renuncia excepcional (art. 25.3)",$I12="Traslado de expediente")),COUNTIF($AE$1:AE11,"&gt;0")+1,"")</f>
      </c>
      <c r="AF12">
        <f>IF($Q12="Disponible",COUNTIF($AF$1:AF11,"&gt;0")+1,"")</f>
      </c>
      <c r="AG12">
        <f>IF($O12="Sí",COUNTIF($AG$1:AG11,"&gt;0")+1,"")</f>
      </c>
      <c r="AH12">
        <f>IF(AND($Q12="Disponible",$O12&lt;&gt;"Sí"),COUNTIF($AH$1:AH11,"&gt;0")+1,"")</f>
      </c>
      <c r="AI12">
        <f>IF(AND($Q12="Disponible",$K12&lt;&gt;""),COUNTIFS($K$2:K12,K12,$Q$2:Q12,"Disponible"),"")</f>
      </c>
      <c r="AJ12">
        <f>IF(AI12&lt;&gt;"",K12&amp;"|"&amp;AI12,"")</f>
      </c>
      <c r="AK12">
        <f>IF(AND($Q12="No disponible",OR($R12="Lista de espera · propio centro",$R12="Traslado de expediente",$R12="Lista de espera · otro centro"),$O12="Sí"),"la plaza ya tiene alumno y sigue marcada como refuerzo, ","")&amp;IF(AND($R12="Reconvertida en refuerzo",$O12&lt;&gt;"Sí"),"reconvertida en refuerzo pero sin marcar «En uso como refuerzo», ","")</f>
      </c>
    </row>
    <row r="13" spans="1:37">
      <c r="A13" s="20">
        <f>IF(D13&lt;&gt;"",ROW()-1,"")</f>
      </c>
      <c r="B13" s="55"/>
      <c r="C13" s="56"/>
      <c r="D13" s="56"/>
      <c r="E13" s="56"/>
      <c r="F13" s="56"/>
      <c r="G13" s="56"/>
      <c r="H13" s="56"/>
      <c r="I13" s="56"/>
      <c r="J13" s="57"/>
      <c r="K13" s="56"/>
      <c r="L13" s="58"/>
      <c r="M13" s="58">
        <f>IF(L13="","",L13)</f>
      </c>
      <c r="N13" s="56"/>
      <c r="O13" s="56"/>
      <c r="P13" s="57"/>
      <c r="Q13" s="56"/>
      <c r="R13" s="56"/>
      <c r="S13" s="56"/>
      <c r="T13" s="56"/>
      <c r="U13" s="56"/>
      <c r="V13" s="57"/>
      <c r="W13">
        <f>IF(Q13="Disponible",COUNTIFS($D$2:D13,D13,$Q$2:Q13,"Disponible"),"")</f>
      </c>
      <c r="X13">
        <f>IF(W13&lt;&gt;"",D13&amp;"|"&amp;W13,"")</f>
      </c>
      <c r="Y13">
        <f>IF(X13&lt;&gt;"",IF(K13&lt;&gt;"",K13&amp;" ("&amp;M13&amp;")",M13),"")</f>
      </c>
      <c r="Z13">
        <f>IF(O13="Sí",COUNTIFS($D$2:D13,D13,$O$2:O13,"Sí"),"")</f>
      </c>
      <c r="AA13">
        <f>IF(Z13&lt;&gt;"",D13&amp;"|"&amp;Z13,"")</f>
      </c>
      <c r="AB13">
        <f>IF(AA13&lt;&gt;"",IF(K13&lt;&gt;"",K13&amp;" ("&amp;M13&amp;")",M13),"")</f>
      </c>
      <c r="AC13">
        <f>IF($B13="","fecha, ","")&amp;IF($C13="","quién lo introduce, ","")&amp;IF($I13="","motivo, ","")&amp;IF($K13="","docente, ","")&amp;IF($L13="","horario, ","")&amp;IF($N13="","duración, ","")&amp;IF($Q13="","estado, ","")&amp;IF(AND($I13="Otros",$J13=""),"detalle del motivo, ","")&amp;IF(AND($O13="Sí",$P13=""),"detalle del refuerzo, ","")&amp;IF(AND(OR($I13="Renuncia (hasta 30 nov)",$I13="Baja (desde 1 dic)",$I13="Renuncia excepcional (art. 25.3)",$I13="Traslado de expediente"),OR($E13="",$F13="",$G13="")),"quién deja la plaza, ","")&amp;IF(AND($Q13="No disponible",$R13=""),"vía de cobertura, ","")&amp;IF(AND(OR($R13="Lista de espera · propio centro",$R13="Traslado de expediente",$R13="Lista de espera · otro centro"),OR($S13="",$T13="",$U13="")),"quién ocupa la plaza, ","")</f>
      </c>
      <c r="AD13" s="24">
        <f>IF($D13="","",IF(AND(LEN($AC13)=0,LEN($AK13)=0),"Completa",IF(LEN($AC13)=0,"Revisar: "&amp;LEFT($AK13,LEN($AK13)-2),"Falta: "&amp;LEFT($AC13,LEN($AC13)-2)&amp;IF(LEN($AK13)&gt;0,"  ·  Revisar: "&amp;LEFT($AK13,LEN($AK13)-2),""))))</f>
      </c>
      <c r="AE13">
        <f>IF(AND($D13&lt;&gt;"",OR($I13="Renuncia (hasta 30 nov)",$I13="Baja (desde 1 dic)",$I13="Renuncia excepcional (art. 25.3)",$I13="Traslado de expediente")),COUNTIF($AE$1:AE12,"&gt;0")+1,"")</f>
      </c>
      <c r="AF13">
        <f>IF($Q13="Disponible",COUNTIF($AF$1:AF12,"&gt;0")+1,"")</f>
      </c>
      <c r="AG13">
        <f>IF($O13="Sí",COUNTIF($AG$1:AG12,"&gt;0")+1,"")</f>
      </c>
      <c r="AH13">
        <f>IF(AND($Q13="Disponible",$O13&lt;&gt;"Sí"),COUNTIF($AH$1:AH12,"&gt;0")+1,"")</f>
      </c>
      <c r="AI13">
        <f>IF(AND($Q13="Disponible",$K13&lt;&gt;""),COUNTIFS($K$2:K13,K13,$Q$2:Q13,"Disponible"),"")</f>
      </c>
      <c r="AJ13">
        <f>IF(AI13&lt;&gt;"",K13&amp;"|"&amp;AI13,"")</f>
      </c>
      <c r="AK13">
        <f>IF(AND($Q13="No disponible",OR($R13="Lista de espera · propio centro",$R13="Traslado de expediente",$R13="Lista de espera · otro centro"),$O13="Sí"),"la plaza ya tiene alumno y sigue marcada como refuerzo, ","")&amp;IF(AND($R13="Reconvertida en refuerzo",$O13&lt;&gt;"Sí"),"reconvertida en refuerzo pero sin marcar «En uso como refuerzo», ","")</f>
      </c>
    </row>
    <row r="14" spans="1:37">
      <c r="A14" s="20">
        <f>IF(D14&lt;&gt;"",ROW()-1,"")</f>
      </c>
      <c r="B14" s="55"/>
      <c r="C14" s="56"/>
      <c r="D14" s="56"/>
      <c r="E14" s="56"/>
      <c r="F14" s="56"/>
      <c r="G14" s="56"/>
      <c r="H14" s="56"/>
      <c r="I14" s="56"/>
      <c r="J14" s="57"/>
      <c r="K14" s="56"/>
      <c r="L14" s="58"/>
      <c r="M14" s="58">
        <f>IF(L14="","",L14)</f>
      </c>
      <c r="N14" s="56"/>
      <c r="O14" s="56"/>
      <c r="P14" s="57"/>
      <c r="Q14" s="56"/>
      <c r="R14" s="56"/>
      <c r="S14" s="56"/>
      <c r="T14" s="56"/>
      <c r="U14" s="56"/>
      <c r="V14" s="57"/>
      <c r="W14">
        <f>IF(Q14="Disponible",COUNTIFS($D$2:D14,D14,$Q$2:Q14,"Disponible"),"")</f>
      </c>
      <c r="X14">
        <f>IF(W14&lt;&gt;"",D14&amp;"|"&amp;W14,"")</f>
      </c>
      <c r="Y14">
        <f>IF(X14&lt;&gt;"",IF(K14&lt;&gt;"",K14&amp;" ("&amp;M14&amp;")",M14),"")</f>
      </c>
      <c r="Z14">
        <f>IF(O14="Sí",COUNTIFS($D$2:D14,D14,$O$2:O14,"Sí"),"")</f>
      </c>
      <c r="AA14">
        <f>IF(Z14&lt;&gt;"",D14&amp;"|"&amp;Z14,"")</f>
      </c>
      <c r="AB14">
        <f>IF(AA14&lt;&gt;"",IF(K14&lt;&gt;"",K14&amp;" ("&amp;M14&amp;")",M14),"")</f>
      </c>
      <c r="AC14">
        <f>IF($B14="","fecha, ","")&amp;IF($C14="","quién lo introduce, ","")&amp;IF($I14="","motivo, ","")&amp;IF($K14="","docente, ","")&amp;IF($L14="","horario, ","")&amp;IF($N14="","duración, ","")&amp;IF($Q14="","estado, ","")&amp;IF(AND($I14="Otros",$J14=""),"detalle del motivo, ","")&amp;IF(AND($O14="Sí",$P14=""),"detalle del refuerzo, ","")&amp;IF(AND(OR($I14="Renuncia (hasta 30 nov)",$I14="Baja (desde 1 dic)",$I14="Renuncia excepcional (art. 25.3)",$I14="Traslado de expediente"),OR($E14="",$F14="",$G14="")),"quién deja la plaza, ","")&amp;IF(AND($Q14="No disponible",$R14=""),"vía de cobertura, ","")&amp;IF(AND(OR($R14="Lista de espera · propio centro",$R14="Traslado de expediente",$R14="Lista de espera · otro centro"),OR($S14="",$T14="",$U14="")),"quién ocupa la plaza, ","")</f>
      </c>
      <c r="AD14" s="24">
        <f>IF($D14="","",IF(AND(LEN($AC14)=0,LEN($AK14)=0),"Completa",IF(LEN($AC14)=0,"Revisar: "&amp;LEFT($AK14,LEN($AK14)-2),"Falta: "&amp;LEFT($AC14,LEN($AC14)-2)&amp;IF(LEN($AK14)&gt;0,"  ·  Revisar: "&amp;LEFT($AK14,LEN($AK14)-2),""))))</f>
      </c>
      <c r="AE14">
        <f>IF(AND($D14&lt;&gt;"",OR($I14="Renuncia (hasta 30 nov)",$I14="Baja (desde 1 dic)",$I14="Renuncia excepcional (art. 25.3)",$I14="Traslado de expediente")),COUNTIF($AE$1:AE13,"&gt;0")+1,"")</f>
      </c>
      <c r="AF14">
        <f>IF($Q14="Disponible",COUNTIF($AF$1:AF13,"&gt;0")+1,"")</f>
      </c>
      <c r="AG14">
        <f>IF($O14="Sí",COUNTIF($AG$1:AG13,"&gt;0")+1,"")</f>
      </c>
      <c r="AH14">
        <f>IF(AND($Q14="Disponible",$O14&lt;&gt;"Sí"),COUNTIF($AH$1:AH13,"&gt;0")+1,"")</f>
      </c>
      <c r="AI14">
        <f>IF(AND($Q14="Disponible",$K14&lt;&gt;""),COUNTIFS($K$2:K14,K14,$Q$2:Q14,"Disponible"),"")</f>
      </c>
      <c r="AJ14">
        <f>IF(AI14&lt;&gt;"",K14&amp;"|"&amp;AI14,"")</f>
      </c>
      <c r="AK14">
        <f>IF(AND($Q14="No disponible",OR($R14="Lista de espera · propio centro",$R14="Traslado de expediente",$R14="Lista de espera · otro centro"),$O14="Sí"),"la plaza ya tiene alumno y sigue marcada como refuerzo, ","")&amp;IF(AND($R14="Reconvertida en refuerzo",$O14&lt;&gt;"Sí"),"reconvertida en refuerzo pero sin marcar «En uso como refuerzo», ","")</f>
      </c>
    </row>
    <row r="15" spans="1:37">
      <c r="A15" s="20">
        <f>IF(D15&lt;&gt;"",ROW()-1,"")</f>
      </c>
      <c r="B15" s="55"/>
      <c r="C15" s="56"/>
      <c r="D15" s="56"/>
      <c r="E15" s="56"/>
      <c r="F15" s="56"/>
      <c r="G15" s="56"/>
      <c r="H15" s="56"/>
      <c r="I15" s="56"/>
      <c r="J15" s="57"/>
      <c r="K15" s="56"/>
      <c r="L15" s="58"/>
      <c r="M15" s="58">
        <f>IF(L15="","",L15)</f>
      </c>
      <c r="N15" s="56"/>
      <c r="O15" s="56"/>
      <c r="P15" s="57"/>
      <c r="Q15" s="56"/>
      <c r="R15" s="56"/>
      <c r="S15" s="56"/>
      <c r="T15" s="56"/>
      <c r="U15" s="56"/>
      <c r="V15" s="57"/>
      <c r="W15">
        <f>IF(Q15="Disponible",COUNTIFS($D$2:D15,D15,$Q$2:Q15,"Disponible"),"")</f>
      </c>
      <c r="X15">
        <f>IF(W15&lt;&gt;"",D15&amp;"|"&amp;W15,"")</f>
      </c>
      <c r="Y15">
        <f>IF(X15&lt;&gt;"",IF(K15&lt;&gt;"",K15&amp;" ("&amp;M15&amp;")",M15),"")</f>
      </c>
      <c r="Z15">
        <f>IF(O15="Sí",COUNTIFS($D$2:D15,D15,$O$2:O15,"Sí"),"")</f>
      </c>
      <c r="AA15">
        <f>IF(Z15&lt;&gt;"",D15&amp;"|"&amp;Z15,"")</f>
      </c>
      <c r="AB15">
        <f>IF(AA15&lt;&gt;"",IF(K15&lt;&gt;"",K15&amp;" ("&amp;M15&amp;")",M15),"")</f>
      </c>
      <c r="AC15">
        <f>IF($B15="","fecha, ","")&amp;IF($C15="","quién lo introduce, ","")&amp;IF($I15="","motivo, ","")&amp;IF($K15="","docente, ","")&amp;IF($L15="","horario, ","")&amp;IF($N15="","duración, ","")&amp;IF($Q15="","estado, ","")&amp;IF(AND($I15="Otros",$J15=""),"detalle del motivo, ","")&amp;IF(AND($O15="Sí",$P15=""),"detalle del refuerzo, ","")&amp;IF(AND(OR($I15="Renuncia (hasta 30 nov)",$I15="Baja (desde 1 dic)",$I15="Renuncia excepcional (art. 25.3)",$I15="Traslado de expediente"),OR($E15="",$F15="",$G15="")),"quién deja la plaza, ","")&amp;IF(AND($Q15="No disponible",$R15=""),"vía de cobertura, ","")&amp;IF(AND(OR($R15="Lista de espera · propio centro",$R15="Traslado de expediente",$R15="Lista de espera · otro centro"),OR($S15="",$T15="",$U15="")),"quién ocupa la plaza, ","")</f>
      </c>
      <c r="AD15" s="24">
        <f>IF($D15="","",IF(AND(LEN($AC15)=0,LEN($AK15)=0),"Completa",IF(LEN($AC15)=0,"Revisar: "&amp;LEFT($AK15,LEN($AK15)-2),"Falta: "&amp;LEFT($AC15,LEN($AC15)-2)&amp;IF(LEN($AK15)&gt;0,"  ·  Revisar: "&amp;LEFT($AK15,LEN($AK15)-2),""))))</f>
      </c>
      <c r="AE15">
        <f>IF(AND($D15&lt;&gt;"",OR($I15="Renuncia (hasta 30 nov)",$I15="Baja (desde 1 dic)",$I15="Renuncia excepcional (art. 25.3)",$I15="Traslado de expediente")),COUNTIF($AE$1:AE14,"&gt;0")+1,"")</f>
      </c>
      <c r="AF15">
        <f>IF($Q15="Disponible",COUNTIF($AF$1:AF14,"&gt;0")+1,"")</f>
      </c>
      <c r="AG15">
        <f>IF($O15="Sí",COUNTIF($AG$1:AG14,"&gt;0")+1,"")</f>
      </c>
      <c r="AH15">
        <f>IF(AND($Q15="Disponible",$O15&lt;&gt;"Sí"),COUNTIF($AH$1:AH14,"&gt;0")+1,"")</f>
      </c>
      <c r="AI15">
        <f>IF(AND($Q15="Disponible",$K15&lt;&gt;""),COUNTIFS($K$2:K15,K15,$Q$2:Q15,"Disponible"),"")</f>
      </c>
      <c r="AJ15">
        <f>IF(AI15&lt;&gt;"",K15&amp;"|"&amp;AI15,"")</f>
      </c>
      <c r="AK15">
        <f>IF(AND($Q15="No disponible",OR($R15="Lista de espera · propio centro",$R15="Traslado de expediente",$R15="Lista de espera · otro centro"),$O15="Sí"),"la plaza ya tiene alumno y sigue marcada como refuerzo, ","")&amp;IF(AND($R15="Reconvertida en refuerzo",$O15&lt;&gt;"Sí"),"reconvertida en refuerzo pero sin marcar «En uso como refuerzo», ","")</f>
      </c>
    </row>
    <row r="16" spans="1:37">
      <c r="A16" s="20">
        <f>IF(D16&lt;&gt;"",ROW()-1,"")</f>
      </c>
      <c r="B16" s="55"/>
      <c r="C16" s="56"/>
      <c r="D16" s="56"/>
      <c r="E16" s="56"/>
      <c r="F16" s="56"/>
      <c r="G16" s="56"/>
      <c r="H16" s="56"/>
      <c r="I16" s="56"/>
      <c r="J16" s="57"/>
      <c r="K16" s="56"/>
      <c r="L16" s="58"/>
      <c r="M16" s="58">
        <f>IF(L16="","",L16)</f>
      </c>
      <c r="N16" s="56"/>
      <c r="O16" s="56"/>
      <c r="P16" s="57"/>
      <c r="Q16" s="56"/>
      <c r="R16" s="56"/>
      <c r="S16" s="56"/>
      <c r="T16" s="56"/>
      <c r="U16" s="56"/>
      <c r="V16" s="57"/>
      <c r="W16">
        <f>IF(Q16="Disponible",COUNTIFS($D$2:D16,D16,$Q$2:Q16,"Disponible"),"")</f>
      </c>
      <c r="X16">
        <f>IF(W16&lt;&gt;"",D16&amp;"|"&amp;W16,"")</f>
      </c>
      <c r="Y16">
        <f>IF(X16&lt;&gt;"",IF(K16&lt;&gt;"",K16&amp;" ("&amp;M16&amp;")",M16),"")</f>
      </c>
      <c r="Z16">
        <f>IF(O16="Sí",COUNTIFS($D$2:D16,D16,$O$2:O16,"Sí"),"")</f>
      </c>
      <c r="AA16">
        <f>IF(Z16&lt;&gt;"",D16&amp;"|"&amp;Z16,"")</f>
      </c>
      <c r="AB16">
        <f>IF(AA16&lt;&gt;"",IF(K16&lt;&gt;"",K16&amp;" ("&amp;M16&amp;")",M16),"")</f>
      </c>
      <c r="AC16">
        <f>IF($B16="","fecha, ","")&amp;IF($C16="","quién lo introduce, ","")&amp;IF($I16="","motivo, ","")&amp;IF($K16="","docente, ","")&amp;IF($L16="","horario, ","")&amp;IF($N16="","duración, ","")&amp;IF($Q16="","estado, ","")&amp;IF(AND($I16="Otros",$J16=""),"detalle del motivo, ","")&amp;IF(AND($O16="Sí",$P16=""),"detalle del refuerzo, ","")&amp;IF(AND(OR($I16="Renuncia (hasta 30 nov)",$I16="Baja (desde 1 dic)",$I16="Renuncia excepcional (art. 25.3)",$I16="Traslado de expediente"),OR($E16="",$F16="",$G16="")),"quién deja la plaza, ","")&amp;IF(AND($Q16="No disponible",$R16=""),"vía de cobertura, ","")&amp;IF(AND(OR($R16="Lista de espera · propio centro",$R16="Traslado de expediente",$R16="Lista de espera · otro centro"),OR($S16="",$T16="",$U16="")),"quién ocupa la plaza, ","")</f>
      </c>
      <c r="AD16" s="24">
        <f>IF($D16="","",IF(AND(LEN($AC16)=0,LEN($AK16)=0),"Completa",IF(LEN($AC16)=0,"Revisar: "&amp;LEFT($AK16,LEN($AK16)-2),"Falta: "&amp;LEFT($AC16,LEN($AC16)-2)&amp;IF(LEN($AK16)&gt;0,"  ·  Revisar: "&amp;LEFT($AK16,LEN($AK16)-2),""))))</f>
      </c>
      <c r="AE16">
        <f>IF(AND($D16&lt;&gt;"",OR($I16="Renuncia (hasta 30 nov)",$I16="Baja (desde 1 dic)",$I16="Renuncia excepcional (art. 25.3)",$I16="Traslado de expediente")),COUNTIF($AE$1:AE15,"&gt;0")+1,"")</f>
      </c>
      <c r="AF16">
        <f>IF($Q16="Disponible",COUNTIF($AF$1:AF15,"&gt;0")+1,"")</f>
      </c>
      <c r="AG16">
        <f>IF($O16="Sí",COUNTIF($AG$1:AG15,"&gt;0")+1,"")</f>
      </c>
      <c r="AH16">
        <f>IF(AND($Q16="Disponible",$O16&lt;&gt;"Sí"),COUNTIF($AH$1:AH15,"&gt;0")+1,"")</f>
      </c>
      <c r="AI16">
        <f>IF(AND($Q16="Disponible",$K16&lt;&gt;""),COUNTIFS($K$2:K16,K16,$Q$2:Q16,"Disponible"),"")</f>
      </c>
      <c r="AJ16">
        <f>IF(AI16&lt;&gt;"",K16&amp;"|"&amp;AI16,"")</f>
      </c>
      <c r="AK16">
        <f>IF(AND($Q16="No disponible",OR($R16="Lista de espera · propio centro",$R16="Traslado de expediente",$R16="Lista de espera · otro centro"),$O16="Sí"),"la plaza ya tiene alumno y sigue marcada como refuerzo, ","")&amp;IF(AND($R16="Reconvertida en refuerzo",$O16&lt;&gt;"Sí"),"reconvertida en refuerzo pero sin marcar «En uso como refuerzo», ","")</f>
      </c>
    </row>
    <row r="17" spans="1:37">
      <c r="A17" s="20">
        <f>IF(D17&lt;&gt;"",ROW()-1,"")</f>
      </c>
      <c r="B17" s="55"/>
      <c r="C17" s="56"/>
      <c r="D17" s="56"/>
      <c r="E17" s="56"/>
      <c r="F17" s="56"/>
      <c r="G17" s="56"/>
      <c r="H17" s="56"/>
      <c r="I17" s="56"/>
      <c r="J17" s="57"/>
      <c r="K17" s="56"/>
      <c r="L17" s="58"/>
      <c r="M17" s="58">
        <f>IF(L17="","",L17)</f>
      </c>
      <c r="N17" s="56"/>
      <c r="O17" s="56"/>
      <c r="P17" s="57"/>
      <c r="Q17" s="56"/>
      <c r="R17" s="56"/>
      <c r="S17" s="56"/>
      <c r="T17" s="56"/>
      <c r="U17" s="56"/>
      <c r="V17" s="57"/>
      <c r="W17">
        <f>IF(Q17="Disponible",COUNTIFS($D$2:D17,D17,$Q$2:Q17,"Disponible"),"")</f>
      </c>
      <c r="X17">
        <f>IF(W17&lt;&gt;"",D17&amp;"|"&amp;W17,"")</f>
      </c>
      <c r="Y17">
        <f>IF(X17&lt;&gt;"",IF(K17&lt;&gt;"",K17&amp;" ("&amp;M17&amp;")",M17),"")</f>
      </c>
      <c r="Z17">
        <f>IF(O17="Sí",COUNTIFS($D$2:D17,D17,$O$2:O17,"Sí"),"")</f>
      </c>
      <c r="AA17">
        <f>IF(Z17&lt;&gt;"",D17&amp;"|"&amp;Z17,"")</f>
      </c>
      <c r="AB17">
        <f>IF(AA17&lt;&gt;"",IF(K17&lt;&gt;"",K17&amp;" ("&amp;M17&amp;")",M17),"")</f>
      </c>
      <c r="AC17">
        <f>IF($B17="","fecha, ","")&amp;IF($C17="","quién lo introduce, ","")&amp;IF($I17="","motivo, ","")&amp;IF($K17="","docente, ","")&amp;IF($L17="","horario, ","")&amp;IF($N17="","duración, ","")&amp;IF($Q17="","estado, ","")&amp;IF(AND($I17="Otros",$J17=""),"detalle del motivo, ","")&amp;IF(AND($O17="Sí",$P17=""),"detalle del refuerzo, ","")&amp;IF(AND(OR($I17="Renuncia (hasta 30 nov)",$I17="Baja (desde 1 dic)",$I17="Renuncia excepcional (art. 25.3)",$I17="Traslado de expediente"),OR($E17="",$F17="",$G17="")),"quién deja la plaza, ","")&amp;IF(AND($Q17="No disponible",$R17=""),"vía de cobertura, ","")&amp;IF(AND(OR($R17="Lista de espera · propio centro",$R17="Traslado de expediente",$R17="Lista de espera · otro centro"),OR($S17="",$T17="",$U17="")),"quién ocupa la plaza, ","")</f>
      </c>
      <c r="AD17" s="24">
        <f>IF($D17="","",IF(AND(LEN($AC17)=0,LEN($AK17)=0),"Completa",IF(LEN($AC17)=0,"Revisar: "&amp;LEFT($AK17,LEN($AK17)-2),"Falta: "&amp;LEFT($AC17,LEN($AC17)-2)&amp;IF(LEN($AK17)&gt;0,"  ·  Revisar: "&amp;LEFT($AK17,LEN($AK17)-2),""))))</f>
      </c>
      <c r="AE17">
        <f>IF(AND($D17&lt;&gt;"",OR($I17="Renuncia (hasta 30 nov)",$I17="Baja (desde 1 dic)",$I17="Renuncia excepcional (art. 25.3)",$I17="Traslado de expediente")),COUNTIF($AE$1:AE16,"&gt;0")+1,"")</f>
      </c>
      <c r="AF17">
        <f>IF($Q17="Disponible",COUNTIF($AF$1:AF16,"&gt;0")+1,"")</f>
      </c>
      <c r="AG17">
        <f>IF($O17="Sí",COUNTIF($AG$1:AG16,"&gt;0")+1,"")</f>
      </c>
      <c r="AH17">
        <f>IF(AND($Q17="Disponible",$O17&lt;&gt;"Sí"),COUNTIF($AH$1:AH16,"&gt;0")+1,"")</f>
      </c>
      <c r="AI17">
        <f>IF(AND($Q17="Disponible",$K17&lt;&gt;""),COUNTIFS($K$2:K17,K17,$Q$2:Q17,"Disponible"),"")</f>
      </c>
      <c r="AJ17">
        <f>IF(AI17&lt;&gt;"",K17&amp;"|"&amp;AI17,"")</f>
      </c>
      <c r="AK17">
        <f>IF(AND($Q17="No disponible",OR($R17="Lista de espera · propio centro",$R17="Traslado de expediente",$R17="Lista de espera · otro centro"),$O17="Sí"),"la plaza ya tiene alumno y sigue marcada como refuerzo, ","")&amp;IF(AND($R17="Reconvertida en refuerzo",$O17&lt;&gt;"Sí"),"reconvertida en refuerzo pero sin marcar «En uso como refuerzo», ","")</f>
      </c>
    </row>
    <row r="18" spans="1:37">
      <c r="A18" s="20">
        <f>IF(D18&lt;&gt;"",ROW()-1,"")</f>
      </c>
      <c r="B18" s="55"/>
      <c r="C18" s="56"/>
      <c r="D18" s="56"/>
      <c r="E18" s="56"/>
      <c r="F18" s="56"/>
      <c r="G18" s="56"/>
      <c r="H18" s="56"/>
      <c r="I18" s="56"/>
      <c r="J18" s="57"/>
      <c r="K18" s="56"/>
      <c r="L18" s="58"/>
      <c r="M18" s="58">
        <f>IF(L18="","",L18)</f>
      </c>
      <c r="N18" s="56"/>
      <c r="O18" s="56"/>
      <c r="P18" s="57"/>
      <c r="Q18" s="56"/>
      <c r="R18" s="56"/>
      <c r="S18" s="56"/>
      <c r="T18" s="56"/>
      <c r="U18" s="56"/>
      <c r="V18" s="57"/>
      <c r="W18">
        <f>IF(Q18="Disponible",COUNTIFS($D$2:D18,D18,$Q$2:Q18,"Disponible"),"")</f>
      </c>
      <c r="X18">
        <f>IF(W18&lt;&gt;"",D18&amp;"|"&amp;W18,"")</f>
      </c>
      <c r="Y18">
        <f>IF(X18&lt;&gt;"",IF(K18&lt;&gt;"",K18&amp;" ("&amp;M18&amp;")",M18),"")</f>
      </c>
      <c r="Z18">
        <f>IF(O18="Sí",COUNTIFS($D$2:D18,D18,$O$2:O18,"Sí"),"")</f>
      </c>
      <c r="AA18">
        <f>IF(Z18&lt;&gt;"",D18&amp;"|"&amp;Z18,"")</f>
      </c>
      <c r="AB18">
        <f>IF(AA18&lt;&gt;"",IF(K18&lt;&gt;"",K18&amp;" ("&amp;M18&amp;")",M18),"")</f>
      </c>
      <c r="AC18">
        <f>IF($B18="","fecha, ","")&amp;IF($C18="","quién lo introduce, ","")&amp;IF($I18="","motivo, ","")&amp;IF($K18="","docente, ","")&amp;IF($L18="","horario, ","")&amp;IF($N18="","duración, ","")&amp;IF($Q18="","estado, ","")&amp;IF(AND($I18="Otros",$J18=""),"detalle del motivo, ","")&amp;IF(AND($O18="Sí",$P18=""),"detalle del refuerzo, ","")&amp;IF(AND(OR($I18="Renuncia (hasta 30 nov)",$I18="Baja (desde 1 dic)",$I18="Renuncia excepcional (art. 25.3)",$I18="Traslado de expediente"),OR($E18="",$F18="",$G18="")),"quién deja la plaza, ","")&amp;IF(AND($Q18="No disponible",$R18=""),"vía de cobertura, ","")&amp;IF(AND(OR($R18="Lista de espera · propio centro",$R18="Traslado de expediente",$R18="Lista de espera · otro centro"),OR($S18="",$T18="",$U18="")),"quién ocupa la plaza, ","")</f>
      </c>
      <c r="AD18" s="24">
        <f>IF($D18="","",IF(AND(LEN($AC18)=0,LEN($AK18)=0),"Completa",IF(LEN($AC18)=0,"Revisar: "&amp;LEFT($AK18,LEN($AK18)-2),"Falta: "&amp;LEFT($AC18,LEN($AC18)-2)&amp;IF(LEN($AK18)&gt;0,"  ·  Revisar: "&amp;LEFT($AK18,LEN($AK18)-2),""))))</f>
      </c>
      <c r="AE18">
        <f>IF(AND($D18&lt;&gt;"",OR($I18="Renuncia (hasta 30 nov)",$I18="Baja (desde 1 dic)",$I18="Renuncia excepcional (art. 25.3)",$I18="Traslado de expediente")),COUNTIF($AE$1:AE17,"&gt;0")+1,"")</f>
      </c>
      <c r="AF18">
        <f>IF($Q18="Disponible",COUNTIF($AF$1:AF17,"&gt;0")+1,"")</f>
      </c>
      <c r="AG18">
        <f>IF($O18="Sí",COUNTIF($AG$1:AG17,"&gt;0")+1,"")</f>
      </c>
      <c r="AH18">
        <f>IF(AND($Q18="Disponible",$O18&lt;&gt;"Sí"),COUNTIF($AH$1:AH17,"&gt;0")+1,"")</f>
      </c>
      <c r="AI18">
        <f>IF(AND($Q18="Disponible",$K18&lt;&gt;""),COUNTIFS($K$2:K18,K18,$Q$2:Q18,"Disponible"),"")</f>
      </c>
      <c r="AJ18">
        <f>IF(AI18&lt;&gt;"",K18&amp;"|"&amp;AI18,"")</f>
      </c>
      <c r="AK18">
        <f>IF(AND($Q18="No disponible",OR($R18="Lista de espera · propio centro",$R18="Traslado de expediente",$R18="Lista de espera · otro centro"),$O18="Sí"),"la plaza ya tiene alumno y sigue marcada como refuerzo, ","")&amp;IF(AND($R18="Reconvertida en refuerzo",$O18&lt;&gt;"Sí"),"reconvertida en refuerzo pero sin marcar «En uso como refuerzo», ","")</f>
      </c>
    </row>
    <row r="19" spans="1:37">
      <c r="A19" s="20">
        <f>IF(D19&lt;&gt;"",ROW()-1,"")</f>
      </c>
      <c r="B19" s="55"/>
      <c r="C19" s="56"/>
      <c r="D19" s="56"/>
      <c r="E19" s="56"/>
      <c r="F19" s="56"/>
      <c r="G19" s="56"/>
      <c r="H19" s="56"/>
      <c r="I19" s="56"/>
      <c r="J19" s="57"/>
      <c r="K19" s="56"/>
      <c r="L19" s="58"/>
      <c r="M19" s="58">
        <f>IF(L19="","",L19)</f>
      </c>
      <c r="N19" s="56"/>
      <c r="O19" s="56"/>
      <c r="P19" s="57"/>
      <c r="Q19" s="56"/>
      <c r="R19" s="56"/>
      <c r="S19" s="56"/>
      <c r="T19" s="56"/>
      <c r="U19" s="56"/>
      <c r="V19" s="57"/>
      <c r="W19">
        <f>IF(Q19="Disponible",COUNTIFS($D$2:D19,D19,$Q$2:Q19,"Disponible"),"")</f>
      </c>
      <c r="X19">
        <f>IF(W19&lt;&gt;"",D19&amp;"|"&amp;W19,"")</f>
      </c>
      <c r="Y19">
        <f>IF(X19&lt;&gt;"",IF(K19&lt;&gt;"",K19&amp;" ("&amp;M19&amp;")",M19),"")</f>
      </c>
      <c r="Z19">
        <f>IF(O19="Sí",COUNTIFS($D$2:D19,D19,$O$2:O19,"Sí"),"")</f>
      </c>
      <c r="AA19">
        <f>IF(Z19&lt;&gt;"",D19&amp;"|"&amp;Z19,"")</f>
      </c>
      <c r="AB19">
        <f>IF(AA19&lt;&gt;"",IF(K19&lt;&gt;"",K19&amp;" ("&amp;M19&amp;")",M19),"")</f>
      </c>
      <c r="AC19">
        <f>IF($B19="","fecha, ","")&amp;IF($C19="","quién lo introduce, ","")&amp;IF($I19="","motivo, ","")&amp;IF($K19="","docente, ","")&amp;IF($L19="","horario, ","")&amp;IF($N19="","duración, ","")&amp;IF($Q19="","estado, ","")&amp;IF(AND($I19="Otros",$J19=""),"detalle del motivo, ","")&amp;IF(AND($O19="Sí",$P19=""),"detalle del refuerzo, ","")&amp;IF(AND(OR($I19="Renuncia (hasta 30 nov)",$I19="Baja (desde 1 dic)",$I19="Renuncia excepcional (art. 25.3)",$I19="Traslado de expediente"),OR($E19="",$F19="",$G19="")),"quién deja la plaza, ","")&amp;IF(AND($Q19="No disponible",$R19=""),"vía de cobertura, ","")&amp;IF(AND(OR($R19="Lista de espera · propio centro",$R19="Traslado de expediente",$R19="Lista de espera · otro centro"),OR($S19="",$T19="",$U19="")),"quién ocupa la plaza, ","")</f>
      </c>
      <c r="AD19" s="24">
        <f>IF($D19="","",IF(AND(LEN($AC19)=0,LEN($AK19)=0),"Completa",IF(LEN($AC19)=0,"Revisar: "&amp;LEFT($AK19,LEN($AK19)-2),"Falta: "&amp;LEFT($AC19,LEN($AC19)-2)&amp;IF(LEN($AK19)&gt;0,"  ·  Revisar: "&amp;LEFT($AK19,LEN($AK19)-2),""))))</f>
      </c>
      <c r="AE19">
        <f>IF(AND($D19&lt;&gt;"",OR($I19="Renuncia (hasta 30 nov)",$I19="Baja (desde 1 dic)",$I19="Renuncia excepcional (art. 25.3)",$I19="Traslado de expediente")),COUNTIF($AE$1:AE18,"&gt;0")+1,"")</f>
      </c>
      <c r="AF19">
        <f>IF($Q19="Disponible",COUNTIF($AF$1:AF18,"&gt;0")+1,"")</f>
      </c>
      <c r="AG19">
        <f>IF($O19="Sí",COUNTIF($AG$1:AG18,"&gt;0")+1,"")</f>
      </c>
      <c r="AH19">
        <f>IF(AND($Q19="Disponible",$O19&lt;&gt;"Sí"),COUNTIF($AH$1:AH18,"&gt;0")+1,"")</f>
      </c>
      <c r="AI19">
        <f>IF(AND($Q19="Disponible",$K19&lt;&gt;""),COUNTIFS($K$2:K19,K19,$Q$2:Q19,"Disponible"),"")</f>
      </c>
      <c r="AJ19">
        <f>IF(AI19&lt;&gt;"",K19&amp;"|"&amp;AI19,"")</f>
      </c>
      <c r="AK19">
        <f>IF(AND($Q19="No disponible",OR($R19="Lista de espera · propio centro",$R19="Traslado de expediente",$R19="Lista de espera · otro centro"),$O19="Sí"),"la plaza ya tiene alumno y sigue marcada como refuerzo, ","")&amp;IF(AND($R19="Reconvertida en refuerzo",$O19&lt;&gt;"Sí"),"reconvertida en refuerzo pero sin marcar «En uso como refuerzo», ","")</f>
      </c>
    </row>
    <row r="20" spans="1:37">
      <c r="A20" s="20">
        <f>IF(D20&lt;&gt;"",ROW()-1,"")</f>
      </c>
      <c r="B20" s="55"/>
      <c r="C20" s="56"/>
      <c r="D20" s="56"/>
      <c r="E20" s="56"/>
      <c r="F20" s="56"/>
      <c r="G20" s="56"/>
      <c r="H20" s="56"/>
      <c r="I20" s="56"/>
      <c r="J20" s="57"/>
      <c r="K20" s="56"/>
      <c r="L20" s="58"/>
      <c r="M20" s="58">
        <f>IF(L20="","",L20)</f>
      </c>
      <c r="N20" s="56"/>
      <c r="O20" s="56"/>
      <c r="P20" s="57"/>
      <c r="Q20" s="56"/>
      <c r="R20" s="56"/>
      <c r="S20" s="56"/>
      <c r="T20" s="56"/>
      <c r="U20" s="56"/>
      <c r="V20" s="57"/>
      <c r="W20">
        <f>IF(Q20="Disponible",COUNTIFS($D$2:D20,D20,$Q$2:Q20,"Disponible"),"")</f>
      </c>
      <c r="X20">
        <f>IF(W20&lt;&gt;"",D20&amp;"|"&amp;W20,"")</f>
      </c>
      <c r="Y20">
        <f>IF(X20&lt;&gt;"",IF(K20&lt;&gt;"",K20&amp;" ("&amp;M20&amp;")",M20),"")</f>
      </c>
      <c r="Z20">
        <f>IF(O20="Sí",COUNTIFS($D$2:D20,D20,$O$2:O20,"Sí"),"")</f>
      </c>
      <c r="AA20">
        <f>IF(Z20&lt;&gt;"",D20&amp;"|"&amp;Z20,"")</f>
      </c>
      <c r="AB20">
        <f>IF(AA20&lt;&gt;"",IF(K20&lt;&gt;"",K20&amp;" ("&amp;M20&amp;")",M20),"")</f>
      </c>
      <c r="AC20">
        <f>IF($B20="","fecha, ","")&amp;IF($C20="","quién lo introduce, ","")&amp;IF($I20="","motivo, ","")&amp;IF($K20="","docente, ","")&amp;IF($L20="","horario, ","")&amp;IF($N20="","duración, ","")&amp;IF($Q20="","estado, ","")&amp;IF(AND($I20="Otros",$J20=""),"detalle del motivo, ","")&amp;IF(AND($O20="Sí",$P20=""),"detalle del refuerzo, ","")&amp;IF(AND(OR($I20="Renuncia (hasta 30 nov)",$I20="Baja (desde 1 dic)",$I20="Renuncia excepcional (art. 25.3)",$I20="Traslado de expediente"),OR($E20="",$F20="",$G20="")),"quién deja la plaza, ","")&amp;IF(AND($Q20="No disponible",$R20=""),"vía de cobertura, ","")&amp;IF(AND(OR($R20="Lista de espera · propio centro",$R20="Traslado de expediente",$R20="Lista de espera · otro centro"),OR($S20="",$T20="",$U20="")),"quién ocupa la plaza, ","")</f>
      </c>
      <c r="AD20" s="24">
        <f>IF($D20="","",IF(AND(LEN($AC20)=0,LEN($AK20)=0),"Completa",IF(LEN($AC20)=0,"Revisar: "&amp;LEFT($AK20,LEN($AK20)-2),"Falta: "&amp;LEFT($AC20,LEN($AC20)-2)&amp;IF(LEN($AK20)&gt;0,"  ·  Revisar: "&amp;LEFT($AK20,LEN($AK20)-2),""))))</f>
      </c>
      <c r="AE20">
        <f>IF(AND($D20&lt;&gt;"",OR($I20="Renuncia (hasta 30 nov)",$I20="Baja (desde 1 dic)",$I20="Renuncia excepcional (art. 25.3)",$I20="Traslado de expediente")),COUNTIF($AE$1:AE19,"&gt;0")+1,"")</f>
      </c>
      <c r="AF20">
        <f>IF($Q20="Disponible",COUNTIF($AF$1:AF19,"&gt;0")+1,"")</f>
      </c>
      <c r="AG20">
        <f>IF($O20="Sí",COUNTIF($AG$1:AG19,"&gt;0")+1,"")</f>
      </c>
      <c r="AH20">
        <f>IF(AND($Q20="Disponible",$O20&lt;&gt;"Sí"),COUNTIF($AH$1:AH19,"&gt;0")+1,"")</f>
      </c>
      <c r="AI20">
        <f>IF(AND($Q20="Disponible",$K20&lt;&gt;""),COUNTIFS($K$2:K20,K20,$Q$2:Q20,"Disponible"),"")</f>
      </c>
      <c r="AJ20">
        <f>IF(AI20&lt;&gt;"",K20&amp;"|"&amp;AI20,"")</f>
      </c>
      <c r="AK20">
        <f>IF(AND($Q20="No disponible",OR($R20="Lista de espera · propio centro",$R20="Traslado de expediente",$R20="Lista de espera · otro centro"),$O20="Sí"),"la plaza ya tiene alumno y sigue marcada como refuerzo, ","")&amp;IF(AND($R20="Reconvertida en refuerzo",$O20&lt;&gt;"Sí"),"reconvertida en refuerzo pero sin marcar «En uso como refuerzo», ","")</f>
      </c>
    </row>
    <row r="21" spans="1:37">
      <c r="A21" s="20">
        <f>IF(D21&lt;&gt;"",ROW()-1,"")</f>
      </c>
      <c r="B21" s="55"/>
      <c r="C21" s="56"/>
      <c r="D21" s="56"/>
      <c r="E21" s="56"/>
      <c r="F21" s="56"/>
      <c r="G21" s="56"/>
      <c r="H21" s="56"/>
      <c r="I21" s="56"/>
      <c r="J21" s="57"/>
      <c r="K21" s="56"/>
      <c r="L21" s="58"/>
      <c r="M21" s="58">
        <f>IF(L21="","",L21)</f>
      </c>
      <c r="N21" s="56"/>
      <c r="O21" s="56"/>
      <c r="P21" s="57"/>
      <c r="Q21" s="56"/>
      <c r="R21" s="56"/>
      <c r="S21" s="56"/>
      <c r="T21" s="56"/>
      <c r="U21" s="56"/>
      <c r="V21" s="57"/>
      <c r="W21">
        <f>IF(Q21="Disponible",COUNTIFS($D$2:D21,D21,$Q$2:Q21,"Disponible"),"")</f>
      </c>
      <c r="X21">
        <f>IF(W21&lt;&gt;"",D21&amp;"|"&amp;W21,"")</f>
      </c>
      <c r="Y21">
        <f>IF(X21&lt;&gt;"",IF(K21&lt;&gt;"",K21&amp;" ("&amp;M21&amp;")",M21),"")</f>
      </c>
      <c r="Z21">
        <f>IF(O21="Sí",COUNTIFS($D$2:D21,D21,$O$2:O21,"Sí"),"")</f>
      </c>
      <c r="AA21">
        <f>IF(Z21&lt;&gt;"",D21&amp;"|"&amp;Z21,"")</f>
      </c>
      <c r="AB21">
        <f>IF(AA21&lt;&gt;"",IF(K21&lt;&gt;"",K21&amp;" ("&amp;M21&amp;")",M21),"")</f>
      </c>
      <c r="AC21">
        <f>IF($B21="","fecha, ","")&amp;IF($C21="","quién lo introduce, ","")&amp;IF($I21="","motivo, ","")&amp;IF($K21="","docente, ","")&amp;IF($L21="","horario, ","")&amp;IF($N21="","duración, ","")&amp;IF($Q21="","estado, ","")&amp;IF(AND($I21="Otros",$J21=""),"detalle del motivo, ","")&amp;IF(AND($O21="Sí",$P21=""),"detalle del refuerzo, ","")&amp;IF(AND(OR($I21="Renuncia (hasta 30 nov)",$I21="Baja (desde 1 dic)",$I21="Renuncia excepcional (art. 25.3)",$I21="Traslado de expediente"),OR($E21="",$F21="",$G21="")),"quién deja la plaza, ","")&amp;IF(AND($Q21="No disponible",$R21=""),"vía de cobertura, ","")&amp;IF(AND(OR($R21="Lista de espera · propio centro",$R21="Traslado de expediente",$R21="Lista de espera · otro centro"),OR($S21="",$T21="",$U21="")),"quién ocupa la plaza, ","")</f>
      </c>
      <c r="AD21" s="24">
        <f>IF($D21="","",IF(AND(LEN($AC21)=0,LEN($AK21)=0),"Completa",IF(LEN($AC21)=0,"Revisar: "&amp;LEFT($AK21,LEN($AK21)-2),"Falta: "&amp;LEFT($AC21,LEN($AC21)-2)&amp;IF(LEN($AK21)&gt;0,"  ·  Revisar: "&amp;LEFT($AK21,LEN($AK21)-2),""))))</f>
      </c>
      <c r="AE21">
        <f>IF(AND($D21&lt;&gt;"",OR($I21="Renuncia (hasta 30 nov)",$I21="Baja (desde 1 dic)",$I21="Renuncia excepcional (art. 25.3)",$I21="Traslado de expediente")),COUNTIF($AE$1:AE20,"&gt;0")+1,"")</f>
      </c>
      <c r="AF21">
        <f>IF($Q21="Disponible",COUNTIF($AF$1:AF20,"&gt;0")+1,"")</f>
      </c>
      <c r="AG21">
        <f>IF($O21="Sí",COUNTIF($AG$1:AG20,"&gt;0")+1,"")</f>
      </c>
      <c r="AH21">
        <f>IF(AND($Q21="Disponible",$O21&lt;&gt;"Sí"),COUNTIF($AH$1:AH20,"&gt;0")+1,"")</f>
      </c>
      <c r="AI21">
        <f>IF(AND($Q21="Disponible",$K21&lt;&gt;""),COUNTIFS($K$2:K21,K21,$Q$2:Q21,"Disponible"),"")</f>
      </c>
      <c r="AJ21">
        <f>IF(AI21&lt;&gt;"",K21&amp;"|"&amp;AI21,"")</f>
      </c>
      <c r="AK21">
        <f>IF(AND($Q21="No disponible",OR($R21="Lista de espera · propio centro",$R21="Traslado de expediente",$R21="Lista de espera · otro centro"),$O21="Sí"),"la plaza ya tiene alumno y sigue marcada como refuerzo, ","")&amp;IF(AND($R21="Reconvertida en refuerzo",$O21&lt;&gt;"Sí"),"reconvertida en refuerzo pero sin marcar «En uso como refuerzo», ","")</f>
      </c>
    </row>
    <row r="22" spans="1:37">
      <c r="A22" s="20">
        <f>IF(D22&lt;&gt;"",ROW()-1,"")</f>
      </c>
      <c r="B22" s="55"/>
      <c r="C22" s="56"/>
      <c r="D22" s="56"/>
      <c r="E22" s="56"/>
      <c r="F22" s="56"/>
      <c r="G22" s="56"/>
      <c r="H22" s="56"/>
      <c r="I22" s="56"/>
      <c r="J22" s="57"/>
      <c r="K22" s="56"/>
      <c r="L22" s="58"/>
      <c r="M22" s="58">
        <f>IF(L22="","",L22)</f>
      </c>
      <c r="N22" s="56"/>
      <c r="O22" s="56"/>
      <c r="P22" s="57"/>
      <c r="Q22" s="56"/>
      <c r="R22" s="56"/>
      <c r="S22" s="56"/>
      <c r="T22" s="56"/>
      <c r="U22" s="56"/>
      <c r="V22" s="57"/>
      <c r="W22">
        <f>IF(Q22="Disponible",COUNTIFS($D$2:D22,D22,$Q$2:Q22,"Disponible"),"")</f>
      </c>
      <c r="X22">
        <f>IF(W22&lt;&gt;"",D22&amp;"|"&amp;W22,"")</f>
      </c>
      <c r="Y22">
        <f>IF(X22&lt;&gt;"",IF(K22&lt;&gt;"",K22&amp;" ("&amp;M22&amp;")",M22),"")</f>
      </c>
      <c r="Z22">
        <f>IF(O22="Sí",COUNTIFS($D$2:D22,D22,$O$2:O22,"Sí"),"")</f>
      </c>
      <c r="AA22">
        <f>IF(Z22&lt;&gt;"",D22&amp;"|"&amp;Z22,"")</f>
      </c>
      <c r="AB22">
        <f>IF(AA22&lt;&gt;"",IF(K22&lt;&gt;"",K22&amp;" ("&amp;M22&amp;")",M22),"")</f>
      </c>
      <c r="AC22">
        <f>IF($B22="","fecha, ","")&amp;IF($C22="","quién lo introduce, ","")&amp;IF($I22="","motivo, ","")&amp;IF($K22="","docente, ","")&amp;IF($L22="","horario, ","")&amp;IF($N22="","duración, ","")&amp;IF($Q22="","estado, ","")&amp;IF(AND($I22="Otros",$J22=""),"detalle del motivo, ","")&amp;IF(AND($O22="Sí",$P22=""),"detalle del refuerzo, ","")&amp;IF(AND(OR($I22="Renuncia (hasta 30 nov)",$I22="Baja (desde 1 dic)",$I22="Renuncia excepcional (art. 25.3)",$I22="Traslado de expediente"),OR($E22="",$F22="",$G22="")),"quién deja la plaza, ","")&amp;IF(AND($Q22="No disponible",$R22=""),"vía de cobertura, ","")&amp;IF(AND(OR($R22="Lista de espera · propio centro",$R22="Traslado de expediente",$R22="Lista de espera · otro centro"),OR($S22="",$T22="",$U22="")),"quién ocupa la plaza, ","")</f>
      </c>
      <c r="AD22" s="24">
        <f>IF($D22="","",IF(AND(LEN($AC22)=0,LEN($AK22)=0),"Completa",IF(LEN($AC22)=0,"Revisar: "&amp;LEFT($AK22,LEN($AK22)-2),"Falta: "&amp;LEFT($AC22,LEN($AC22)-2)&amp;IF(LEN($AK22)&gt;0,"  ·  Revisar: "&amp;LEFT($AK22,LEN($AK22)-2),""))))</f>
      </c>
      <c r="AE22">
        <f>IF(AND($D22&lt;&gt;"",OR($I22="Renuncia (hasta 30 nov)",$I22="Baja (desde 1 dic)",$I22="Renuncia excepcional (art. 25.3)",$I22="Traslado de expediente")),COUNTIF($AE$1:AE21,"&gt;0")+1,"")</f>
      </c>
      <c r="AF22">
        <f>IF($Q22="Disponible",COUNTIF($AF$1:AF21,"&gt;0")+1,"")</f>
      </c>
      <c r="AG22">
        <f>IF($O22="Sí",COUNTIF($AG$1:AG21,"&gt;0")+1,"")</f>
      </c>
      <c r="AH22">
        <f>IF(AND($Q22="Disponible",$O22&lt;&gt;"Sí"),COUNTIF($AH$1:AH21,"&gt;0")+1,"")</f>
      </c>
      <c r="AI22">
        <f>IF(AND($Q22="Disponible",$K22&lt;&gt;""),COUNTIFS($K$2:K22,K22,$Q$2:Q22,"Disponible"),"")</f>
      </c>
      <c r="AJ22">
        <f>IF(AI22&lt;&gt;"",K22&amp;"|"&amp;AI22,"")</f>
      </c>
      <c r="AK22">
        <f>IF(AND($Q22="No disponible",OR($R22="Lista de espera · propio centro",$R22="Traslado de expediente",$R22="Lista de espera · otro centro"),$O22="Sí"),"la plaza ya tiene alumno y sigue marcada como refuerzo, ","")&amp;IF(AND($R22="Reconvertida en refuerzo",$O22&lt;&gt;"Sí"),"reconvertida en refuerzo pero sin marcar «En uso como refuerzo», ","")</f>
      </c>
    </row>
    <row r="23" spans="1:37">
      <c r="A23" s="20">
        <f>IF(D23&lt;&gt;"",ROW()-1,"")</f>
      </c>
      <c r="B23" s="55"/>
      <c r="C23" s="56"/>
      <c r="D23" s="56"/>
      <c r="E23" s="56"/>
      <c r="F23" s="56"/>
      <c r="G23" s="56"/>
      <c r="H23" s="56"/>
      <c r="I23" s="56"/>
      <c r="J23" s="57"/>
      <c r="K23" s="56"/>
      <c r="L23" s="58"/>
      <c r="M23" s="58">
        <f>IF(L23="","",L23)</f>
      </c>
      <c r="N23" s="56"/>
      <c r="O23" s="56"/>
      <c r="P23" s="57"/>
      <c r="Q23" s="56"/>
      <c r="R23" s="56"/>
      <c r="S23" s="56"/>
      <c r="T23" s="56"/>
      <c r="U23" s="56"/>
      <c r="V23" s="57"/>
      <c r="W23">
        <f>IF(Q23="Disponible",COUNTIFS($D$2:D23,D23,$Q$2:Q23,"Disponible"),"")</f>
      </c>
      <c r="X23">
        <f>IF(W23&lt;&gt;"",D23&amp;"|"&amp;W23,"")</f>
      </c>
      <c r="Y23">
        <f>IF(X23&lt;&gt;"",IF(K23&lt;&gt;"",K23&amp;" ("&amp;M23&amp;")",M23),"")</f>
      </c>
      <c r="Z23">
        <f>IF(O23="Sí",COUNTIFS($D$2:D23,D23,$O$2:O23,"Sí"),"")</f>
      </c>
      <c r="AA23">
        <f>IF(Z23&lt;&gt;"",D23&amp;"|"&amp;Z23,"")</f>
      </c>
      <c r="AB23">
        <f>IF(AA23&lt;&gt;"",IF(K23&lt;&gt;"",K23&amp;" ("&amp;M23&amp;")",M23),"")</f>
      </c>
      <c r="AC23">
        <f>IF($B23="","fecha, ","")&amp;IF($C23="","quién lo introduce, ","")&amp;IF($I23="","motivo, ","")&amp;IF($K23="","docente, ","")&amp;IF($L23="","horario, ","")&amp;IF($N23="","duración, ","")&amp;IF($Q23="","estado, ","")&amp;IF(AND($I23="Otros",$J23=""),"detalle del motivo, ","")&amp;IF(AND($O23="Sí",$P23=""),"detalle del refuerzo, ","")&amp;IF(AND(OR($I23="Renuncia (hasta 30 nov)",$I23="Baja (desde 1 dic)",$I23="Renuncia excepcional (art. 25.3)",$I23="Traslado de expediente"),OR($E23="",$F23="",$G23="")),"quién deja la plaza, ","")&amp;IF(AND($Q23="No disponible",$R23=""),"vía de cobertura, ","")&amp;IF(AND(OR($R23="Lista de espera · propio centro",$R23="Traslado de expediente",$R23="Lista de espera · otro centro"),OR($S23="",$T23="",$U23="")),"quién ocupa la plaza, ","")</f>
      </c>
      <c r="AD23" s="24">
        <f>IF($D23="","",IF(AND(LEN($AC23)=0,LEN($AK23)=0),"Completa",IF(LEN($AC23)=0,"Revisar: "&amp;LEFT($AK23,LEN($AK23)-2),"Falta: "&amp;LEFT($AC23,LEN($AC23)-2)&amp;IF(LEN($AK23)&gt;0,"  ·  Revisar: "&amp;LEFT($AK23,LEN($AK23)-2),""))))</f>
      </c>
      <c r="AE23">
        <f>IF(AND($D23&lt;&gt;"",OR($I23="Renuncia (hasta 30 nov)",$I23="Baja (desde 1 dic)",$I23="Renuncia excepcional (art. 25.3)",$I23="Traslado de expediente")),COUNTIF($AE$1:AE22,"&gt;0")+1,"")</f>
      </c>
      <c r="AF23">
        <f>IF($Q23="Disponible",COUNTIF($AF$1:AF22,"&gt;0")+1,"")</f>
      </c>
      <c r="AG23">
        <f>IF($O23="Sí",COUNTIF($AG$1:AG22,"&gt;0")+1,"")</f>
      </c>
      <c r="AH23">
        <f>IF(AND($Q23="Disponible",$O23&lt;&gt;"Sí"),COUNTIF($AH$1:AH22,"&gt;0")+1,"")</f>
      </c>
      <c r="AI23">
        <f>IF(AND($Q23="Disponible",$K23&lt;&gt;""),COUNTIFS($K$2:K23,K23,$Q$2:Q23,"Disponible"),"")</f>
      </c>
      <c r="AJ23">
        <f>IF(AI23&lt;&gt;"",K23&amp;"|"&amp;AI23,"")</f>
      </c>
      <c r="AK23">
        <f>IF(AND($Q23="No disponible",OR($R23="Lista de espera · propio centro",$R23="Traslado de expediente",$R23="Lista de espera · otro centro"),$O23="Sí"),"la plaza ya tiene alumno y sigue marcada como refuerzo, ","")&amp;IF(AND($R23="Reconvertida en refuerzo",$O23&lt;&gt;"Sí"),"reconvertida en refuerzo pero sin marcar «En uso como refuerzo», ","")</f>
      </c>
    </row>
    <row r="24" spans="1:37">
      <c r="A24" s="20">
        <f>IF(D24&lt;&gt;"",ROW()-1,"")</f>
      </c>
      <c r="B24" s="55"/>
      <c r="C24" s="56"/>
      <c r="D24" s="56"/>
      <c r="E24" s="56"/>
      <c r="F24" s="56"/>
      <c r="G24" s="56"/>
      <c r="H24" s="56"/>
      <c r="I24" s="56"/>
      <c r="J24" s="57"/>
      <c r="K24" s="56"/>
      <c r="L24" s="58"/>
      <c r="M24" s="58">
        <f>IF(L24="","",L24)</f>
      </c>
      <c r="N24" s="56"/>
      <c r="O24" s="56"/>
      <c r="P24" s="57"/>
      <c r="Q24" s="56"/>
      <c r="R24" s="56"/>
      <c r="S24" s="56"/>
      <c r="T24" s="56"/>
      <c r="U24" s="56"/>
      <c r="V24" s="57"/>
      <c r="W24">
        <f>IF(Q24="Disponible",COUNTIFS($D$2:D24,D24,$Q$2:Q24,"Disponible"),"")</f>
      </c>
      <c r="X24">
        <f>IF(W24&lt;&gt;"",D24&amp;"|"&amp;W24,"")</f>
      </c>
      <c r="Y24">
        <f>IF(X24&lt;&gt;"",IF(K24&lt;&gt;"",K24&amp;" ("&amp;M24&amp;")",M24),"")</f>
      </c>
      <c r="Z24">
        <f>IF(O24="Sí",COUNTIFS($D$2:D24,D24,$O$2:O24,"Sí"),"")</f>
      </c>
      <c r="AA24">
        <f>IF(Z24&lt;&gt;"",D24&amp;"|"&amp;Z24,"")</f>
      </c>
      <c r="AB24">
        <f>IF(AA24&lt;&gt;"",IF(K24&lt;&gt;"",K24&amp;" ("&amp;M24&amp;")",M24),"")</f>
      </c>
      <c r="AC24">
        <f>IF($B24="","fecha, ","")&amp;IF($C24="","quién lo introduce, ","")&amp;IF($I24="","motivo, ","")&amp;IF($K24="","docente, ","")&amp;IF($L24="","horario, ","")&amp;IF($N24="","duración, ","")&amp;IF($Q24="","estado, ","")&amp;IF(AND($I24="Otros",$J24=""),"detalle del motivo, ","")&amp;IF(AND($O24="Sí",$P24=""),"detalle del refuerzo, ","")&amp;IF(AND(OR($I24="Renuncia (hasta 30 nov)",$I24="Baja (desde 1 dic)",$I24="Renuncia excepcional (art. 25.3)",$I24="Traslado de expediente"),OR($E24="",$F24="",$G24="")),"quién deja la plaza, ","")&amp;IF(AND($Q24="No disponible",$R24=""),"vía de cobertura, ","")&amp;IF(AND(OR($R24="Lista de espera · propio centro",$R24="Traslado de expediente",$R24="Lista de espera · otro centro"),OR($S24="",$T24="",$U24="")),"quién ocupa la plaza, ","")</f>
      </c>
      <c r="AD24" s="24">
        <f>IF($D24="","",IF(AND(LEN($AC24)=0,LEN($AK24)=0),"Completa",IF(LEN($AC24)=0,"Revisar: "&amp;LEFT($AK24,LEN($AK24)-2),"Falta: "&amp;LEFT($AC24,LEN($AC24)-2)&amp;IF(LEN($AK24)&gt;0,"  ·  Revisar: "&amp;LEFT($AK24,LEN($AK24)-2),""))))</f>
      </c>
      <c r="AE24">
        <f>IF(AND($D24&lt;&gt;"",OR($I24="Renuncia (hasta 30 nov)",$I24="Baja (desde 1 dic)",$I24="Renuncia excepcional (art. 25.3)",$I24="Traslado de expediente")),COUNTIF($AE$1:AE23,"&gt;0")+1,"")</f>
      </c>
      <c r="AF24">
        <f>IF($Q24="Disponible",COUNTIF($AF$1:AF23,"&gt;0")+1,"")</f>
      </c>
      <c r="AG24">
        <f>IF($O24="Sí",COUNTIF($AG$1:AG23,"&gt;0")+1,"")</f>
      </c>
      <c r="AH24">
        <f>IF(AND($Q24="Disponible",$O24&lt;&gt;"Sí"),COUNTIF($AH$1:AH23,"&gt;0")+1,"")</f>
      </c>
      <c r="AI24">
        <f>IF(AND($Q24="Disponible",$K24&lt;&gt;""),COUNTIFS($K$2:K24,K24,$Q$2:Q24,"Disponible"),"")</f>
      </c>
      <c r="AJ24">
        <f>IF(AI24&lt;&gt;"",K24&amp;"|"&amp;AI24,"")</f>
      </c>
      <c r="AK24">
        <f>IF(AND($Q24="No disponible",OR($R24="Lista de espera · propio centro",$R24="Traslado de expediente",$R24="Lista de espera · otro centro"),$O24="Sí"),"la plaza ya tiene alumno y sigue marcada como refuerzo, ","")&amp;IF(AND($R24="Reconvertida en refuerzo",$O24&lt;&gt;"Sí"),"reconvertida en refuerzo pero sin marcar «En uso como refuerzo», ","")</f>
      </c>
    </row>
    <row r="25" spans="1:37">
      <c r="A25" s="20">
        <f>IF(D25&lt;&gt;"",ROW()-1,"")</f>
      </c>
      <c r="B25" s="55"/>
      <c r="C25" s="56"/>
      <c r="D25" s="56"/>
      <c r="E25" s="56"/>
      <c r="F25" s="56"/>
      <c r="G25" s="56"/>
      <c r="H25" s="56"/>
      <c r="I25" s="56"/>
      <c r="J25" s="57"/>
      <c r="K25" s="56"/>
      <c r="L25" s="58"/>
      <c r="M25" s="58">
        <f>IF(L25="","",L25)</f>
      </c>
      <c r="N25" s="56"/>
      <c r="O25" s="56"/>
      <c r="P25" s="57"/>
      <c r="Q25" s="56"/>
      <c r="R25" s="56"/>
      <c r="S25" s="56"/>
      <c r="T25" s="56"/>
      <c r="U25" s="56"/>
      <c r="V25" s="57"/>
      <c r="W25">
        <f>IF(Q25="Disponible",COUNTIFS($D$2:D25,D25,$Q$2:Q25,"Disponible"),"")</f>
      </c>
      <c r="X25">
        <f>IF(W25&lt;&gt;"",D25&amp;"|"&amp;W25,"")</f>
      </c>
      <c r="Y25">
        <f>IF(X25&lt;&gt;"",IF(K25&lt;&gt;"",K25&amp;" ("&amp;M25&amp;")",M25),"")</f>
      </c>
      <c r="Z25">
        <f>IF(O25="Sí",COUNTIFS($D$2:D25,D25,$O$2:O25,"Sí"),"")</f>
      </c>
      <c r="AA25">
        <f>IF(Z25&lt;&gt;"",D25&amp;"|"&amp;Z25,"")</f>
      </c>
      <c r="AB25">
        <f>IF(AA25&lt;&gt;"",IF(K25&lt;&gt;"",K25&amp;" ("&amp;M25&amp;")",M25),"")</f>
      </c>
      <c r="AC25">
        <f>IF($B25="","fecha, ","")&amp;IF($C25="","quién lo introduce, ","")&amp;IF($I25="","motivo, ","")&amp;IF($K25="","docente, ","")&amp;IF($L25="","horario, ","")&amp;IF($N25="","duración, ","")&amp;IF($Q25="","estado, ","")&amp;IF(AND($I25="Otros",$J25=""),"detalle del motivo, ","")&amp;IF(AND($O25="Sí",$P25=""),"detalle del refuerzo, ","")&amp;IF(AND(OR($I25="Renuncia (hasta 30 nov)",$I25="Baja (desde 1 dic)",$I25="Renuncia excepcional (art. 25.3)",$I25="Traslado de expediente"),OR($E25="",$F25="",$G25="")),"quién deja la plaza, ","")&amp;IF(AND($Q25="No disponible",$R25=""),"vía de cobertura, ","")&amp;IF(AND(OR($R25="Lista de espera · propio centro",$R25="Traslado de expediente",$R25="Lista de espera · otro centro"),OR($S25="",$T25="",$U25="")),"quién ocupa la plaza, ","")</f>
      </c>
      <c r="AD25" s="24">
        <f>IF($D25="","",IF(AND(LEN($AC25)=0,LEN($AK25)=0),"Completa",IF(LEN($AC25)=0,"Revisar: "&amp;LEFT($AK25,LEN($AK25)-2),"Falta: "&amp;LEFT($AC25,LEN($AC25)-2)&amp;IF(LEN($AK25)&gt;0,"  ·  Revisar: "&amp;LEFT($AK25,LEN($AK25)-2),""))))</f>
      </c>
      <c r="AE25">
        <f>IF(AND($D25&lt;&gt;"",OR($I25="Renuncia (hasta 30 nov)",$I25="Baja (desde 1 dic)",$I25="Renuncia excepcional (art. 25.3)",$I25="Traslado de expediente")),COUNTIF($AE$1:AE24,"&gt;0")+1,"")</f>
      </c>
      <c r="AF25">
        <f>IF($Q25="Disponible",COUNTIF($AF$1:AF24,"&gt;0")+1,"")</f>
      </c>
      <c r="AG25">
        <f>IF($O25="Sí",COUNTIF($AG$1:AG24,"&gt;0")+1,"")</f>
      </c>
      <c r="AH25">
        <f>IF(AND($Q25="Disponible",$O25&lt;&gt;"Sí"),COUNTIF($AH$1:AH24,"&gt;0")+1,"")</f>
      </c>
      <c r="AI25">
        <f>IF(AND($Q25="Disponible",$K25&lt;&gt;""),COUNTIFS($K$2:K25,K25,$Q$2:Q25,"Disponible"),"")</f>
      </c>
      <c r="AJ25">
        <f>IF(AI25&lt;&gt;"",K25&amp;"|"&amp;AI25,"")</f>
      </c>
      <c r="AK25">
        <f>IF(AND($Q25="No disponible",OR($R25="Lista de espera · propio centro",$R25="Traslado de expediente",$R25="Lista de espera · otro centro"),$O25="Sí"),"la plaza ya tiene alumno y sigue marcada como refuerzo, ","")&amp;IF(AND($R25="Reconvertida en refuerzo",$O25&lt;&gt;"Sí"),"reconvertida en refuerzo pero sin marcar «En uso como refuerzo», ","")</f>
      </c>
    </row>
    <row r="26" spans="1:37">
      <c r="A26" s="20">
        <f>IF(D26&lt;&gt;"",ROW()-1,"")</f>
      </c>
      <c r="B26" s="55"/>
      <c r="C26" s="56"/>
      <c r="D26" s="56"/>
      <c r="E26" s="56"/>
      <c r="F26" s="56"/>
      <c r="G26" s="56"/>
      <c r="H26" s="56"/>
      <c r="I26" s="56"/>
      <c r="J26" s="57"/>
      <c r="K26" s="56"/>
      <c r="L26" s="58"/>
      <c r="M26" s="58">
        <f>IF(L26="","",L26)</f>
      </c>
      <c r="N26" s="56"/>
      <c r="O26" s="56"/>
      <c r="P26" s="57"/>
      <c r="Q26" s="56"/>
      <c r="R26" s="56"/>
      <c r="S26" s="56"/>
      <c r="T26" s="56"/>
      <c r="U26" s="56"/>
      <c r="V26" s="57"/>
      <c r="W26">
        <f>IF(Q26="Disponible",COUNTIFS($D$2:D26,D26,$Q$2:Q26,"Disponible"),"")</f>
      </c>
      <c r="X26">
        <f>IF(W26&lt;&gt;"",D26&amp;"|"&amp;W26,"")</f>
      </c>
      <c r="Y26">
        <f>IF(X26&lt;&gt;"",IF(K26&lt;&gt;"",K26&amp;" ("&amp;M26&amp;")",M26),"")</f>
      </c>
      <c r="Z26">
        <f>IF(O26="Sí",COUNTIFS($D$2:D26,D26,$O$2:O26,"Sí"),"")</f>
      </c>
      <c r="AA26">
        <f>IF(Z26&lt;&gt;"",D26&amp;"|"&amp;Z26,"")</f>
      </c>
      <c r="AB26">
        <f>IF(AA26&lt;&gt;"",IF(K26&lt;&gt;"",K26&amp;" ("&amp;M26&amp;")",M26),"")</f>
      </c>
      <c r="AC26">
        <f>IF($B26="","fecha, ","")&amp;IF($C26="","quién lo introduce, ","")&amp;IF($I26="","motivo, ","")&amp;IF($K26="","docente, ","")&amp;IF($L26="","horario, ","")&amp;IF($N26="","duración, ","")&amp;IF($Q26="","estado, ","")&amp;IF(AND($I26="Otros",$J26=""),"detalle del motivo, ","")&amp;IF(AND($O26="Sí",$P26=""),"detalle del refuerzo, ","")&amp;IF(AND(OR($I26="Renuncia (hasta 30 nov)",$I26="Baja (desde 1 dic)",$I26="Renuncia excepcional (art. 25.3)",$I26="Traslado de expediente"),OR($E26="",$F26="",$G26="")),"quién deja la plaza, ","")&amp;IF(AND($Q26="No disponible",$R26=""),"vía de cobertura, ","")&amp;IF(AND(OR($R26="Lista de espera · propio centro",$R26="Traslado de expediente",$R26="Lista de espera · otro centro"),OR($S26="",$T26="",$U26="")),"quién ocupa la plaza, ","")</f>
      </c>
      <c r="AD26" s="24">
        <f>IF($D26="","",IF(AND(LEN($AC26)=0,LEN($AK26)=0),"Completa",IF(LEN($AC26)=0,"Revisar: "&amp;LEFT($AK26,LEN($AK26)-2),"Falta: "&amp;LEFT($AC26,LEN($AC26)-2)&amp;IF(LEN($AK26)&gt;0,"  ·  Revisar: "&amp;LEFT($AK26,LEN($AK26)-2),""))))</f>
      </c>
      <c r="AE26">
        <f>IF(AND($D26&lt;&gt;"",OR($I26="Renuncia (hasta 30 nov)",$I26="Baja (desde 1 dic)",$I26="Renuncia excepcional (art. 25.3)",$I26="Traslado de expediente")),COUNTIF($AE$1:AE25,"&gt;0")+1,"")</f>
      </c>
      <c r="AF26">
        <f>IF($Q26="Disponible",COUNTIF($AF$1:AF25,"&gt;0")+1,"")</f>
      </c>
      <c r="AG26">
        <f>IF($O26="Sí",COUNTIF($AG$1:AG25,"&gt;0")+1,"")</f>
      </c>
      <c r="AH26">
        <f>IF(AND($Q26="Disponible",$O26&lt;&gt;"Sí"),COUNTIF($AH$1:AH25,"&gt;0")+1,"")</f>
      </c>
      <c r="AI26">
        <f>IF(AND($Q26="Disponible",$K26&lt;&gt;""),COUNTIFS($K$2:K26,K26,$Q$2:Q26,"Disponible"),"")</f>
      </c>
      <c r="AJ26">
        <f>IF(AI26&lt;&gt;"",K26&amp;"|"&amp;AI26,"")</f>
      </c>
      <c r="AK26">
        <f>IF(AND($Q26="No disponible",OR($R26="Lista de espera · propio centro",$R26="Traslado de expediente",$R26="Lista de espera · otro centro"),$O26="Sí"),"la plaza ya tiene alumno y sigue marcada como refuerzo, ","")&amp;IF(AND($R26="Reconvertida en refuerzo",$O26&lt;&gt;"Sí"),"reconvertida en refuerzo pero sin marcar «En uso como refuerzo», ","")</f>
      </c>
    </row>
    <row r="27" spans="1:37">
      <c r="A27" s="20">
        <f>IF(D27&lt;&gt;"",ROW()-1,"")</f>
      </c>
      <c r="B27" s="55"/>
      <c r="C27" s="56"/>
      <c r="D27" s="56"/>
      <c r="E27" s="56"/>
      <c r="F27" s="56"/>
      <c r="G27" s="56"/>
      <c r="H27" s="56"/>
      <c r="I27" s="56"/>
      <c r="J27" s="57"/>
      <c r="K27" s="56"/>
      <c r="L27" s="58"/>
      <c r="M27" s="58">
        <f>IF(L27="","",L27)</f>
      </c>
      <c r="N27" s="56"/>
      <c r="O27" s="56"/>
      <c r="P27" s="57"/>
      <c r="Q27" s="56"/>
      <c r="R27" s="56"/>
      <c r="S27" s="56"/>
      <c r="T27" s="56"/>
      <c r="U27" s="56"/>
      <c r="V27" s="57"/>
      <c r="W27">
        <f>IF(Q27="Disponible",COUNTIFS($D$2:D27,D27,$Q$2:Q27,"Disponible"),"")</f>
      </c>
      <c r="X27">
        <f>IF(W27&lt;&gt;"",D27&amp;"|"&amp;W27,"")</f>
      </c>
      <c r="Y27">
        <f>IF(X27&lt;&gt;"",IF(K27&lt;&gt;"",K27&amp;" ("&amp;M27&amp;")",M27),"")</f>
      </c>
      <c r="Z27">
        <f>IF(O27="Sí",COUNTIFS($D$2:D27,D27,$O$2:O27,"Sí"),"")</f>
      </c>
      <c r="AA27">
        <f>IF(Z27&lt;&gt;"",D27&amp;"|"&amp;Z27,"")</f>
      </c>
      <c r="AB27">
        <f>IF(AA27&lt;&gt;"",IF(K27&lt;&gt;"",K27&amp;" ("&amp;M27&amp;")",M27),"")</f>
      </c>
      <c r="AC27">
        <f>IF($B27="","fecha, ","")&amp;IF($C27="","quién lo introduce, ","")&amp;IF($I27="","motivo, ","")&amp;IF($K27="","docente, ","")&amp;IF($L27="","horario, ","")&amp;IF($N27="","duración, ","")&amp;IF($Q27="","estado, ","")&amp;IF(AND($I27="Otros",$J27=""),"detalle del motivo, ","")&amp;IF(AND($O27="Sí",$P27=""),"detalle del refuerzo, ","")&amp;IF(AND(OR($I27="Renuncia (hasta 30 nov)",$I27="Baja (desde 1 dic)",$I27="Renuncia excepcional (art. 25.3)",$I27="Traslado de expediente"),OR($E27="",$F27="",$G27="")),"quién deja la plaza, ","")&amp;IF(AND($Q27="No disponible",$R27=""),"vía de cobertura, ","")&amp;IF(AND(OR($R27="Lista de espera · propio centro",$R27="Traslado de expediente",$R27="Lista de espera · otro centro"),OR($S27="",$T27="",$U27="")),"quién ocupa la plaza, ","")</f>
      </c>
      <c r="AD27" s="24">
        <f>IF($D27="","",IF(AND(LEN($AC27)=0,LEN($AK27)=0),"Completa",IF(LEN($AC27)=0,"Revisar: "&amp;LEFT($AK27,LEN($AK27)-2),"Falta: "&amp;LEFT($AC27,LEN($AC27)-2)&amp;IF(LEN($AK27)&gt;0,"  ·  Revisar: "&amp;LEFT($AK27,LEN($AK27)-2),""))))</f>
      </c>
      <c r="AE27">
        <f>IF(AND($D27&lt;&gt;"",OR($I27="Renuncia (hasta 30 nov)",$I27="Baja (desde 1 dic)",$I27="Renuncia excepcional (art. 25.3)",$I27="Traslado de expediente")),COUNTIF($AE$1:AE26,"&gt;0")+1,"")</f>
      </c>
      <c r="AF27">
        <f>IF($Q27="Disponible",COUNTIF($AF$1:AF26,"&gt;0")+1,"")</f>
      </c>
      <c r="AG27">
        <f>IF($O27="Sí",COUNTIF($AG$1:AG26,"&gt;0")+1,"")</f>
      </c>
      <c r="AH27">
        <f>IF(AND($Q27="Disponible",$O27&lt;&gt;"Sí"),COUNTIF($AH$1:AH26,"&gt;0")+1,"")</f>
      </c>
      <c r="AI27">
        <f>IF(AND($Q27="Disponible",$K27&lt;&gt;""),COUNTIFS($K$2:K27,K27,$Q$2:Q27,"Disponible"),"")</f>
      </c>
      <c r="AJ27">
        <f>IF(AI27&lt;&gt;"",K27&amp;"|"&amp;AI27,"")</f>
      </c>
      <c r="AK27">
        <f>IF(AND($Q27="No disponible",OR($R27="Lista de espera · propio centro",$R27="Traslado de expediente",$R27="Lista de espera · otro centro"),$O27="Sí"),"la plaza ya tiene alumno y sigue marcada como refuerzo, ","")&amp;IF(AND($R27="Reconvertida en refuerzo",$O27&lt;&gt;"Sí"),"reconvertida en refuerzo pero sin marcar «En uso como refuerzo», ","")</f>
      </c>
    </row>
    <row r="28" spans="1:37">
      <c r="A28" s="20">
        <f>IF(D28&lt;&gt;"",ROW()-1,"")</f>
      </c>
      <c r="B28" s="55"/>
      <c r="C28" s="56"/>
      <c r="D28" s="56"/>
      <c r="E28" s="56"/>
      <c r="F28" s="56"/>
      <c r="G28" s="56"/>
      <c r="H28" s="56"/>
      <c r="I28" s="56"/>
      <c r="J28" s="57"/>
      <c r="K28" s="56"/>
      <c r="L28" s="58"/>
      <c r="M28" s="58">
        <f>IF(L28="","",L28)</f>
      </c>
      <c r="N28" s="56"/>
      <c r="O28" s="56"/>
      <c r="P28" s="57"/>
      <c r="Q28" s="56"/>
      <c r="R28" s="56"/>
      <c r="S28" s="56"/>
      <c r="T28" s="56"/>
      <c r="U28" s="56"/>
      <c r="V28" s="57"/>
      <c r="W28">
        <f>IF(Q28="Disponible",COUNTIFS($D$2:D28,D28,$Q$2:Q28,"Disponible"),"")</f>
      </c>
      <c r="X28">
        <f>IF(W28&lt;&gt;"",D28&amp;"|"&amp;W28,"")</f>
      </c>
      <c r="Y28">
        <f>IF(X28&lt;&gt;"",IF(K28&lt;&gt;"",K28&amp;" ("&amp;M28&amp;")",M28),"")</f>
      </c>
      <c r="Z28">
        <f>IF(O28="Sí",COUNTIFS($D$2:D28,D28,$O$2:O28,"Sí"),"")</f>
      </c>
      <c r="AA28">
        <f>IF(Z28&lt;&gt;"",D28&amp;"|"&amp;Z28,"")</f>
      </c>
      <c r="AB28">
        <f>IF(AA28&lt;&gt;"",IF(K28&lt;&gt;"",K28&amp;" ("&amp;M28&amp;")",M28),"")</f>
      </c>
      <c r="AC28">
        <f>IF($B28="","fecha, ","")&amp;IF($C28="","quién lo introduce, ","")&amp;IF($I28="","motivo, ","")&amp;IF($K28="","docente, ","")&amp;IF($L28="","horario, ","")&amp;IF($N28="","duración, ","")&amp;IF($Q28="","estado, ","")&amp;IF(AND($I28="Otros",$J28=""),"detalle del motivo, ","")&amp;IF(AND($O28="Sí",$P28=""),"detalle del refuerzo, ","")&amp;IF(AND(OR($I28="Renuncia (hasta 30 nov)",$I28="Baja (desde 1 dic)",$I28="Renuncia excepcional (art. 25.3)",$I28="Traslado de expediente"),OR($E28="",$F28="",$G28="")),"quién deja la plaza, ","")&amp;IF(AND($Q28="No disponible",$R28=""),"vía de cobertura, ","")&amp;IF(AND(OR($R28="Lista de espera · propio centro",$R28="Traslado de expediente",$R28="Lista de espera · otro centro"),OR($S28="",$T28="",$U28="")),"quién ocupa la plaza, ","")</f>
      </c>
      <c r="AD28" s="24">
        <f>IF($D28="","",IF(AND(LEN($AC28)=0,LEN($AK28)=0),"Completa",IF(LEN($AC28)=0,"Revisar: "&amp;LEFT($AK28,LEN($AK28)-2),"Falta: "&amp;LEFT($AC28,LEN($AC28)-2)&amp;IF(LEN($AK28)&gt;0,"  ·  Revisar: "&amp;LEFT($AK28,LEN($AK28)-2),""))))</f>
      </c>
      <c r="AE28">
        <f>IF(AND($D28&lt;&gt;"",OR($I28="Renuncia (hasta 30 nov)",$I28="Baja (desde 1 dic)",$I28="Renuncia excepcional (art. 25.3)",$I28="Traslado de expediente")),COUNTIF($AE$1:AE27,"&gt;0")+1,"")</f>
      </c>
      <c r="AF28">
        <f>IF($Q28="Disponible",COUNTIF($AF$1:AF27,"&gt;0")+1,"")</f>
      </c>
      <c r="AG28">
        <f>IF($O28="Sí",COUNTIF($AG$1:AG27,"&gt;0")+1,"")</f>
      </c>
      <c r="AH28">
        <f>IF(AND($Q28="Disponible",$O28&lt;&gt;"Sí"),COUNTIF($AH$1:AH27,"&gt;0")+1,"")</f>
      </c>
      <c r="AI28">
        <f>IF(AND($Q28="Disponible",$K28&lt;&gt;""),COUNTIFS($K$2:K28,K28,$Q$2:Q28,"Disponible"),"")</f>
      </c>
      <c r="AJ28">
        <f>IF(AI28&lt;&gt;"",K28&amp;"|"&amp;AI28,"")</f>
      </c>
      <c r="AK28">
        <f>IF(AND($Q28="No disponible",OR($R28="Lista de espera · propio centro",$R28="Traslado de expediente",$R28="Lista de espera · otro centro"),$O28="Sí"),"la plaza ya tiene alumno y sigue marcada como refuerzo, ","")&amp;IF(AND($R28="Reconvertida en refuerzo",$O28&lt;&gt;"Sí"),"reconvertida en refuerzo pero sin marcar «En uso como refuerzo», ","")</f>
      </c>
    </row>
    <row r="29" spans="1:37">
      <c r="A29" s="20">
        <f>IF(D29&lt;&gt;"",ROW()-1,"")</f>
      </c>
      <c r="B29" s="55"/>
      <c r="C29" s="56"/>
      <c r="D29" s="56"/>
      <c r="E29" s="56"/>
      <c r="F29" s="56"/>
      <c r="G29" s="56"/>
      <c r="H29" s="56"/>
      <c r="I29" s="56"/>
      <c r="J29" s="57"/>
      <c r="K29" s="56"/>
      <c r="L29" s="58"/>
      <c r="M29" s="58">
        <f>IF(L29="","",L29)</f>
      </c>
      <c r="N29" s="56"/>
      <c r="O29" s="56"/>
      <c r="P29" s="57"/>
      <c r="Q29" s="56"/>
      <c r="R29" s="56"/>
      <c r="S29" s="56"/>
      <c r="T29" s="56"/>
      <c r="U29" s="56"/>
      <c r="V29" s="57"/>
      <c r="W29">
        <f>IF(Q29="Disponible",COUNTIFS($D$2:D29,D29,$Q$2:Q29,"Disponible"),"")</f>
      </c>
      <c r="X29">
        <f>IF(W29&lt;&gt;"",D29&amp;"|"&amp;W29,"")</f>
      </c>
      <c r="Y29">
        <f>IF(X29&lt;&gt;"",IF(K29&lt;&gt;"",K29&amp;" ("&amp;M29&amp;")",M29),"")</f>
      </c>
      <c r="Z29">
        <f>IF(O29="Sí",COUNTIFS($D$2:D29,D29,$O$2:O29,"Sí"),"")</f>
      </c>
      <c r="AA29">
        <f>IF(Z29&lt;&gt;"",D29&amp;"|"&amp;Z29,"")</f>
      </c>
      <c r="AB29">
        <f>IF(AA29&lt;&gt;"",IF(K29&lt;&gt;"",K29&amp;" ("&amp;M29&amp;")",M29),"")</f>
      </c>
      <c r="AC29">
        <f>IF($B29="","fecha, ","")&amp;IF($C29="","quién lo introduce, ","")&amp;IF($I29="","motivo, ","")&amp;IF($K29="","docente, ","")&amp;IF($L29="","horario, ","")&amp;IF($N29="","duración, ","")&amp;IF($Q29="","estado, ","")&amp;IF(AND($I29="Otros",$J29=""),"detalle del motivo, ","")&amp;IF(AND($O29="Sí",$P29=""),"detalle del refuerzo, ","")&amp;IF(AND(OR($I29="Renuncia (hasta 30 nov)",$I29="Baja (desde 1 dic)",$I29="Renuncia excepcional (art. 25.3)",$I29="Traslado de expediente"),OR($E29="",$F29="",$G29="")),"quién deja la plaza, ","")&amp;IF(AND($Q29="No disponible",$R29=""),"vía de cobertura, ","")&amp;IF(AND(OR($R29="Lista de espera · propio centro",$R29="Traslado de expediente",$R29="Lista de espera · otro centro"),OR($S29="",$T29="",$U29="")),"quién ocupa la plaza, ","")</f>
      </c>
      <c r="AD29" s="24">
        <f>IF($D29="","",IF(AND(LEN($AC29)=0,LEN($AK29)=0),"Completa",IF(LEN($AC29)=0,"Revisar: "&amp;LEFT($AK29,LEN($AK29)-2),"Falta: "&amp;LEFT($AC29,LEN($AC29)-2)&amp;IF(LEN($AK29)&gt;0,"  ·  Revisar: "&amp;LEFT($AK29,LEN($AK29)-2),""))))</f>
      </c>
      <c r="AE29">
        <f>IF(AND($D29&lt;&gt;"",OR($I29="Renuncia (hasta 30 nov)",$I29="Baja (desde 1 dic)",$I29="Renuncia excepcional (art. 25.3)",$I29="Traslado de expediente")),COUNTIF($AE$1:AE28,"&gt;0")+1,"")</f>
      </c>
      <c r="AF29">
        <f>IF($Q29="Disponible",COUNTIF($AF$1:AF28,"&gt;0")+1,"")</f>
      </c>
      <c r="AG29">
        <f>IF($O29="Sí",COUNTIF($AG$1:AG28,"&gt;0")+1,"")</f>
      </c>
      <c r="AH29">
        <f>IF(AND($Q29="Disponible",$O29&lt;&gt;"Sí"),COUNTIF($AH$1:AH28,"&gt;0")+1,"")</f>
      </c>
      <c r="AI29">
        <f>IF(AND($Q29="Disponible",$K29&lt;&gt;""),COUNTIFS($K$2:K29,K29,$Q$2:Q29,"Disponible"),"")</f>
      </c>
      <c r="AJ29">
        <f>IF(AI29&lt;&gt;"",K29&amp;"|"&amp;AI29,"")</f>
      </c>
      <c r="AK29">
        <f>IF(AND($Q29="No disponible",OR($R29="Lista de espera · propio centro",$R29="Traslado de expediente",$R29="Lista de espera · otro centro"),$O29="Sí"),"la plaza ya tiene alumno y sigue marcada como refuerzo, ","")&amp;IF(AND($R29="Reconvertida en refuerzo",$O29&lt;&gt;"Sí"),"reconvertida en refuerzo pero sin marcar «En uso como refuerzo», ","")</f>
      </c>
    </row>
    <row r="30" spans="1:37">
      <c r="A30" s="20">
        <f>IF(D30&lt;&gt;"",ROW()-1,"")</f>
      </c>
      <c r="B30" s="55"/>
      <c r="C30" s="56"/>
      <c r="D30" s="56"/>
      <c r="E30" s="56"/>
      <c r="F30" s="56"/>
      <c r="G30" s="56"/>
      <c r="H30" s="56"/>
      <c r="I30" s="56"/>
      <c r="J30" s="57"/>
      <c r="K30" s="56"/>
      <c r="L30" s="58"/>
      <c r="M30" s="58">
        <f>IF(L30="","",L30)</f>
      </c>
      <c r="N30" s="56"/>
      <c r="O30" s="56"/>
      <c r="P30" s="57"/>
      <c r="Q30" s="56"/>
      <c r="R30" s="56"/>
      <c r="S30" s="56"/>
      <c r="T30" s="56"/>
      <c r="U30" s="56"/>
      <c r="V30" s="57"/>
      <c r="W30">
        <f>IF(Q30="Disponible",COUNTIFS($D$2:D30,D30,$Q$2:Q30,"Disponible"),"")</f>
      </c>
      <c r="X30">
        <f>IF(W30&lt;&gt;"",D30&amp;"|"&amp;W30,"")</f>
      </c>
      <c r="Y30">
        <f>IF(X30&lt;&gt;"",IF(K30&lt;&gt;"",K30&amp;" ("&amp;M30&amp;")",M30),"")</f>
      </c>
      <c r="Z30">
        <f>IF(O30="Sí",COUNTIFS($D$2:D30,D30,$O$2:O30,"Sí"),"")</f>
      </c>
      <c r="AA30">
        <f>IF(Z30&lt;&gt;"",D30&amp;"|"&amp;Z30,"")</f>
      </c>
      <c r="AB30">
        <f>IF(AA30&lt;&gt;"",IF(K30&lt;&gt;"",K30&amp;" ("&amp;M30&amp;")",M30),"")</f>
      </c>
      <c r="AC30">
        <f>IF($B30="","fecha, ","")&amp;IF($C30="","quién lo introduce, ","")&amp;IF($I30="","motivo, ","")&amp;IF($K30="","docente, ","")&amp;IF($L30="","horario, ","")&amp;IF($N30="","duración, ","")&amp;IF($Q30="","estado, ","")&amp;IF(AND($I30="Otros",$J30=""),"detalle del motivo, ","")&amp;IF(AND($O30="Sí",$P30=""),"detalle del refuerzo, ","")&amp;IF(AND(OR($I30="Renuncia (hasta 30 nov)",$I30="Baja (desde 1 dic)",$I30="Renuncia excepcional (art. 25.3)",$I30="Traslado de expediente"),OR($E30="",$F30="",$G30="")),"quién deja la plaza, ","")&amp;IF(AND($Q30="No disponible",$R30=""),"vía de cobertura, ","")&amp;IF(AND(OR($R30="Lista de espera · propio centro",$R30="Traslado de expediente",$R30="Lista de espera · otro centro"),OR($S30="",$T30="",$U30="")),"quién ocupa la plaza, ","")</f>
      </c>
      <c r="AD30" s="24">
        <f>IF($D30="","",IF(AND(LEN($AC30)=0,LEN($AK30)=0),"Completa",IF(LEN($AC30)=0,"Revisar: "&amp;LEFT($AK30,LEN($AK30)-2),"Falta: "&amp;LEFT($AC30,LEN($AC30)-2)&amp;IF(LEN($AK30)&gt;0,"  ·  Revisar: "&amp;LEFT($AK30,LEN($AK30)-2),""))))</f>
      </c>
      <c r="AE30">
        <f>IF(AND($D30&lt;&gt;"",OR($I30="Renuncia (hasta 30 nov)",$I30="Baja (desde 1 dic)",$I30="Renuncia excepcional (art. 25.3)",$I30="Traslado de expediente")),COUNTIF($AE$1:AE29,"&gt;0")+1,"")</f>
      </c>
      <c r="AF30">
        <f>IF($Q30="Disponible",COUNTIF($AF$1:AF29,"&gt;0")+1,"")</f>
      </c>
      <c r="AG30">
        <f>IF($O30="Sí",COUNTIF($AG$1:AG29,"&gt;0")+1,"")</f>
      </c>
      <c r="AH30">
        <f>IF(AND($Q30="Disponible",$O30&lt;&gt;"Sí"),COUNTIF($AH$1:AH29,"&gt;0")+1,"")</f>
      </c>
      <c r="AI30">
        <f>IF(AND($Q30="Disponible",$K30&lt;&gt;""),COUNTIFS($K$2:K30,K30,$Q$2:Q30,"Disponible"),"")</f>
      </c>
      <c r="AJ30">
        <f>IF(AI30&lt;&gt;"",K30&amp;"|"&amp;AI30,"")</f>
      </c>
      <c r="AK30">
        <f>IF(AND($Q30="No disponible",OR($R30="Lista de espera · propio centro",$R30="Traslado de expediente",$R30="Lista de espera · otro centro"),$O30="Sí"),"la plaza ya tiene alumno y sigue marcada como refuerzo, ","")&amp;IF(AND($R30="Reconvertida en refuerzo",$O30&lt;&gt;"Sí"),"reconvertida en refuerzo pero sin marcar «En uso como refuerzo», ","")</f>
      </c>
    </row>
    <row r="31" spans="1:37">
      <c r="A31" s="20">
        <f>IF(D31&lt;&gt;"",ROW()-1,"")</f>
      </c>
      <c r="B31" s="55"/>
      <c r="C31" s="56"/>
      <c r="D31" s="56"/>
      <c r="E31" s="56"/>
      <c r="F31" s="56"/>
      <c r="G31" s="56"/>
      <c r="H31" s="56"/>
      <c r="I31" s="56"/>
      <c r="J31" s="57"/>
      <c r="K31" s="56"/>
      <c r="L31" s="58"/>
      <c r="M31" s="58">
        <f>IF(L31="","",L31)</f>
      </c>
      <c r="N31" s="56"/>
      <c r="O31" s="56"/>
      <c r="P31" s="57"/>
      <c r="Q31" s="56"/>
      <c r="R31" s="56"/>
      <c r="S31" s="56"/>
      <c r="T31" s="56"/>
      <c r="U31" s="56"/>
      <c r="V31" s="57"/>
      <c r="W31">
        <f>IF(Q31="Disponible",COUNTIFS($D$2:D31,D31,$Q$2:Q31,"Disponible"),"")</f>
      </c>
      <c r="X31">
        <f>IF(W31&lt;&gt;"",D31&amp;"|"&amp;W31,"")</f>
      </c>
      <c r="Y31">
        <f>IF(X31&lt;&gt;"",IF(K31&lt;&gt;"",K31&amp;" ("&amp;M31&amp;")",M31),"")</f>
      </c>
      <c r="Z31">
        <f>IF(O31="Sí",COUNTIFS($D$2:D31,D31,$O$2:O31,"Sí"),"")</f>
      </c>
      <c r="AA31">
        <f>IF(Z31&lt;&gt;"",D31&amp;"|"&amp;Z31,"")</f>
      </c>
      <c r="AB31">
        <f>IF(AA31&lt;&gt;"",IF(K31&lt;&gt;"",K31&amp;" ("&amp;M31&amp;")",M31),"")</f>
      </c>
      <c r="AC31">
        <f>IF($B31="","fecha, ","")&amp;IF($C31="","quién lo introduce, ","")&amp;IF($I31="","motivo, ","")&amp;IF($K31="","docente, ","")&amp;IF($L31="","horario, ","")&amp;IF($N31="","duración, ","")&amp;IF($Q31="","estado, ","")&amp;IF(AND($I31="Otros",$J31=""),"detalle del motivo, ","")&amp;IF(AND($O31="Sí",$P31=""),"detalle del refuerzo, ","")&amp;IF(AND(OR($I31="Renuncia (hasta 30 nov)",$I31="Baja (desde 1 dic)",$I31="Renuncia excepcional (art. 25.3)",$I31="Traslado de expediente"),OR($E31="",$F31="",$G31="")),"quién deja la plaza, ","")&amp;IF(AND($Q31="No disponible",$R31=""),"vía de cobertura, ","")&amp;IF(AND(OR($R31="Lista de espera · propio centro",$R31="Traslado de expediente",$R31="Lista de espera · otro centro"),OR($S31="",$T31="",$U31="")),"quién ocupa la plaza, ","")</f>
      </c>
      <c r="AD31" s="24">
        <f>IF($D31="","",IF(AND(LEN($AC31)=0,LEN($AK31)=0),"Completa",IF(LEN($AC31)=0,"Revisar: "&amp;LEFT($AK31,LEN($AK31)-2),"Falta: "&amp;LEFT($AC31,LEN($AC31)-2)&amp;IF(LEN($AK31)&gt;0,"  ·  Revisar: "&amp;LEFT($AK31,LEN($AK31)-2),""))))</f>
      </c>
      <c r="AE31">
        <f>IF(AND($D31&lt;&gt;"",OR($I31="Renuncia (hasta 30 nov)",$I31="Baja (desde 1 dic)",$I31="Renuncia excepcional (art. 25.3)",$I31="Traslado de expediente")),COUNTIF($AE$1:AE30,"&gt;0")+1,"")</f>
      </c>
      <c r="AF31">
        <f>IF($Q31="Disponible",COUNTIF($AF$1:AF30,"&gt;0")+1,"")</f>
      </c>
      <c r="AG31">
        <f>IF($O31="Sí",COUNTIF($AG$1:AG30,"&gt;0")+1,"")</f>
      </c>
      <c r="AH31">
        <f>IF(AND($Q31="Disponible",$O31&lt;&gt;"Sí"),COUNTIF($AH$1:AH30,"&gt;0")+1,"")</f>
      </c>
      <c r="AI31">
        <f>IF(AND($Q31="Disponible",$K31&lt;&gt;""),COUNTIFS($K$2:K31,K31,$Q$2:Q31,"Disponible"),"")</f>
      </c>
      <c r="AJ31">
        <f>IF(AI31&lt;&gt;"",K31&amp;"|"&amp;AI31,"")</f>
      </c>
      <c r="AK31">
        <f>IF(AND($Q31="No disponible",OR($R31="Lista de espera · propio centro",$R31="Traslado de expediente",$R31="Lista de espera · otro centro"),$O31="Sí"),"la plaza ya tiene alumno y sigue marcada como refuerzo, ","")&amp;IF(AND($R31="Reconvertida en refuerzo",$O31&lt;&gt;"Sí"),"reconvertida en refuerzo pero sin marcar «En uso como refuerzo», ","")</f>
      </c>
    </row>
    <row r="32" spans="1:37">
      <c r="A32" s="20">
        <f>IF(D32&lt;&gt;"",ROW()-1,"")</f>
      </c>
      <c r="B32" s="55"/>
      <c r="C32" s="56"/>
      <c r="D32" s="56"/>
      <c r="E32" s="56"/>
      <c r="F32" s="56"/>
      <c r="G32" s="56"/>
      <c r="H32" s="56"/>
      <c r="I32" s="56"/>
      <c r="J32" s="57"/>
      <c r="K32" s="56"/>
      <c r="L32" s="58"/>
      <c r="M32" s="58">
        <f>IF(L32="","",L32)</f>
      </c>
      <c r="N32" s="56"/>
      <c r="O32" s="56"/>
      <c r="P32" s="57"/>
      <c r="Q32" s="56"/>
      <c r="R32" s="56"/>
      <c r="S32" s="56"/>
      <c r="T32" s="56"/>
      <c r="U32" s="56"/>
      <c r="V32" s="57"/>
      <c r="W32">
        <f>IF(Q32="Disponible",COUNTIFS($D$2:D32,D32,$Q$2:Q32,"Disponible"),"")</f>
      </c>
      <c r="X32">
        <f>IF(W32&lt;&gt;"",D32&amp;"|"&amp;W32,"")</f>
      </c>
      <c r="Y32">
        <f>IF(X32&lt;&gt;"",IF(K32&lt;&gt;"",K32&amp;" ("&amp;M32&amp;")",M32),"")</f>
      </c>
      <c r="Z32">
        <f>IF(O32="Sí",COUNTIFS($D$2:D32,D32,$O$2:O32,"Sí"),"")</f>
      </c>
      <c r="AA32">
        <f>IF(Z32&lt;&gt;"",D32&amp;"|"&amp;Z32,"")</f>
      </c>
      <c r="AB32">
        <f>IF(AA32&lt;&gt;"",IF(K32&lt;&gt;"",K32&amp;" ("&amp;M32&amp;")",M32),"")</f>
      </c>
      <c r="AC32">
        <f>IF($B32="","fecha, ","")&amp;IF($C32="","quién lo introduce, ","")&amp;IF($I32="","motivo, ","")&amp;IF($K32="","docente, ","")&amp;IF($L32="","horario, ","")&amp;IF($N32="","duración, ","")&amp;IF($Q32="","estado, ","")&amp;IF(AND($I32="Otros",$J32=""),"detalle del motivo, ","")&amp;IF(AND($O32="Sí",$P32=""),"detalle del refuerzo, ","")&amp;IF(AND(OR($I32="Renuncia (hasta 30 nov)",$I32="Baja (desde 1 dic)",$I32="Renuncia excepcional (art. 25.3)",$I32="Traslado de expediente"),OR($E32="",$F32="",$G32="")),"quién deja la plaza, ","")&amp;IF(AND($Q32="No disponible",$R32=""),"vía de cobertura, ","")&amp;IF(AND(OR($R32="Lista de espera · propio centro",$R32="Traslado de expediente",$R32="Lista de espera · otro centro"),OR($S32="",$T32="",$U32="")),"quién ocupa la plaza, ","")</f>
      </c>
      <c r="AD32" s="24">
        <f>IF($D32="","",IF(AND(LEN($AC32)=0,LEN($AK32)=0),"Completa",IF(LEN($AC32)=0,"Revisar: "&amp;LEFT($AK32,LEN($AK32)-2),"Falta: "&amp;LEFT($AC32,LEN($AC32)-2)&amp;IF(LEN($AK32)&gt;0,"  ·  Revisar: "&amp;LEFT($AK32,LEN($AK32)-2),""))))</f>
      </c>
      <c r="AE32">
        <f>IF(AND($D32&lt;&gt;"",OR($I32="Renuncia (hasta 30 nov)",$I32="Baja (desde 1 dic)",$I32="Renuncia excepcional (art. 25.3)",$I32="Traslado de expediente")),COUNTIF($AE$1:AE31,"&gt;0")+1,"")</f>
      </c>
      <c r="AF32">
        <f>IF($Q32="Disponible",COUNTIF($AF$1:AF31,"&gt;0")+1,"")</f>
      </c>
      <c r="AG32">
        <f>IF($O32="Sí",COUNTIF($AG$1:AG31,"&gt;0")+1,"")</f>
      </c>
      <c r="AH32">
        <f>IF(AND($Q32="Disponible",$O32&lt;&gt;"Sí"),COUNTIF($AH$1:AH31,"&gt;0")+1,"")</f>
      </c>
      <c r="AI32">
        <f>IF(AND($Q32="Disponible",$K32&lt;&gt;""),COUNTIFS($K$2:K32,K32,$Q$2:Q32,"Disponible"),"")</f>
      </c>
      <c r="AJ32">
        <f>IF(AI32&lt;&gt;"",K32&amp;"|"&amp;AI32,"")</f>
      </c>
      <c r="AK32">
        <f>IF(AND($Q32="No disponible",OR($R32="Lista de espera · propio centro",$R32="Traslado de expediente",$R32="Lista de espera · otro centro"),$O32="Sí"),"la plaza ya tiene alumno y sigue marcada como refuerzo, ","")&amp;IF(AND($R32="Reconvertida en refuerzo",$O32&lt;&gt;"Sí"),"reconvertida en refuerzo pero sin marcar «En uso como refuerzo», ","")</f>
      </c>
    </row>
    <row r="33" spans="1:37">
      <c r="A33" s="20">
        <f>IF(D33&lt;&gt;"",ROW()-1,"")</f>
      </c>
      <c r="B33" s="55"/>
      <c r="C33" s="56"/>
      <c r="D33" s="56"/>
      <c r="E33" s="56"/>
      <c r="F33" s="56"/>
      <c r="G33" s="56"/>
      <c r="H33" s="56"/>
      <c r="I33" s="56"/>
      <c r="J33" s="57"/>
      <c r="K33" s="56"/>
      <c r="L33" s="58"/>
      <c r="M33" s="58">
        <f>IF(L33="","",L33)</f>
      </c>
      <c r="N33" s="56"/>
      <c r="O33" s="56"/>
      <c r="P33" s="57"/>
      <c r="Q33" s="56"/>
      <c r="R33" s="56"/>
      <c r="S33" s="56"/>
      <c r="T33" s="56"/>
      <c r="U33" s="56"/>
      <c r="V33" s="57"/>
      <c r="W33">
        <f>IF(Q33="Disponible",COUNTIFS($D$2:D33,D33,$Q$2:Q33,"Disponible"),"")</f>
      </c>
      <c r="X33">
        <f>IF(W33&lt;&gt;"",D33&amp;"|"&amp;W33,"")</f>
      </c>
      <c r="Y33">
        <f>IF(X33&lt;&gt;"",IF(K33&lt;&gt;"",K33&amp;" ("&amp;M33&amp;")",M33),"")</f>
      </c>
      <c r="Z33">
        <f>IF(O33="Sí",COUNTIFS($D$2:D33,D33,$O$2:O33,"Sí"),"")</f>
      </c>
      <c r="AA33">
        <f>IF(Z33&lt;&gt;"",D33&amp;"|"&amp;Z33,"")</f>
      </c>
      <c r="AB33">
        <f>IF(AA33&lt;&gt;"",IF(K33&lt;&gt;"",K33&amp;" ("&amp;M33&amp;")",M33),"")</f>
      </c>
      <c r="AC33">
        <f>IF($B33="","fecha, ","")&amp;IF($C33="","quién lo introduce, ","")&amp;IF($I33="","motivo, ","")&amp;IF($K33="","docente, ","")&amp;IF($L33="","horario, ","")&amp;IF($N33="","duración, ","")&amp;IF($Q33="","estado, ","")&amp;IF(AND($I33="Otros",$J33=""),"detalle del motivo, ","")&amp;IF(AND($O33="Sí",$P33=""),"detalle del refuerzo, ","")&amp;IF(AND(OR($I33="Renuncia (hasta 30 nov)",$I33="Baja (desde 1 dic)",$I33="Renuncia excepcional (art. 25.3)",$I33="Traslado de expediente"),OR($E33="",$F33="",$G33="")),"quién deja la plaza, ","")&amp;IF(AND($Q33="No disponible",$R33=""),"vía de cobertura, ","")&amp;IF(AND(OR($R33="Lista de espera · propio centro",$R33="Traslado de expediente",$R33="Lista de espera · otro centro"),OR($S33="",$T33="",$U33="")),"quién ocupa la plaza, ","")</f>
      </c>
      <c r="AD33" s="24">
        <f>IF($D33="","",IF(AND(LEN($AC33)=0,LEN($AK33)=0),"Completa",IF(LEN($AC33)=0,"Revisar: "&amp;LEFT($AK33,LEN($AK33)-2),"Falta: "&amp;LEFT($AC33,LEN($AC33)-2)&amp;IF(LEN($AK33)&gt;0,"  ·  Revisar: "&amp;LEFT($AK33,LEN($AK33)-2),""))))</f>
      </c>
      <c r="AE33">
        <f>IF(AND($D33&lt;&gt;"",OR($I33="Renuncia (hasta 30 nov)",$I33="Baja (desde 1 dic)",$I33="Renuncia excepcional (art. 25.3)",$I33="Traslado de expediente")),COUNTIF($AE$1:AE32,"&gt;0")+1,"")</f>
      </c>
      <c r="AF33">
        <f>IF($Q33="Disponible",COUNTIF($AF$1:AF32,"&gt;0")+1,"")</f>
      </c>
      <c r="AG33">
        <f>IF($O33="Sí",COUNTIF($AG$1:AG32,"&gt;0")+1,"")</f>
      </c>
      <c r="AH33">
        <f>IF(AND($Q33="Disponible",$O33&lt;&gt;"Sí"),COUNTIF($AH$1:AH32,"&gt;0")+1,"")</f>
      </c>
      <c r="AI33">
        <f>IF(AND($Q33="Disponible",$K33&lt;&gt;""),COUNTIFS($K$2:K33,K33,$Q$2:Q33,"Disponible"),"")</f>
      </c>
      <c r="AJ33">
        <f>IF(AI33&lt;&gt;"",K33&amp;"|"&amp;AI33,"")</f>
      </c>
      <c r="AK33">
        <f>IF(AND($Q33="No disponible",OR($R33="Lista de espera · propio centro",$R33="Traslado de expediente",$R33="Lista de espera · otro centro"),$O33="Sí"),"la plaza ya tiene alumno y sigue marcada como refuerzo, ","")&amp;IF(AND($R33="Reconvertida en refuerzo",$O33&lt;&gt;"Sí"),"reconvertida en refuerzo pero sin marcar «En uso como refuerzo», ","")</f>
      </c>
    </row>
    <row r="34" spans="1:37">
      <c r="A34" s="20">
        <f>IF(D34&lt;&gt;"",ROW()-1,"")</f>
      </c>
      <c r="B34" s="55"/>
      <c r="C34" s="56"/>
      <c r="D34" s="56"/>
      <c r="E34" s="56"/>
      <c r="F34" s="56"/>
      <c r="G34" s="56"/>
      <c r="H34" s="56"/>
      <c r="I34" s="56"/>
      <c r="J34" s="57"/>
      <c r="K34" s="56"/>
      <c r="L34" s="58"/>
      <c r="M34" s="58">
        <f>IF(L34="","",L34)</f>
      </c>
      <c r="N34" s="56"/>
      <c r="O34" s="56"/>
      <c r="P34" s="57"/>
      <c r="Q34" s="56"/>
      <c r="R34" s="56"/>
      <c r="S34" s="56"/>
      <c r="T34" s="56"/>
      <c r="U34" s="56"/>
      <c r="V34" s="57"/>
      <c r="W34">
        <f>IF(Q34="Disponible",COUNTIFS($D$2:D34,D34,$Q$2:Q34,"Disponible"),"")</f>
      </c>
      <c r="X34">
        <f>IF(W34&lt;&gt;"",D34&amp;"|"&amp;W34,"")</f>
      </c>
      <c r="Y34">
        <f>IF(X34&lt;&gt;"",IF(K34&lt;&gt;"",K34&amp;" ("&amp;M34&amp;")",M34),"")</f>
      </c>
      <c r="Z34">
        <f>IF(O34="Sí",COUNTIFS($D$2:D34,D34,$O$2:O34,"Sí"),"")</f>
      </c>
      <c r="AA34">
        <f>IF(Z34&lt;&gt;"",D34&amp;"|"&amp;Z34,"")</f>
      </c>
      <c r="AB34">
        <f>IF(AA34&lt;&gt;"",IF(K34&lt;&gt;"",K34&amp;" ("&amp;M34&amp;")",M34),"")</f>
      </c>
      <c r="AC34">
        <f>IF($B34="","fecha, ","")&amp;IF($C34="","quién lo introduce, ","")&amp;IF($I34="","motivo, ","")&amp;IF($K34="","docente, ","")&amp;IF($L34="","horario, ","")&amp;IF($N34="","duración, ","")&amp;IF($Q34="","estado, ","")&amp;IF(AND($I34="Otros",$J34=""),"detalle del motivo, ","")&amp;IF(AND($O34="Sí",$P34=""),"detalle del refuerzo, ","")&amp;IF(AND(OR($I34="Renuncia (hasta 30 nov)",$I34="Baja (desde 1 dic)",$I34="Renuncia excepcional (art. 25.3)",$I34="Traslado de expediente"),OR($E34="",$F34="",$G34="")),"quién deja la plaza, ","")&amp;IF(AND($Q34="No disponible",$R34=""),"vía de cobertura, ","")&amp;IF(AND(OR($R34="Lista de espera · propio centro",$R34="Traslado de expediente",$R34="Lista de espera · otro centro"),OR($S34="",$T34="",$U34="")),"quién ocupa la plaza, ","")</f>
      </c>
      <c r="AD34" s="24">
        <f>IF($D34="","",IF(AND(LEN($AC34)=0,LEN($AK34)=0),"Completa",IF(LEN($AC34)=0,"Revisar: "&amp;LEFT($AK34,LEN($AK34)-2),"Falta: "&amp;LEFT($AC34,LEN($AC34)-2)&amp;IF(LEN($AK34)&gt;0,"  ·  Revisar: "&amp;LEFT($AK34,LEN($AK34)-2),""))))</f>
      </c>
      <c r="AE34">
        <f>IF(AND($D34&lt;&gt;"",OR($I34="Renuncia (hasta 30 nov)",$I34="Baja (desde 1 dic)",$I34="Renuncia excepcional (art. 25.3)",$I34="Traslado de expediente")),COUNTIF($AE$1:AE33,"&gt;0")+1,"")</f>
      </c>
      <c r="AF34">
        <f>IF($Q34="Disponible",COUNTIF($AF$1:AF33,"&gt;0")+1,"")</f>
      </c>
      <c r="AG34">
        <f>IF($O34="Sí",COUNTIF($AG$1:AG33,"&gt;0")+1,"")</f>
      </c>
      <c r="AH34">
        <f>IF(AND($Q34="Disponible",$O34&lt;&gt;"Sí"),COUNTIF($AH$1:AH33,"&gt;0")+1,"")</f>
      </c>
      <c r="AI34">
        <f>IF(AND($Q34="Disponible",$K34&lt;&gt;""),COUNTIFS($K$2:K34,K34,$Q$2:Q34,"Disponible"),"")</f>
      </c>
      <c r="AJ34">
        <f>IF(AI34&lt;&gt;"",K34&amp;"|"&amp;AI34,"")</f>
      </c>
      <c r="AK34">
        <f>IF(AND($Q34="No disponible",OR($R34="Lista de espera · propio centro",$R34="Traslado de expediente",$R34="Lista de espera · otro centro"),$O34="Sí"),"la plaza ya tiene alumno y sigue marcada como refuerzo, ","")&amp;IF(AND($R34="Reconvertida en refuerzo",$O34&lt;&gt;"Sí"),"reconvertida en refuerzo pero sin marcar «En uso como refuerzo», ","")</f>
      </c>
    </row>
    <row r="35" spans="1:37">
      <c r="A35" s="20">
        <f>IF(D35&lt;&gt;"",ROW()-1,"")</f>
      </c>
      <c r="B35" s="55"/>
      <c r="C35" s="56"/>
      <c r="D35" s="56"/>
      <c r="E35" s="56"/>
      <c r="F35" s="56"/>
      <c r="G35" s="56"/>
      <c r="H35" s="56"/>
      <c r="I35" s="56"/>
      <c r="J35" s="57"/>
      <c r="K35" s="56"/>
      <c r="L35" s="58"/>
      <c r="M35" s="58">
        <f>IF(L35="","",L35)</f>
      </c>
      <c r="N35" s="56"/>
      <c r="O35" s="56"/>
      <c r="P35" s="57"/>
      <c r="Q35" s="56"/>
      <c r="R35" s="56"/>
      <c r="S35" s="56"/>
      <c r="T35" s="56"/>
      <c r="U35" s="56"/>
      <c r="V35" s="57"/>
      <c r="W35">
        <f>IF(Q35="Disponible",COUNTIFS($D$2:D35,D35,$Q$2:Q35,"Disponible"),"")</f>
      </c>
      <c r="X35">
        <f>IF(W35&lt;&gt;"",D35&amp;"|"&amp;W35,"")</f>
      </c>
      <c r="Y35">
        <f>IF(X35&lt;&gt;"",IF(K35&lt;&gt;"",K35&amp;" ("&amp;M35&amp;")",M35),"")</f>
      </c>
      <c r="Z35">
        <f>IF(O35="Sí",COUNTIFS($D$2:D35,D35,$O$2:O35,"Sí"),"")</f>
      </c>
      <c r="AA35">
        <f>IF(Z35&lt;&gt;"",D35&amp;"|"&amp;Z35,"")</f>
      </c>
      <c r="AB35">
        <f>IF(AA35&lt;&gt;"",IF(K35&lt;&gt;"",K35&amp;" ("&amp;M35&amp;")",M35),"")</f>
      </c>
      <c r="AC35">
        <f>IF($B35="","fecha, ","")&amp;IF($C35="","quién lo introduce, ","")&amp;IF($I35="","motivo, ","")&amp;IF($K35="","docente, ","")&amp;IF($L35="","horario, ","")&amp;IF($N35="","duración, ","")&amp;IF($Q35="","estado, ","")&amp;IF(AND($I35="Otros",$J35=""),"detalle del motivo, ","")&amp;IF(AND($O35="Sí",$P35=""),"detalle del refuerzo, ","")&amp;IF(AND(OR($I35="Renuncia (hasta 30 nov)",$I35="Baja (desde 1 dic)",$I35="Renuncia excepcional (art. 25.3)",$I35="Traslado de expediente"),OR($E35="",$F35="",$G35="")),"quién deja la plaza, ","")&amp;IF(AND($Q35="No disponible",$R35=""),"vía de cobertura, ","")&amp;IF(AND(OR($R35="Lista de espera · propio centro",$R35="Traslado de expediente",$R35="Lista de espera · otro centro"),OR($S35="",$T35="",$U35="")),"quién ocupa la plaza, ","")</f>
      </c>
      <c r="AD35" s="24">
        <f>IF($D35="","",IF(AND(LEN($AC35)=0,LEN($AK35)=0),"Completa",IF(LEN($AC35)=0,"Revisar: "&amp;LEFT($AK35,LEN($AK35)-2),"Falta: "&amp;LEFT($AC35,LEN($AC35)-2)&amp;IF(LEN($AK35)&gt;0,"  ·  Revisar: "&amp;LEFT($AK35,LEN($AK35)-2),""))))</f>
      </c>
      <c r="AE35">
        <f>IF(AND($D35&lt;&gt;"",OR($I35="Renuncia (hasta 30 nov)",$I35="Baja (desde 1 dic)",$I35="Renuncia excepcional (art. 25.3)",$I35="Traslado de expediente")),COUNTIF($AE$1:AE34,"&gt;0")+1,"")</f>
      </c>
      <c r="AF35">
        <f>IF($Q35="Disponible",COUNTIF($AF$1:AF34,"&gt;0")+1,"")</f>
      </c>
      <c r="AG35">
        <f>IF($O35="Sí",COUNTIF($AG$1:AG34,"&gt;0")+1,"")</f>
      </c>
      <c r="AH35">
        <f>IF(AND($Q35="Disponible",$O35&lt;&gt;"Sí"),COUNTIF($AH$1:AH34,"&gt;0")+1,"")</f>
      </c>
      <c r="AI35">
        <f>IF(AND($Q35="Disponible",$K35&lt;&gt;""),COUNTIFS($K$2:K35,K35,$Q$2:Q35,"Disponible"),"")</f>
      </c>
      <c r="AJ35">
        <f>IF(AI35&lt;&gt;"",K35&amp;"|"&amp;AI35,"")</f>
      </c>
      <c r="AK35">
        <f>IF(AND($Q35="No disponible",OR($R35="Lista de espera · propio centro",$R35="Traslado de expediente",$R35="Lista de espera · otro centro"),$O35="Sí"),"la plaza ya tiene alumno y sigue marcada como refuerzo, ","")&amp;IF(AND($R35="Reconvertida en refuerzo",$O35&lt;&gt;"Sí"),"reconvertida en refuerzo pero sin marcar «En uso como refuerzo», ","")</f>
      </c>
    </row>
    <row r="36" spans="1:37">
      <c r="A36" s="20">
        <f>IF(D36&lt;&gt;"",ROW()-1,"")</f>
      </c>
      <c r="B36" s="55"/>
      <c r="C36" s="56"/>
      <c r="D36" s="56"/>
      <c r="E36" s="56"/>
      <c r="F36" s="56"/>
      <c r="G36" s="56"/>
      <c r="H36" s="56"/>
      <c r="I36" s="56"/>
      <c r="J36" s="57"/>
      <c r="K36" s="56"/>
      <c r="L36" s="58"/>
      <c r="M36" s="58">
        <f>IF(L36="","",L36)</f>
      </c>
      <c r="N36" s="56"/>
      <c r="O36" s="56"/>
      <c r="P36" s="57"/>
      <c r="Q36" s="56"/>
      <c r="R36" s="56"/>
      <c r="S36" s="56"/>
      <c r="T36" s="56"/>
      <c r="U36" s="56"/>
      <c r="V36" s="57"/>
      <c r="W36">
        <f>IF(Q36="Disponible",COUNTIFS($D$2:D36,D36,$Q$2:Q36,"Disponible"),"")</f>
      </c>
      <c r="X36">
        <f>IF(W36&lt;&gt;"",D36&amp;"|"&amp;W36,"")</f>
      </c>
      <c r="Y36">
        <f>IF(X36&lt;&gt;"",IF(K36&lt;&gt;"",K36&amp;" ("&amp;M36&amp;")",M36),"")</f>
      </c>
      <c r="Z36">
        <f>IF(O36="Sí",COUNTIFS($D$2:D36,D36,$O$2:O36,"Sí"),"")</f>
      </c>
      <c r="AA36">
        <f>IF(Z36&lt;&gt;"",D36&amp;"|"&amp;Z36,"")</f>
      </c>
      <c r="AB36">
        <f>IF(AA36&lt;&gt;"",IF(K36&lt;&gt;"",K36&amp;" ("&amp;M36&amp;")",M36),"")</f>
      </c>
      <c r="AC36">
        <f>IF($B36="","fecha, ","")&amp;IF($C36="","quién lo introduce, ","")&amp;IF($I36="","motivo, ","")&amp;IF($K36="","docente, ","")&amp;IF($L36="","horario, ","")&amp;IF($N36="","duración, ","")&amp;IF($Q36="","estado, ","")&amp;IF(AND($I36="Otros",$J36=""),"detalle del motivo, ","")&amp;IF(AND($O36="Sí",$P36=""),"detalle del refuerzo, ","")&amp;IF(AND(OR($I36="Renuncia (hasta 30 nov)",$I36="Baja (desde 1 dic)",$I36="Renuncia excepcional (art. 25.3)",$I36="Traslado de expediente"),OR($E36="",$F36="",$G36="")),"quién deja la plaza, ","")&amp;IF(AND($Q36="No disponible",$R36=""),"vía de cobertura, ","")&amp;IF(AND(OR($R36="Lista de espera · propio centro",$R36="Traslado de expediente",$R36="Lista de espera · otro centro"),OR($S36="",$T36="",$U36="")),"quién ocupa la plaza, ","")</f>
      </c>
      <c r="AD36" s="24">
        <f>IF($D36="","",IF(AND(LEN($AC36)=0,LEN($AK36)=0),"Completa",IF(LEN($AC36)=0,"Revisar: "&amp;LEFT($AK36,LEN($AK36)-2),"Falta: "&amp;LEFT($AC36,LEN($AC36)-2)&amp;IF(LEN($AK36)&gt;0,"  ·  Revisar: "&amp;LEFT($AK36,LEN($AK36)-2),""))))</f>
      </c>
      <c r="AE36">
        <f>IF(AND($D36&lt;&gt;"",OR($I36="Renuncia (hasta 30 nov)",$I36="Baja (desde 1 dic)",$I36="Renuncia excepcional (art. 25.3)",$I36="Traslado de expediente")),COUNTIF($AE$1:AE35,"&gt;0")+1,"")</f>
      </c>
      <c r="AF36">
        <f>IF($Q36="Disponible",COUNTIF($AF$1:AF35,"&gt;0")+1,"")</f>
      </c>
      <c r="AG36">
        <f>IF($O36="Sí",COUNTIF($AG$1:AG35,"&gt;0")+1,"")</f>
      </c>
      <c r="AH36">
        <f>IF(AND($Q36="Disponible",$O36&lt;&gt;"Sí"),COUNTIF($AH$1:AH35,"&gt;0")+1,"")</f>
      </c>
      <c r="AI36">
        <f>IF(AND($Q36="Disponible",$K36&lt;&gt;""),COUNTIFS($K$2:K36,K36,$Q$2:Q36,"Disponible"),"")</f>
      </c>
      <c r="AJ36">
        <f>IF(AI36&lt;&gt;"",K36&amp;"|"&amp;AI36,"")</f>
      </c>
      <c r="AK36">
        <f>IF(AND($Q36="No disponible",OR($R36="Lista de espera · propio centro",$R36="Traslado de expediente",$R36="Lista de espera · otro centro"),$O36="Sí"),"la plaza ya tiene alumno y sigue marcada como refuerzo, ","")&amp;IF(AND($R36="Reconvertida en refuerzo",$O36&lt;&gt;"Sí"),"reconvertida en refuerzo pero sin marcar «En uso como refuerzo», ","")</f>
      </c>
    </row>
    <row r="37" spans="1:37">
      <c r="A37" s="20">
        <f>IF(D37&lt;&gt;"",ROW()-1,"")</f>
      </c>
      <c r="B37" s="55"/>
      <c r="C37" s="56"/>
      <c r="D37" s="56"/>
      <c r="E37" s="56"/>
      <c r="F37" s="56"/>
      <c r="G37" s="56"/>
      <c r="H37" s="56"/>
      <c r="I37" s="56"/>
      <c r="J37" s="57"/>
      <c r="K37" s="56"/>
      <c r="L37" s="58"/>
      <c r="M37" s="58">
        <f>IF(L37="","",L37)</f>
      </c>
      <c r="N37" s="56"/>
      <c r="O37" s="56"/>
      <c r="P37" s="57"/>
      <c r="Q37" s="56"/>
      <c r="R37" s="56"/>
      <c r="S37" s="56"/>
      <c r="T37" s="56"/>
      <c r="U37" s="56"/>
      <c r="V37" s="57"/>
      <c r="W37">
        <f>IF(Q37="Disponible",COUNTIFS($D$2:D37,D37,$Q$2:Q37,"Disponible"),"")</f>
      </c>
      <c r="X37">
        <f>IF(W37&lt;&gt;"",D37&amp;"|"&amp;W37,"")</f>
      </c>
      <c r="Y37">
        <f>IF(X37&lt;&gt;"",IF(K37&lt;&gt;"",K37&amp;" ("&amp;M37&amp;")",M37),"")</f>
      </c>
      <c r="Z37">
        <f>IF(O37="Sí",COUNTIFS($D$2:D37,D37,$O$2:O37,"Sí"),"")</f>
      </c>
      <c r="AA37">
        <f>IF(Z37&lt;&gt;"",D37&amp;"|"&amp;Z37,"")</f>
      </c>
      <c r="AB37">
        <f>IF(AA37&lt;&gt;"",IF(K37&lt;&gt;"",K37&amp;" ("&amp;M37&amp;")",M37),"")</f>
      </c>
      <c r="AC37">
        <f>IF($B37="","fecha, ","")&amp;IF($C37="","quién lo introduce, ","")&amp;IF($I37="","motivo, ","")&amp;IF($K37="","docente, ","")&amp;IF($L37="","horario, ","")&amp;IF($N37="","duración, ","")&amp;IF($Q37="","estado, ","")&amp;IF(AND($I37="Otros",$J37=""),"detalle del motivo, ","")&amp;IF(AND($O37="Sí",$P37=""),"detalle del refuerzo, ","")&amp;IF(AND(OR($I37="Renuncia (hasta 30 nov)",$I37="Baja (desde 1 dic)",$I37="Renuncia excepcional (art. 25.3)",$I37="Traslado de expediente"),OR($E37="",$F37="",$G37="")),"quién deja la plaza, ","")&amp;IF(AND($Q37="No disponible",$R37=""),"vía de cobertura, ","")&amp;IF(AND(OR($R37="Lista de espera · propio centro",$R37="Traslado de expediente",$R37="Lista de espera · otro centro"),OR($S37="",$T37="",$U37="")),"quién ocupa la plaza, ","")</f>
      </c>
      <c r="AD37" s="24">
        <f>IF($D37="","",IF(AND(LEN($AC37)=0,LEN($AK37)=0),"Completa",IF(LEN($AC37)=0,"Revisar: "&amp;LEFT($AK37,LEN($AK37)-2),"Falta: "&amp;LEFT($AC37,LEN($AC37)-2)&amp;IF(LEN($AK37)&gt;0,"  ·  Revisar: "&amp;LEFT($AK37,LEN($AK37)-2),""))))</f>
      </c>
      <c r="AE37">
        <f>IF(AND($D37&lt;&gt;"",OR($I37="Renuncia (hasta 30 nov)",$I37="Baja (desde 1 dic)",$I37="Renuncia excepcional (art. 25.3)",$I37="Traslado de expediente")),COUNTIF($AE$1:AE36,"&gt;0")+1,"")</f>
      </c>
      <c r="AF37">
        <f>IF($Q37="Disponible",COUNTIF($AF$1:AF36,"&gt;0")+1,"")</f>
      </c>
      <c r="AG37">
        <f>IF($O37="Sí",COUNTIF($AG$1:AG36,"&gt;0")+1,"")</f>
      </c>
      <c r="AH37">
        <f>IF(AND($Q37="Disponible",$O37&lt;&gt;"Sí"),COUNTIF($AH$1:AH36,"&gt;0")+1,"")</f>
      </c>
      <c r="AI37">
        <f>IF(AND($Q37="Disponible",$K37&lt;&gt;""),COUNTIFS($K$2:K37,K37,$Q$2:Q37,"Disponible"),"")</f>
      </c>
      <c r="AJ37">
        <f>IF(AI37&lt;&gt;"",K37&amp;"|"&amp;AI37,"")</f>
      </c>
      <c r="AK37">
        <f>IF(AND($Q37="No disponible",OR($R37="Lista de espera · propio centro",$R37="Traslado de expediente",$R37="Lista de espera · otro centro"),$O37="Sí"),"la plaza ya tiene alumno y sigue marcada como refuerzo, ","")&amp;IF(AND($R37="Reconvertida en refuerzo",$O37&lt;&gt;"Sí"),"reconvertida en refuerzo pero sin marcar «En uso como refuerzo», ","")</f>
      </c>
    </row>
    <row r="38" spans="1:37">
      <c r="A38" s="20">
        <f>IF(D38&lt;&gt;"",ROW()-1,"")</f>
      </c>
      <c r="B38" s="55"/>
      <c r="C38" s="56"/>
      <c r="D38" s="56"/>
      <c r="E38" s="56"/>
      <c r="F38" s="56"/>
      <c r="G38" s="56"/>
      <c r="H38" s="56"/>
      <c r="I38" s="56"/>
      <c r="J38" s="57"/>
      <c r="K38" s="56"/>
      <c r="L38" s="58"/>
      <c r="M38" s="58">
        <f>IF(L38="","",L38)</f>
      </c>
      <c r="N38" s="56"/>
      <c r="O38" s="56"/>
      <c r="P38" s="57"/>
      <c r="Q38" s="56"/>
      <c r="R38" s="56"/>
      <c r="S38" s="56"/>
      <c r="T38" s="56"/>
      <c r="U38" s="56"/>
      <c r="V38" s="57"/>
      <c r="W38">
        <f>IF(Q38="Disponible",COUNTIFS($D$2:D38,D38,$Q$2:Q38,"Disponible"),"")</f>
      </c>
      <c r="X38">
        <f>IF(W38&lt;&gt;"",D38&amp;"|"&amp;W38,"")</f>
      </c>
      <c r="Y38">
        <f>IF(X38&lt;&gt;"",IF(K38&lt;&gt;"",K38&amp;" ("&amp;M38&amp;")",M38),"")</f>
      </c>
      <c r="Z38">
        <f>IF(O38="Sí",COUNTIFS($D$2:D38,D38,$O$2:O38,"Sí"),"")</f>
      </c>
      <c r="AA38">
        <f>IF(Z38&lt;&gt;"",D38&amp;"|"&amp;Z38,"")</f>
      </c>
      <c r="AB38">
        <f>IF(AA38&lt;&gt;"",IF(K38&lt;&gt;"",K38&amp;" ("&amp;M38&amp;")",M38),"")</f>
      </c>
      <c r="AC38">
        <f>IF($B38="","fecha, ","")&amp;IF($C38="","quién lo introduce, ","")&amp;IF($I38="","motivo, ","")&amp;IF($K38="","docente, ","")&amp;IF($L38="","horario, ","")&amp;IF($N38="","duración, ","")&amp;IF($Q38="","estado, ","")&amp;IF(AND($I38="Otros",$J38=""),"detalle del motivo, ","")&amp;IF(AND($O38="Sí",$P38=""),"detalle del refuerzo, ","")&amp;IF(AND(OR($I38="Renuncia (hasta 30 nov)",$I38="Baja (desde 1 dic)",$I38="Renuncia excepcional (art. 25.3)",$I38="Traslado de expediente"),OR($E38="",$F38="",$G38="")),"quién deja la plaza, ","")&amp;IF(AND($Q38="No disponible",$R38=""),"vía de cobertura, ","")&amp;IF(AND(OR($R38="Lista de espera · propio centro",$R38="Traslado de expediente",$R38="Lista de espera · otro centro"),OR($S38="",$T38="",$U38="")),"quién ocupa la plaza, ","")</f>
      </c>
      <c r="AD38" s="24">
        <f>IF($D38="","",IF(AND(LEN($AC38)=0,LEN($AK38)=0),"Completa",IF(LEN($AC38)=0,"Revisar: "&amp;LEFT($AK38,LEN($AK38)-2),"Falta: "&amp;LEFT($AC38,LEN($AC38)-2)&amp;IF(LEN($AK38)&gt;0,"  ·  Revisar: "&amp;LEFT($AK38,LEN($AK38)-2),""))))</f>
      </c>
      <c r="AE38">
        <f>IF(AND($D38&lt;&gt;"",OR($I38="Renuncia (hasta 30 nov)",$I38="Baja (desde 1 dic)",$I38="Renuncia excepcional (art. 25.3)",$I38="Traslado de expediente")),COUNTIF($AE$1:AE37,"&gt;0")+1,"")</f>
      </c>
      <c r="AF38">
        <f>IF($Q38="Disponible",COUNTIF($AF$1:AF37,"&gt;0")+1,"")</f>
      </c>
      <c r="AG38">
        <f>IF($O38="Sí",COUNTIF($AG$1:AG37,"&gt;0")+1,"")</f>
      </c>
      <c r="AH38">
        <f>IF(AND($Q38="Disponible",$O38&lt;&gt;"Sí"),COUNTIF($AH$1:AH37,"&gt;0")+1,"")</f>
      </c>
      <c r="AI38">
        <f>IF(AND($Q38="Disponible",$K38&lt;&gt;""),COUNTIFS($K$2:K38,K38,$Q$2:Q38,"Disponible"),"")</f>
      </c>
      <c r="AJ38">
        <f>IF(AI38&lt;&gt;"",K38&amp;"|"&amp;AI38,"")</f>
      </c>
      <c r="AK38">
        <f>IF(AND($Q38="No disponible",OR($R38="Lista de espera · propio centro",$R38="Traslado de expediente",$R38="Lista de espera · otro centro"),$O38="Sí"),"la plaza ya tiene alumno y sigue marcada como refuerzo, ","")&amp;IF(AND($R38="Reconvertida en refuerzo",$O38&lt;&gt;"Sí"),"reconvertida en refuerzo pero sin marcar «En uso como refuerzo», ","")</f>
      </c>
    </row>
    <row r="39" spans="1:37">
      <c r="A39" s="20">
        <f>IF(D39&lt;&gt;"",ROW()-1,"")</f>
      </c>
      <c r="B39" s="55"/>
      <c r="C39" s="56"/>
      <c r="D39" s="56"/>
      <c r="E39" s="56"/>
      <c r="F39" s="56"/>
      <c r="G39" s="56"/>
      <c r="H39" s="56"/>
      <c r="I39" s="56"/>
      <c r="J39" s="57"/>
      <c r="K39" s="56"/>
      <c r="L39" s="58"/>
      <c r="M39" s="58">
        <f>IF(L39="","",L39)</f>
      </c>
      <c r="N39" s="56"/>
      <c r="O39" s="56"/>
      <c r="P39" s="57"/>
      <c r="Q39" s="56"/>
      <c r="R39" s="56"/>
      <c r="S39" s="56"/>
      <c r="T39" s="56"/>
      <c r="U39" s="56"/>
      <c r="V39" s="57"/>
      <c r="W39">
        <f>IF(Q39="Disponible",COUNTIFS($D$2:D39,D39,$Q$2:Q39,"Disponible"),"")</f>
      </c>
      <c r="X39">
        <f>IF(W39&lt;&gt;"",D39&amp;"|"&amp;W39,"")</f>
      </c>
      <c r="Y39">
        <f>IF(X39&lt;&gt;"",IF(K39&lt;&gt;"",K39&amp;" ("&amp;M39&amp;")",M39),"")</f>
      </c>
      <c r="Z39">
        <f>IF(O39="Sí",COUNTIFS($D$2:D39,D39,$O$2:O39,"Sí"),"")</f>
      </c>
      <c r="AA39">
        <f>IF(Z39&lt;&gt;"",D39&amp;"|"&amp;Z39,"")</f>
      </c>
      <c r="AB39">
        <f>IF(AA39&lt;&gt;"",IF(K39&lt;&gt;"",K39&amp;" ("&amp;M39&amp;")",M39),"")</f>
      </c>
      <c r="AC39">
        <f>IF($B39="","fecha, ","")&amp;IF($C39="","quién lo introduce, ","")&amp;IF($I39="","motivo, ","")&amp;IF($K39="","docente, ","")&amp;IF($L39="","horario, ","")&amp;IF($N39="","duración, ","")&amp;IF($Q39="","estado, ","")&amp;IF(AND($I39="Otros",$J39=""),"detalle del motivo, ","")&amp;IF(AND($O39="Sí",$P39=""),"detalle del refuerzo, ","")&amp;IF(AND(OR($I39="Renuncia (hasta 30 nov)",$I39="Baja (desde 1 dic)",$I39="Renuncia excepcional (art. 25.3)",$I39="Traslado de expediente"),OR($E39="",$F39="",$G39="")),"quién deja la plaza, ","")&amp;IF(AND($Q39="No disponible",$R39=""),"vía de cobertura, ","")&amp;IF(AND(OR($R39="Lista de espera · propio centro",$R39="Traslado de expediente",$R39="Lista de espera · otro centro"),OR($S39="",$T39="",$U39="")),"quién ocupa la plaza, ","")</f>
      </c>
      <c r="AD39" s="24">
        <f>IF($D39="","",IF(AND(LEN($AC39)=0,LEN($AK39)=0),"Completa",IF(LEN($AC39)=0,"Revisar: "&amp;LEFT($AK39,LEN($AK39)-2),"Falta: "&amp;LEFT($AC39,LEN($AC39)-2)&amp;IF(LEN($AK39)&gt;0,"  ·  Revisar: "&amp;LEFT($AK39,LEN($AK39)-2),""))))</f>
      </c>
      <c r="AE39">
        <f>IF(AND($D39&lt;&gt;"",OR($I39="Renuncia (hasta 30 nov)",$I39="Baja (desde 1 dic)",$I39="Renuncia excepcional (art. 25.3)",$I39="Traslado de expediente")),COUNTIF($AE$1:AE38,"&gt;0")+1,"")</f>
      </c>
      <c r="AF39">
        <f>IF($Q39="Disponible",COUNTIF($AF$1:AF38,"&gt;0")+1,"")</f>
      </c>
      <c r="AG39">
        <f>IF($O39="Sí",COUNTIF($AG$1:AG38,"&gt;0")+1,"")</f>
      </c>
      <c r="AH39">
        <f>IF(AND($Q39="Disponible",$O39&lt;&gt;"Sí"),COUNTIF($AH$1:AH38,"&gt;0")+1,"")</f>
      </c>
      <c r="AI39">
        <f>IF(AND($Q39="Disponible",$K39&lt;&gt;""),COUNTIFS($K$2:K39,K39,$Q$2:Q39,"Disponible"),"")</f>
      </c>
      <c r="AJ39">
        <f>IF(AI39&lt;&gt;"",K39&amp;"|"&amp;AI39,"")</f>
      </c>
      <c r="AK39">
        <f>IF(AND($Q39="No disponible",OR($R39="Lista de espera · propio centro",$R39="Traslado de expediente",$R39="Lista de espera · otro centro"),$O39="Sí"),"la plaza ya tiene alumno y sigue marcada como refuerzo, ","")&amp;IF(AND($R39="Reconvertida en refuerzo",$O39&lt;&gt;"Sí"),"reconvertida en refuerzo pero sin marcar «En uso como refuerzo», ","")</f>
      </c>
    </row>
    <row r="40" spans="1:37">
      <c r="A40" s="20">
        <f>IF(D40&lt;&gt;"",ROW()-1,"")</f>
      </c>
      <c r="B40" s="55"/>
      <c r="C40" s="56"/>
      <c r="D40" s="56"/>
      <c r="E40" s="56"/>
      <c r="F40" s="56"/>
      <c r="G40" s="56"/>
      <c r="H40" s="56"/>
      <c r="I40" s="56"/>
      <c r="J40" s="57"/>
      <c r="K40" s="56"/>
      <c r="L40" s="58"/>
      <c r="M40" s="58">
        <f>IF(L40="","",L40)</f>
      </c>
      <c r="N40" s="56"/>
      <c r="O40" s="56"/>
      <c r="P40" s="57"/>
      <c r="Q40" s="56"/>
      <c r="R40" s="56"/>
      <c r="S40" s="56"/>
      <c r="T40" s="56"/>
      <c r="U40" s="56"/>
      <c r="V40" s="57"/>
      <c r="W40">
        <f>IF(Q40="Disponible",COUNTIFS($D$2:D40,D40,$Q$2:Q40,"Disponible"),"")</f>
      </c>
      <c r="X40">
        <f>IF(W40&lt;&gt;"",D40&amp;"|"&amp;W40,"")</f>
      </c>
      <c r="Y40">
        <f>IF(X40&lt;&gt;"",IF(K40&lt;&gt;"",K40&amp;" ("&amp;M40&amp;")",M40),"")</f>
      </c>
      <c r="Z40">
        <f>IF(O40="Sí",COUNTIFS($D$2:D40,D40,$O$2:O40,"Sí"),"")</f>
      </c>
      <c r="AA40">
        <f>IF(Z40&lt;&gt;"",D40&amp;"|"&amp;Z40,"")</f>
      </c>
      <c r="AB40">
        <f>IF(AA40&lt;&gt;"",IF(K40&lt;&gt;"",K40&amp;" ("&amp;M40&amp;")",M40),"")</f>
      </c>
      <c r="AC40">
        <f>IF($B40="","fecha, ","")&amp;IF($C40="","quién lo introduce, ","")&amp;IF($I40="","motivo, ","")&amp;IF($K40="","docente, ","")&amp;IF($L40="","horario, ","")&amp;IF($N40="","duración, ","")&amp;IF($Q40="","estado, ","")&amp;IF(AND($I40="Otros",$J40=""),"detalle del motivo, ","")&amp;IF(AND($O40="Sí",$P40=""),"detalle del refuerzo, ","")&amp;IF(AND(OR($I40="Renuncia (hasta 30 nov)",$I40="Baja (desde 1 dic)",$I40="Renuncia excepcional (art. 25.3)",$I40="Traslado de expediente"),OR($E40="",$F40="",$G40="")),"quién deja la plaza, ","")&amp;IF(AND($Q40="No disponible",$R40=""),"vía de cobertura, ","")&amp;IF(AND(OR($R40="Lista de espera · propio centro",$R40="Traslado de expediente",$R40="Lista de espera · otro centro"),OR($S40="",$T40="",$U40="")),"quién ocupa la plaza, ","")</f>
      </c>
      <c r="AD40" s="24">
        <f>IF($D40="","",IF(AND(LEN($AC40)=0,LEN($AK40)=0),"Completa",IF(LEN($AC40)=0,"Revisar: "&amp;LEFT($AK40,LEN($AK40)-2),"Falta: "&amp;LEFT($AC40,LEN($AC40)-2)&amp;IF(LEN($AK40)&gt;0,"  ·  Revisar: "&amp;LEFT($AK40,LEN($AK40)-2),""))))</f>
      </c>
      <c r="AE40">
        <f>IF(AND($D40&lt;&gt;"",OR($I40="Renuncia (hasta 30 nov)",$I40="Baja (desde 1 dic)",$I40="Renuncia excepcional (art. 25.3)",$I40="Traslado de expediente")),COUNTIF($AE$1:AE39,"&gt;0")+1,"")</f>
      </c>
      <c r="AF40">
        <f>IF($Q40="Disponible",COUNTIF($AF$1:AF39,"&gt;0")+1,"")</f>
      </c>
      <c r="AG40">
        <f>IF($O40="Sí",COUNTIF($AG$1:AG39,"&gt;0")+1,"")</f>
      </c>
      <c r="AH40">
        <f>IF(AND($Q40="Disponible",$O40&lt;&gt;"Sí"),COUNTIF($AH$1:AH39,"&gt;0")+1,"")</f>
      </c>
      <c r="AI40">
        <f>IF(AND($Q40="Disponible",$K40&lt;&gt;""),COUNTIFS($K$2:K40,K40,$Q$2:Q40,"Disponible"),"")</f>
      </c>
      <c r="AJ40">
        <f>IF(AI40&lt;&gt;"",K40&amp;"|"&amp;AI40,"")</f>
      </c>
      <c r="AK40">
        <f>IF(AND($Q40="No disponible",OR($R40="Lista de espera · propio centro",$R40="Traslado de expediente",$R40="Lista de espera · otro centro"),$O40="Sí"),"la plaza ya tiene alumno y sigue marcada como refuerzo, ","")&amp;IF(AND($R40="Reconvertida en refuerzo",$O40&lt;&gt;"Sí"),"reconvertida en refuerzo pero sin marcar «En uso como refuerzo», ","")</f>
      </c>
    </row>
    <row r="41" spans="1:37">
      <c r="A41" s="20">
        <f>IF(D41&lt;&gt;"",ROW()-1,"")</f>
      </c>
      <c r="B41" s="55"/>
      <c r="C41" s="56"/>
      <c r="D41" s="56"/>
      <c r="E41" s="56"/>
      <c r="F41" s="56"/>
      <c r="G41" s="56"/>
      <c r="H41" s="56"/>
      <c r="I41" s="56"/>
      <c r="J41" s="57"/>
      <c r="K41" s="56"/>
      <c r="L41" s="58"/>
      <c r="M41" s="58">
        <f>IF(L41="","",L41)</f>
      </c>
      <c r="N41" s="56"/>
      <c r="O41" s="56"/>
      <c r="P41" s="57"/>
      <c r="Q41" s="56"/>
      <c r="R41" s="56"/>
      <c r="S41" s="56"/>
      <c r="T41" s="56"/>
      <c r="U41" s="56"/>
      <c r="V41" s="57"/>
      <c r="W41">
        <f>IF(Q41="Disponible",COUNTIFS($D$2:D41,D41,$Q$2:Q41,"Disponible"),"")</f>
      </c>
      <c r="X41">
        <f>IF(W41&lt;&gt;"",D41&amp;"|"&amp;W41,"")</f>
      </c>
      <c r="Y41">
        <f>IF(X41&lt;&gt;"",IF(K41&lt;&gt;"",K41&amp;" ("&amp;M41&amp;")",M41),"")</f>
      </c>
      <c r="Z41">
        <f>IF(O41="Sí",COUNTIFS($D$2:D41,D41,$O$2:O41,"Sí"),"")</f>
      </c>
      <c r="AA41">
        <f>IF(Z41&lt;&gt;"",D41&amp;"|"&amp;Z41,"")</f>
      </c>
      <c r="AB41">
        <f>IF(AA41&lt;&gt;"",IF(K41&lt;&gt;"",K41&amp;" ("&amp;M41&amp;")",M41),"")</f>
      </c>
      <c r="AC41">
        <f>IF($B41="","fecha, ","")&amp;IF($C41="","quién lo introduce, ","")&amp;IF($I41="","motivo, ","")&amp;IF($K41="","docente, ","")&amp;IF($L41="","horario, ","")&amp;IF($N41="","duración, ","")&amp;IF($Q41="","estado, ","")&amp;IF(AND($I41="Otros",$J41=""),"detalle del motivo, ","")&amp;IF(AND($O41="Sí",$P41=""),"detalle del refuerzo, ","")&amp;IF(AND(OR($I41="Renuncia (hasta 30 nov)",$I41="Baja (desde 1 dic)",$I41="Renuncia excepcional (art. 25.3)",$I41="Traslado de expediente"),OR($E41="",$F41="",$G41="")),"quién deja la plaza, ","")&amp;IF(AND($Q41="No disponible",$R41=""),"vía de cobertura, ","")&amp;IF(AND(OR($R41="Lista de espera · propio centro",$R41="Traslado de expediente",$R41="Lista de espera · otro centro"),OR($S41="",$T41="",$U41="")),"quién ocupa la plaza, ","")</f>
      </c>
      <c r="AD41" s="24">
        <f>IF($D41="","",IF(AND(LEN($AC41)=0,LEN($AK41)=0),"Completa",IF(LEN($AC41)=0,"Revisar: "&amp;LEFT($AK41,LEN($AK41)-2),"Falta: "&amp;LEFT($AC41,LEN($AC41)-2)&amp;IF(LEN($AK41)&gt;0,"  ·  Revisar: "&amp;LEFT($AK41,LEN($AK41)-2),""))))</f>
      </c>
      <c r="AE41">
        <f>IF(AND($D41&lt;&gt;"",OR($I41="Renuncia (hasta 30 nov)",$I41="Baja (desde 1 dic)",$I41="Renuncia excepcional (art. 25.3)",$I41="Traslado de expediente")),COUNTIF($AE$1:AE40,"&gt;0")+1,"")</f>
      </c>
      <c r="AF41">
        <f>IF($Q41="Disponible",COUNTIF($AF$1:AF40,"&gt;0")+1,"")</f>
      </c>
      <c r="AG41">
        <f>IF($O41="Sí",COUNTIF($AG$1:AG40,"&gt;0")+1,"")</f>
      </c>
      <c r="AH41">
        <f>IF(AND($Q41="Disponible",$O41&lt;&gt;"Sí"),COUNTIF($AH$1:AH40,"&gt;0")+1,"")</f>
      </c>
      <c r="AI41">
        <f>IF(AND($Q41="Disponible",$K41&lt;&gt;""),COUNTIFS($K$2:K41,K41,$Q$2:Q41,"Disponible"),"")</f>
      </c>
      <c r="AJ41">
        <f>IF(AI41&lt;&gt;"",K41&amp;"|"&amp;AI41,"")</f>
      </c>
      <c r="AK41">
        <f>IF(AND($Q41="No disponible",OR($R41="Lista de espera · propio centro",$R41="Traslado de expediente",$R41="Lista de espera · otro centro"),$O41="Sí"),"la plaza ya tiene alumno y sigue marcada como refuerzo, ","")&amp;IF(AND($R41="Reconvertida en refuerzo",$O41&lt;&gt;"Sí"),"reconvertida en refuerzo pero sin marcar «En uso como refuerzo», ","")</f>
      </c>
    </row>
    <row r="42" spans="1:37">
      <c r="A42" s="20">
        <f>IF(D42&lt;&gt;"",ROW()-1,"")</f>
      </c>
      <c r="B42" s="55"/>
      <c r="C42" s="56"/>
      <c r="D42" s="56"/>
      <c r="E42" s="56"/>
      <c r="F42" s="56"/>
      <c r="G42" s="56"/>
      <c r="H42" s="56"/>
      <c r="I42" s="56"/>
      <c r="J42" s="57"/>
      <c r="K42" s="56"/>
      <c r="L42" s="58"/>
      <c r="M42" s="58">
        <f>IF(L42="","",L42)</f>
      </c>
      <c r="N42" s="56"/>
      <c r="O42" s="56"/>
      <c r="P42" s="57"/>
      <c r="Q42" s="56"/>
      <c r="R42" s="56"/>
      <c r="S42" s="56"/>
      <c r="T42" s="56"/>
      <c r="U42" s="56"/>
      <c r="V42" s="57"/>
      <c r="W42">
        <f>IF(Q42="Disponible",COUNTIFS($D$2:D42,D42,$Q$2:Q42,"Disponible"),"")</f>
      </c>
      <c r="X42">
        <f>IF(W42&lt;&gt;"",D42&amp;"|"&amp;W42,"")</f>
      </c>
      <c r="Y42">
        <f>IF(X42&lt;&gt;"",IF(K42&lt;&gt;"",K42&amp;" ("&amp;M42&amp;")",M42),"")</f>
      </c>
      <c r="Z42">
        <f>IF(O42="Sí",COUNTIFS($D$2:D42,D42,$O$2:O42,"Sí"),"")</f>
      </c>
      <c r="AA42">
        <f>IF(Z42&lt;&gt;"",D42&amp;"|"&amp;Z42,"")</f>
      </c>
      <c r="AB42">
        <f>IF(AA42&lt;&gt;"",IF(K42&lt;&gt;"",K42&amp;" ("&amp;M42&amp;")",M42),"")</f>
      </c>
      <c r="AC42">
        <f>IF($B42="","fecha, ","")&amp;IF($C42="","quién lo introduce, ","")&amp;IF($I42="","motivo, ","")&amp;IF($K42="","docente, ","")&amp;IF($L42="","horario, ","")&amp;IF($N42="","duración, ","")&amp;IF($Q42="","estado, ","")&amp;IF(AND($I42="Otros",$J42=""),"detalle del motivo, ","")&amp;IF(AND($O42="Sí",$P42=""),"detalle del refuerzo, ","")&amp;IF(AND(OR($I42="Renuncia (hasta 30 nov)",$I42="Baja (desde 1 dic)",$I42="Renuncia excepcional (art. 25.3)",$I42="Traslado de expediente"),OR($E42="",$F42="",$G42="")),"quién deja la plaza, ","")&amp;IF(AND($Q42="No disponible",$R42=""),"vía de cobertura, ","")&amp;IF(AND(OR($R42="Lista de espera · propio centro",$R42="Traslado de expediente",$R42="Lista de espera · otro centro"),OR($S42="",$T42="",$U42="")),"quién ocupa la plaza, ","")</f>
      </c>
      <c r="AD42" s="24">
        <f>IF($D42="","",IF(AND(LEN($AC42)=0,LEN($AK42)=0),"Completa",IF(LEN($AC42)=0,"Revisar: "&amp;LEFT($AK42,LEN($AK42)-2),"Falta: "&amp;LEFT($AC42,LEN($AC42)-2)&amp;IF(LEN($AK42)&gt;0,"  ·  Revisar: "&amp;LEFT($AK42,LEN($AK42)-2),""))))</f>
      </c>
      <c r="AE42">
        <f>IF(AND($D42&lt;&gt;"",OR($I42="Renuncia (hasta 30 nov)",$I42="Baja (desde 1 dic)",$I42="Renuncia excepcional (art. 25.3)",$I42="Traslado de expediente")),COUNTIF($AE$1:AE41,"&gt;0")+1,"")</f>
      </c>
      <c r="AF42">
        <f>IF($Q42="Disponible",COUNTIF($AF$1:AF41,"&gt;0")+1,"")</f>
      </c>
      <c r="AG42">
        <f>IF($O42="Sí",COUNTIF($AG$1:AG41,"&gt;0")+1,"")</f>
      </c>
      <c r="AH42">
        <f>IF(AND($Q42="Disponible",$O42&lt;&gt;"Sí"),COUNTIF($AH$1:AH41,"&gt;0")+1,"")</f>
      </c>
      <c r="AI42">
        <f>IF(AND($Q42="Disponible",$K42&lt;&gt;""),COUNTIFS($K$2:K42,K42,$Q$2:Q42,"Disponible"),"")</f>
      </c>
      <c r="AJ42">
        <f>IF(AI42&lt;&gt;"",K42&amp;"|"&amp;AI42,"")</f>
      </c>
      <c r="AK42">
        <f>IF(AND($Q42="No disponible",OR($R42="Lista de espera · propio centro",$R42="Traslado de expediente",$R42="Lista de espera · otro centro"),$O42="Sí"),"la plaza ya tiene alumno y sigue marcada como refuerzo, ","")&amp;IF(AND($R42="Reconvertida en refuerzo",$O42&lt;&gt;"Sí"),"reconvertida en refuerzo pero sin marcar «En uso como refuerzo», ","")</f>
      </c>
    </row>
    <row r="43" spans="1:37">
      <c r="A43" s="20">
        <f>IF(D43&lt;&gt;"",ROW()-1,"")</f>
      </c>
      <c r="B43" s="55"/>
      <c r="C43" s="56"/>
      <c r="D43" s="56"/>
      <c r="E43" s="56"/>
      <c r="F43" s="56"/>
      <c r="G43" s="56"/>
      <c r="H43" s="56"/>
      <c r="I43" s="56"/>
      <c r="J43" s="57"/>
      <c r="K43" s="56"/>
      <c r="L43" s="58"/>
      <c r="M43" s="58">
        <f>IF(L43="","",L43)</f>
      </c>
      <c r="N43" s="56"/>
      <c r="O43" s="56"/>
      <c r="P43" s="57"/>
      <c r="Q43" s="56"/>
      <c r="R43" s="56"/>
      <c r="S43" s="56"/>
      <c r="T43" s="56"/>
      <c r="U43" s="56"/>
      <c r="V43" s="57"/>
      <c r="W43">
        <f>IF(Q43="Disponible",COUNTIFS($D$2:D43,D43,$Q$2:Q43,"Disponible"),"")</f>
      </c>
      <c r="X43">
        <f>IF(W43&lt;&gt;"",D43&amp;"|"&amp;W43,"")</f>
      </c>
      <c r="Y43">
        <f>IF(X43&lt;&gt;"",IF(K43&lt;&gt;"",K43&amp;" ("&amp;M43&amp;")",M43),"")</f>
      </c>
      <c r="Z43">
        <f>IF(O43="Sí",COUNTIFS($D$2:D43,D43,$O$2:O43,"Sí"),"")</f>
      </c>
      <c r="AA43">
        <f>IF(Z43&lt;&gt;"",D43&amp;"|"&amp;Z43,"")</f>
      </c>
      <c r="AB43">
        <f>IF(AA43&lt;&gt;"",IF(K43&lt;&gt;"",K43&amp;" ("&amp;M43&amp;")",M43),"")</f>
      </c>
      <c r="AC43">
        <f>IF($B43="","fecha, ","")&amp;IF($C43="","quién lo introduce, ","")&amp;IF($I43="","motivo, ","")&amp;IF($K43="","docente, ","")&amp;IF($L43="","horario, ","")&amp;IF($N43="","duración, ","")&amp;IF($Q43="","estado, ","")&amp;IF(AND($I43="Otros",$J43=""),"detalle del motivo, ","")&amp;IF(AND($O43="Sí",$P43=""),"detalle del refuerzo, ","")&amp;IF(AND(OR($I43="Renuncia (hasta 30 nov)",$I43="Baja (desde 1 dic)",$I43="Renuncia excepcional (art. 25.3)",$I43="Traslado de expediente"),OR($E43="",$F43="",$G43="")),"quién deja la plaza, ","")&amp;IF(AND($Q43="No disponible",$R43=""),"vía de cobertura, ","")&amp;IF(AND(OR($R43="Lista de espera · propio centro",$R43="Traslado de expediente",$R43="Lista de espera · otro centro"),OR($S43="",$T43="",$U43="")),"quién ocupa la plaza, ","")</f>
      </c>
      <c r="AD43" s="24">
        <f>IF($D43="","",IF(AND(LEN($AC43)=0,LEN($AK43)=0),"Completa",IF(LEN($AC43)=0,"Revisar: "&amp;LEFT($AK43,LEN($AK43)-2),"Falta: "&amp;LEFT($AC43,LEN($AC43)-2)&amp;IF(LEN($AK43)&gt;0,"  ·  Revisar: "&amp;LEFT($AK43,LEN($AK43)-2),""))))</f>
      </c>
      <c r="AE43">
        <f>IF(AND($D43&lt;&gt;"",OR($I43="Renuncia (hasta 30 nov)",$I43="Baja (desde 1 dic)",$I43="Renuncia excepcional (art. 25.3)",$I43="Traslado de expediente")),COUNTIF($AE$1:AE42,"&gt;0")+1,"")</f>
      </c>
      <c r="AF43">
        <f>IF($Q43="Disponible",COUNTIF($AF$1:AF42,"&gt;0")+1,"")</f>
      </c>
      <c r="AG43">
        <f>IF($O43="Sí",COUNTIF($AG$1:AG42,"&gt;0")+1,"")</f>
      </c>
      <c r="AH43">
        <f>IF(AND($Q43="Disponible",$O43&lt;&gt;"Sí"),COUNTIF($AH$1:AH42,"&gt;0")+1,"")</f>
      </c>
      <c r="AI43">
        <f>IF(AND($Q43="Disponible",$K43&lt;&gt;""),COUNTIFS($K$2:K43,K43,$Q$2:Q43,"Disponible"),"")</f>
      </c>
      <c r="AJ43">
        <f>IF(AI43&lt;&gt;"",K43&amp;"|"&amp;AI43,"")</f>
      </c>
      <c r="AK43">
        <f>IF(AND($Q43="No disponible",OR($R43="Lista de espera · propio centro",$R43="Traslado de expediente",$R43="Lista de espera · otro centro"),$O43="Sí"),"la plaza ya tiene alumno y sigue marcada como refuerzo, ","")&amp;IF(AND($R43="Reconvertida en refuerzo",$O43&lt;&gt;"Sí"),"reconvertida en refuerzo pero sin marcar «En uso como refuerzo», ","")</f>
      </c>
    </row>
    <row r="44" spans="1:37">
      <c r="A44" s="20">
        <f>IF(D44&lt;&gt;"",ROW()-1,"")</f>
      </c>
      <c r="B44" s="55"/>
      <c r="C44" s="56"/>
      <c r="D44" s="56"/>
      <c r="E44" s="56"/>
      <c r="F44" s="56"/>
      <c r="G44" s="56"/>
      <c r="H44" s="56"/>
      <c r="I44" s="56"/>
      <c r="J44" s="57"/>
      <c r="K44" s="56"/>
      <c r="L44" s="58"/>
      <c r="M44" s="58">
        <f>IF(L44="","",L44)</f>
      </c>
      <c r="N44" s="56"/>
      <c r="O44" s="56"/>
      <c r="P44" s="57"/>
      <c r="Q44" s="56"/>
      <c r="R44" s="56"/>
      <c r="S44" s="56"/>
      <c r="T44" s="56"/>
      <c r="U44" s="56"/>
      <c r="V44" s="57"/>
      <c r="W44">
        <f>IF(Q44="Disponible",COUNTIFS($D$2:D44,D44,$Q$2:Q44,"Disponible"),"")</f>
      </c>
      <c r="X44">
        <f>IF(W44&lt;&gt;"",D44&amp;"|"&amp;W44,"")</f>
      </c>
      <c r="Y44">
        <f>IF(X44&lt;&gt;"",IF(K44&lt;&gt;"",K44&amp;" ("&amp;M44&amp;")",M44),"")</f>
      </c>
      <c r="Z44">
        <f>IF(O44="Sí",COUNTIFS($D$2:D44,D44,$O$2:O44,"Sí"),"")</f>
      </c>
      <c r="AA44">
        <f>IF(Z44&lt;&gt;"",D44&amp;"|"&amp;Z44,"")</f>
      </c>
      <c r="AB44">
        <f>IF(AA44&lt;&gt;"",IF(K44&lt;&gt;"",K44&amp;" ("&amp;M44&amp;")",M44),"")</f>
      </c>
      <c r="AC44">
        <f>IF($B44="","fecha, ","")&amp;IF($C44="","quién lo introduce, ","")&amp;IF($I44="","motivo, ","")&amp;IF($K44="","docente, ","")&amp;IF($L44="","horario, ","")&amp;IF($N44="","duración, ","")&amp;IF($Q44="","estado, ","")&amp;IF(AND($I44="Otros",$J44=""),"detalle del motivo, ","")&amp;IF(AND($O44="Sí",$P44=""),"detalle del refuerzo, ","")&amp;IF(AND(OR($I44="Renuncia (hasta 30 nov)",$I44="Baja (desde 1 dic)",$I44="Renuncia excepcional (art. 25.3)",$I44="Traslado de expediente"),OR($E44="",$F44="",$G44="")),"quién deja la plaza, ","")&amp;IF(AND($Q44="No disponible",$R44=""),"vía de cobertura, ","")&amp;IF(AND(OR($R44="Lista de espera · propio centro",$R44="Traslado de expediente",$R44="Lista de espera · otro centro"),OR($S44="",$T44="",$U44="")),"quién ocupa la plaza, ","")</f>
      </c>
      <c r="AD44" s="24">
        <f>IF($D44="","",IF(AND(LEN($AC44)=0,LEN($AK44)=0),"Completa",IF(LEN($AC44)=0,"Revisar: "&amp;LEFT($AK44,LEN($AK44)-2),"Falta: "&amp;LEFT($AC44,LEN($AC44)-2)&amp;IF(LEN($AK44)&gt;0,"  ·  Revisar: "&amp;LEFT($AK44,LEN($AK44)-2),""))))</f>
      </c>
      <c r="AE44">
        <f>IF(AND($D44&lt;&gt;"",OR($I44="Renuncia (hasta 30 nov)",$I44="Baja (desde 1 dic)",$I44="Renuncia excepcional (art. 25.3)",$I44="Traslado de expediente")),COUNTIF($AE$1:AE43,"&gt;0")+1,"")</f>
      </c>
      <c r="AF44">
        <f>IF($Q44="Disponible",COUNTIF($AF$1:AF43,"&gt;0")+1,"")</f>
      </c>
      <c r="AG44">
        <f>IF($O44="Sí",COUNTIF($AG$1:AG43,"&gt;0")+1,"")</f>
      </c>
      <c r="AH44">
        <f>IF(AND($Q44="Disponible",$O44&lt;&gt;"Sí"),COUNTIF($AH$1:AH43,"&gt;0")+1,"")</f>
      </c>
      <c r="AI44">
        <f>IF(AND($Q44="Disponible",$K44&lt;&gt;""),COUNTIFS($K$2:K44,K44,$Q$2:Q44,"Disponible"),"")</f>
      </c>
      <c r="AJ44">
        <f>IF(AI44&lt;&gt;"",K44&amp;"|"&amp;AI44,"")</f>
      </c>
      <c r="AK44">
        <f>IF(AND($Q44="No disponible",OR($R44="Lista de espera · propio centro",$R44="Traslado de expediente",$R44="Lista de espera · otro centro"),$O44="Sí"),"la plaza ya tiene alumno y sigue marcada como refuerzo, ","")&amp;IF(AND($R44="Reconvertida en refuerzo",$O44&lt;&gt;"Sí"),"reconvertida en refuerzo pero sin marcar «En uso como refuerzo», ","")</f>
      </c>
    </row>
    <row r="45" spans="1:37">
      <c r="A45" s="20">
        <f>IF(D45&lt;&gt;"",ROW()-1,"")</f>
      </c>
      <c r="B45" s="55"/>
      <c r="C45" s="56"/>
      <c r="D45" s="56"/>
      <c r="E45" s="56"/>
      <c r="F45" s="56"/>
      <c r="G45" s="56"/>
      <c r="H45" s="56"/>
      <c r="I45" s="56"/>
      <c r="J45" s="57"/>
      <c r="K45" s="56"/>
      <c r="L45" s="58"/>
      <c r="M45" s="58">
        <f>IF(L45="","",L45)</f>
      </c>
      <c r="N45" s="56"/>
      <c r="O45" s="56"/>
      <c r="P45" s="57"/>
      <c r="Q45" s="56"/>
      <c r="R45" s="56"/>
      <c r="S45" s="56"/>
      <c r="T45" s="56"/>
      <c r="U45" s="56"/>
      <c r="V45" s="57"/>
      <c r="W45">
        <f>IF(Q45="Disponible",COUNTIFS($D$2:D45,D45,$Q$2:Q45,"Disponible"),"")</f>
      </c>
      <c r="X45">
        <f>IF(W45&lt;&gt;"",D45&amp;"|"&amp;W45,"")</f>
      </c>
      <c r="Y45">
        <f>IF(X45&lt;&gt;"",IF(K45&lt;&gt;"",K45&amp;" ("&amp;M45&amp;")",M45),"")</f>
      </c>
      <c r="Z45">
        <f>IF(O45="Sí",COUNTIFS($D$2:D45,D45,$O$2:O45,"Sí"),"")</f>
      </c>
      <c r="AA45">
        <f>IF(Z45&lt;&gt;"",D45&amp;"|"&amp;Z45,"")</f>
      </c>
      <c r="AB45">
        <f>IF(AA45&lt;&gt;"",IF(K45&lt;&gt;"",K45&amp;" ("&amp;M45&amp;")",M45),"")</f>
      </c>
      <c r="AC45">
        <f>IF($B45="","fecha, ","")&amp;IF($C45="","quién lo introduce, ","")&amp;IF($I45="","motivo, ","")&amp;IF($K45="","docente, ","")&amp;IF($L45="","horario, ","")&amp;IF($N45="","duración, ","")&amp;IF($Q45="","estado, ","")&amp;IF(AND($I45="Otros",$J45=""),"detalle del motivo, ","")&amp;IF(AND($O45="Sí",$P45=""),"detalle del refuerzo, ","")&amp;IF(AND(OR($I45="Renuncia (hasta 30 nov)",$I45="Baja (desde 1 dic)",$I45="Renuncia excepcional (art. 25.3)",$I45="Traslado de expediente"),OR($E45="",$F45="",$G45="")),"quién deja la plaza, ","")&amp;IF(AND($Q45="No disponible",$R45=""),"vía de cobertura, ","")&amp;IF(AND(OR($R45="Lista de espera · propio centro",$R45="Traslado de expediente",$R45="Lista de espera · otro centro"),OR($S45="",$T45="",$U45="")),"quién ocupa la plaza, ","")</f>
      </c>
      <c r="AD45" s="24">
        <f>IF($D45="","",IF(AND(LEN($AC45)=0,LEN($AK45)=0),"Completa",IF(LEN($AC45)=0,"Revisar: "&amp;LEFT($AK45,LEN($AK45)-2),"Falta: "&amp;LEFT($AC45,LEN($AC45)-2)&amp;IF(LEN($AK45)&gt;0,"  ·  Revisar: "&amp;LEFT($AK45,LEN($AK45)-2),""))))</f>
      </c>
      <c r="AE45">
        <f>IF(AND($D45&lt;&gt;"",OR($I45="Renuncia (hasta 30 nov)",$I45="Baja (desde 1 dic)",$I45="Renuncia excepcional (art. 25.3)",$I45="Traslado de expediente")),COUNTIF($AE$1:AE44,"&gt;0")+1,"")</f>
      </c>
      <c r="AF45">
        <f>IF($Q45="Disponible",COUNTIF($AF$1:AF44,"&gt;0")+1,"")</f>
      </c>
      <c r="AG45">
        <f>IF($O45="Sí",COUNTIF($AG$1:AG44,"&gt;0")+1,"")</f>
      </c>
      <c r="AH45">
        <f>IF(AND($Q45="Disponible",$O45&lt;&gt;"Sí"),COUNTIF($AH$1:AH44,"&gt;0")+1,"")</f>
      </c>
      <c r="AI45">
        <f>IF(AND($Q45="Disponible",$K45&lt;&gt;""),COUNTIFS($K$2:K45,K45,$Q$2:Q45,"Disponible"),"")</f>
      </c>
      <c r="AJ45">
        <f>IF(AI45&lt;&gt;"",K45&amp;"|"&amp;AI45,"")</f>
      </c>
      <c r="AK45">
        <f>IF(AND($Q45="No disponible",OR($R45="Lista de espera · propio centro",$R45="Traslado de expediente",$R45="Lista de espera · otro centro"),$O45="Sí"),"la plaza ya tiene alumno y sigue marcada como refuerzo, ","")&amp;IF(AND($R45="Reconvertida en refuerzo",$O45&lt;&gt;"Sí"),"reconvertida en refuerzo pero sin marcar «En uso como refuerzo», ","")</f>
      </c>
    </row>
    <row r="46" spans="1:37">
      <c r="A46" s="20">
        <f>IF(D46&lt;&gt;"",ROW()-1,"")</f>
      </c>
      <c r="B46" s="55"/>
      <c r="C46" s="56"/>
      <c r="D46" s="56"/>
      <c r="E46" s="56"/>
      <c r="F46" s="56"/>
      <c r="G46" s="56"/>
      <c r="H46" s="56"/>
      <c r="I46" s="56"/>
      <c r="J46" s="57"/>
      <c r="K46" s="56"/>
      <c r="L46" s="58"/>
      <c r="M46" s="58">
        <f>IF(L46="","",L46)</f>
      </c>
      <c r="N46" s="56"/>
      <c r="O46" s="56"/>
      <c r="P46" s="57"/>
      <c r="Q46" s="56"/>
      <c r="R46" s="56"/>
      <c r="S46" s="56"/>
      <c r="T46" s="56"/>
      <c r="U46" s="56"/>
      <c r="V46" s="57"/>
      <c r="W46">
        <f>IF(Q46="Disponible",COUNTIFS($D$2:D46,D46,$Q$2:Q46,"Disponible"),"")</f>
      </c>
      <c r="X46">
        <f>IF(W46&lt;&gt;"",D46&amp;"|"&amp;W46,"")</f>
      </c>
      <c r="Y46">
        <f>IF(X46&lt;&gt;"",IF(K46&lt;&gt;"",K46&amp;" ("&amp;M46&amp;")",M46),"")</f>
      </c>
      <c r="Z46">
        <f>IF(O46="Sí",COUNTIFS($D$2:D46,D46,$O$2:O46,"Sí"),"")</f>
      </c>
      <c r="AA46">
        <f>IF(Z46&lt;&gt;"",D46&amp;"|"&amp;Z46,"")</f>
      </c>
      <c r="AB46">
        <f>IF(AA46&lt;&gt;"",IF(K46&lt;&gt;"",K46&amp;" ("&amp;M46&amp;")",M46),"")</f>
      </c>
      <c r="AC46">
        <f>IF($B46="","fecha, ","")&amp;IF($C46="","quién lo introduce, ","")&amp;IF($I46="","motivo, ","")&amp;IF($K46="","docente, ","")&amp;IF($L46="","horario, ","")&amp;IF($N46="","duración, ","")&amp;IF($Q46="","estado, ","")&amp;IF(AND($I46="Otros",$J46=""),"detalle del motivo, ","")&amp;IF(AND($O46="Sí",$P46=""),"detalle del refuerzo, ","")&amp;IF(AND(OR($I46="Renuncia (hasta 30 nov)",$I46="Baja (desde 1 dic)",$I46="Renuncia excepcional (art. 25.3)",$I46="Traslado de expediente"),OR($E46="",$F46="",$G46="")),"quién deja la plaza, ","")&amp;IF(AND($Q46="No disponible",$R46=""),"vía de cobertura, ","")&amp;IF(AND(OR($R46="Lista de espera · propio centro",$R46="Traslado de expediente",$R46="Lista de espera · otro centro"),OR($S46="",$T46="",$U46="")),"quién ocupa la plaza, ","")</f>
      </c>
      <c r="AD46" s="24">
        <f>IF($D46="","",IF(AND(LEN($AC46)=0,LEN($AK46)=0),"Completa",IF(LEN($AC46)=0,"Revisar: "&amp;LEFT($AK46,LEN($AK46)-2),"Falta: "&amp;LEFT($AC46,LEN($AC46)-2)&amp;IF(LEN($AK46)&gt;0,"  ·  Revisar: "&amp;LEFT($AK46,LEN($AK46)-2),""))))</f>
      </c>
      <c r="AE46">
        <f>IF(AND($D46&lt;&gt;"",OR($I46="Renuncia (hasta 30 nov)",$I46="Baja (desde 1 dic)",$I46="Renuncia excepcional (art. 25.3)",$I46="Traslado de expediente")),COUNTIF($AE$1:AE45,"&gt;0")+1,"")</f>
      </c>
      <c r="AF46">
        <f>IF($Q46="Disponible",COUNTIF($AF$1:AF45,"&gt;0")+1,"")</f>
      </c>
      <c r="AG46">
        <f>IF($O46="Sí",COUNTIF($AG$1:AG45,"&gt;0")+1,"")</f>
      </c>
      <c r="AH46">
        <f>IF(AND($Q46="Disponible",$O46&lt;&gt;"Sí"),COUNTIF($AH$1:AH45,"&gt;0")+1,"")</f>
      </c>
      <c r="AI46">
        <f>IF(AND($Q46="Disponible",$K46&lt;&gt;""),COUNTIFS($K$2:K46,K46,$Q$2:Q46,"Disponible"),"")</f>
      </c>
      <c r="AJ46">
        <f>IF(AI46&lt;&gt;"",K46&amp;"|"&amp;AI46,"")</f>
      </c>
      <c r="AK46">
        <f>IF(AND($Q46="No disponible",OR($R46="Lista de espera · propio centro",$R46="Traslado de expediente",$R46="Lista de espera · otro centro"),$O46="Sí"),"la plaza ya tiene alumno y sigue marcada como refuerzo, ","")&amp;IF(AND($R46="Reconvertida en refuerzo",$O46&lt;&gt;"Sí"),"reconvertida en refuerzo pero sin marcar «En uso como refuerzo», ","")</f>
      </c>
    </row>
    <row r="47" spans="1:37">
      <c r="A47" s="20">
        <f>IF(D47&lt;&gt;"",ROW()-1,"")</f>
      </c>
      <c r="B47" s="55"/>
      <c r="C47" s="56"/>
      <c r="D47" s="56"/>
      <c r="E47" s="56"/>
      <c r="F47" s="56"/>
      <c r="G47" s="56"/>
      <c r="H47" s="56"/>
      <c r="I47" s="56"/>
      <c r="J47" s="57"/>
      <c r="K47" s="56"/>
      <c r="L47" s="58"/>
      <c r="M47" s="58">
        <f>IF(L47="","",L47)</f>
      </c>
      <c r="N47" s="56"/>
      <c r="O47" s="56"/>
      <c r="P47" s="57"/>
      <c r="Q47" s="56"/>
      <c r="R47" s="56"/>
      <c r="S47" s="56"/>
      <c r="T47" s="56"/>
      <c r="U47" s="56"/>
      <c r="V47" s="57"/>
      <c r="W47">
        <f>IF(Q47="Disponible",COUNTIFS($D$2:D47,D47,$Q$2:Q47,"Disponible"),"")</f>
      </c>
      <c r="X47">
        <f>IF(W47&lt;&gt;"",D47&amp;"|"&amp;W47,"")</f>
      </c>
      <c r="Y47">
        <f>IF(X47&lt;&gt;"",IF(K47&lt;&gt;"",K47&amp;" ("&amp;M47&amp;")",M47),"")</f>
      </c>
      <c r="Z47">
        <f>IF(O47="Sí",COUNTIFS($D$2:D47,D47,$O$2:O47,"Sí"),"")</f>
      </c>
      <c r="AA47">
        <f>IF(Z47&lt;&gt;"",D47&amp;"|"&amp;Z47,"")</f>
      </c>
      <c r="AB47">
        <f>IF(AA47&lt;&gt;"",IF(K47&lt;&gt;"",K47&amp;" ("&amp;M47&amp;")",M47),"")</f>
      </c>
      <c r="AC47">
        <f>IF($B47="","fecha, ","")&amp;IF($C47="","quién lo introduce, ","")&amp;IF($I47="","motivo, ","")&amp;IF($K47="","docente, ","")&amp;IF($L47="","horario, ","")&amp;IF($N47="","duración, ","")&amp;IF($Q47="","estado, ","")&amp;IF(AND($I47="Otros",$J47=""),"detalle del motivo, ","")&amp;IF(AND($O47="Sí",$P47=""),"detalle del refuerzo, ","")&amp;IF(AND(OR($I47="Renuncia (hasta 30 nov)",$I47="Baja (desde 1 dic)",$I47="Renuncia excepcional (art. 25.3)",$I47="Traslado de expediente"),OR($E47="",$F47="",$G47="")),"quién deja la plaza, ","")&amp;IF(AND($Q47="No disponible",$R47=""),"vía de cobertura, ","")&amp;IF(AND(OR($R47="Lista de espera · propio centro",$R47="Traslado de expediente",$R47="Lista de espera · otro centro"),OR($S47="",$T47="",$U47="")),"quién ocupa la plaza, ","")</f>
      </c>
      <c r="AD47" s="24">
        <f>IF($D47="","",IF(AND(LEN($AC47)=0,LEN($AK47)=0),"Completa",IF(LEN($AC47)=0,"Revisar: "&amp;LEFT($AK47,LEN($AK47)-2),"Falta: "&amp;LEFT($AC47,LEN($AC47)-2)&amp;IF(LEN($AK47)&gt;0,"  ·  Revisar: "&amp;LEFT($AK47,LEN($AK47)-2),""))))</f>
      </c>
      <c r="AE47">
        <f>IF(AND($D47&lt;&gt;"",OR($I47="Renuncia (hasta 30 nov)",$I47="Baja (desde 1 dic)",$I47="Renuncia excepcional (art. 25.3)",$I47="Traslado de expediente")),COUNTIF($AE$1:AE46,"&gt;0")+1,"")</f>
      </c>
      <c r="AF47">
        <f>IF($Q47="Disponible",COUNTIF($AF$1:AF46,"&gt;0")+1,"")</f>
      </c>
      <c r="AG47">
        <f>IF($O47="Sí",COUNTIF($AG$1:AG46,"&gt;0")+1,"")</f>
      </c>
      <c r="AH47">
        <f>IF(AND($Q47="Disponible",$O47&lt;&gt;"Sí"),COUNTIF($AH$1:AH46,"&gt;0")+1,"")</f>
      </c>
      <c r="AI47">
        <f>IF(AND($Q47="Disponible",$K47&lt;&gt;""),COUNTIFS($K$2:K47,K47,$Q$2:Q47,"Disponible"),"")</f>
      </c>
      <c r="AJ47">
        <f>IF(AI47&lt;&gt;"",K47&amp;"|"&amp;AI47,"")</f>
      </c>
      <c r="AK47">
        <f>IF(AND($Q47="No disponible",OR($R47="Lista de espera · propio centro",$R47="Traslado de expediente",$R47="Lista de espera · otro centro"),$O47="Sí"),"la plaza ya tiene alumno y sigue marcada como refuerzo, ","")&amp;IF(AND($R47="Reconvertida en refuerzo",$O47&lt;&gt;"Sí"),"reconvertida en refuerzo pero sin marcar «En uso como refuerzo», ","")</f>
      </c>
    </row>
    <row r="48" spans="1:37">
      <c r="A48" s="20">
        <f>IF(D48&lt;&gt;"",ROW()-1,"")</f>
      </c>
      <c r="B48" s="55"/>
      <c r="C48" s="56"/>
      <c r="D48" s="56"/>
      <c r="E48" s="56"/>
      <c r="F48" s="56"/>
      <c r="G48" s="56"/>
      <c r="H48" s="56"/>
      <c r="I48" s="56"/>
      <c r="J48" s="57"/>
      <c r="K48" s="56"/>
      <c r="L48" s="58"/>
      <c r="M48" s="58">
        <f>IF(L48="","",L48)</f>
      </c>
      <c r="N48" s="56"/>
      <c r="O48" s="56"/>
      <c r="P48" s="57"/>
      <c r="Q48" s="56"/>
      <c r="R48" s="56"/>
      <c r="S48" s="56"/>
      <c r="T48" s="56"/>
      <c r="U48" s="56"/>
      <c r="V48" s="57"/>
      <c r="W48">
        <f>IF(Q48="Disponible",COUNTIFS($D$2:D48,D48,$Q$2:Q48,"Disponible"),"")</f>
      </c>
      <c r="X48">
        <f>IF(W48&lt;&gt;"",D48&amp;"|"&amp;W48,"")</f>
      </c>
      <c r="Y48">
        <f>IF(X48&lt;&gt;"",IF(K48&lt;&gt;"",K48&amp;" ("&amp;M48&amp;")",M48),"")</f>
      </c>
      <c r="Z48">
        <f>IF(O48="Sí",COUNTIFS($D$2:D48,D48,$O$2:O48,"Sí"),"")</f>
      </c>
      <c r="AA48">
        <f>IF(Z48&lt;&gt;"",D48&amp;"|"&amp;Z48,"")</f>
      </c>
      <c r="AB48">
        <f>IF(AA48&lt;&gt;"",IF(K48&lt;&gt;"",K48&amp;" ("&amp;M48&amp;")",M48),"")</f>
      </c>
      <c r="AC48">
        <f>IF($B48="","fecha, ","")&amp;IF($C48="","quién lo introduce, ","")&amp;IF($I48="","motivo, ","")&amp;IF($K48="","docente, ","")&amp;IF($L48="","horario, ","")&amp;IF($N48="","duración, ","")&amp;IF($Q48="","estado, ","")&amp;IF(AND($I48="Otros",$J48=""),"detalle del motivo, ","")&amp;IF(AND($O48="Sí",$P48=""),"detalle del refuerzo, ","")&amp;IF(AND(OR($I48="Renuncia (hasta 30 nov)",$I48="Baja (desde 1 dic)",$I48="Renuncia excepcional (art. 25.3)",$I48="Traslado de expediente"),OR($E48="",$F48="",$G48="")),"quién deja la plaza, ","")&amp;IF(AND($Q48="No disponible",$R48=""),"vía de cobertura, ","")&amp;IF(AND(OR($R48="Lista de espera · propio centro",$R48="Traslado de expediente",$R48="Lista de espera · otro centro"),OR($S48="",$T48="",$U48="")),"quién ocupa la plaza, ","")</f>
      </c>
      <c r="AD48" s="24">
        <f>IF($D48="","",IF(AND(LEN($AC48)=0,LEN($AK48)=0),"Completa",IF(LEN($AC48)=0,"Revisar: "&amp;LEFT($AK48,LEN($AK48)-2),"Falta: "&amp;LEFT($AC48,LEN($AC48)-2)&amp;IF(LEN($AK48)&gt;0,"  ·  Revisar: "&amp;LEFT($AK48,LEN($AK48)-2),""))))</f>
      </c>
      <c r="AE48">
        <f>IF(AND($D48&lt;&gt;"",OR($I48="Renuncia (hasta 30 nov)",$I48="Baja (desde 1 dic)",$I48="Renuncia excepcional (art. 25.3)",$I48="Traslado de expediente")),COUNTIF($AE$1:AE47,"&gt;0")+1,"")</f>
      </c>
      <c r="AF48">
        <f>IF($Q48="Disponible",COUNTIF($AF$1:AF47,"&gt;0")+1,"")</f>
      </c>
      <c r="AG48">
        <f>IF($O48="Sí",COUNTIF($AG$1:AG47,"&gt;0")+1,"")</f>
      </c>
      <c r="AH48">
        <f>IF(AND($Q48="Disponible",$O48&lt;&gt;"Sí"),COUNTIF($AH$1:AH47,"&gt;0")+1,"")</f>
      </c>
      <c r="AI48">
        <f>IF(AND($Q48="Disponible",$K48&lt;&gt;""),COUNTIFS($K$2:K48,K48,$Q$2:Q48,"Disponible"),"")</f>
      </c>
      <c r="AJ48">
        <f>IF(AI48&lt;&gt;"",K48&amp;"|"&amp;AI48,"")</f>
      </c>
      <c r="AK48">
        <f>IF(AND($Q48="No disponible",OR($R48="Lista de espera · propio centro",$R48="Traslado de expediente",$R48="Lista de espera · otro centro"),$O48="Sí"),"la plaza ya tiene alumno y sigue marcada como refuerzo, ","")&amp;IF(AND($R48="Reconvertida en refuerzo",$O48&lt;&gt;"Sí"),"reconvertida en refuerzo pero sin marcar «En uso como refuerzo», ","")</f>
      </c>
    </row>
    <row r="49" spans="1:37">
      <c r="A49" s="20">
        <f>IF(D49&lt;&gt;"",ROW()-1,"")</f>
      </c>
      <c r="B49" s="55"/>
      <c r="C49" s="56"/>
      <c r="D49" s="56"/>
      <c r="E49" s="56"/>
      <c r="F49" s="56"/>
      <c r="G49" s="56"/>
      <c r="H49" s="56"/>
      <c r="I49" s="56"/>
      <c r="J49" s="57"/>
      <c r="K49" s="56"/>
      <c r="L49" s="58"/>
      <c r="M49" s="58">
        <f>IF(L49="","",L49)</f>
      </c>
      <c r="N49" s="56"/>
      <c r="O49" s="56"/>
      <c r="P49" s="57"/>
      <c r="Q49" s="56"/>
      <c r="R49" s="56"/>
      <c r="S49" s="56"/>
      <c r="T49" s="56"/>
      <c r="U49" s="56"/>
      <c r="V49" s="57"/>
      <c r="W49">
        <f>IF(Q49="Disponible",COUNTIFS($D$2:D49,D49,$Q$2:Q49,"Disponible"),"")</f>
      </c>
      <c r="X49">
        <f>IF(W49&lt;&gt;"",D49&amp;"|"&amp;W49,"")</f>
      </c>
      <c r="Y49">
        <f>IF(X49&lt;&gt;"",IF(K49&lt;&gt;"",K49&amp;" ("&amp;M49&amp;")",M49),"")</f>
      </c>
      <c r="Z49">
        <f>IF(O49="Sí",COUNTIFS($D$2:D49,D49,$O$2:O49,"Sí"),"")</f>
      </c>
      <c r="AA49">
        <f>IF(Z49&lt;&gt;"",D49&amp;"|"&amp;Z49,"")</f>
      </c>
      <c r="AB49">
        <f>IF(AA49&lt;&gt;"",IF(K49&lt;&gt;"",K49&amp;" ("&amp;M49&amp;")",M49),"")</f>
      </c>
      <c r="AC49">
        <f>IF($B49="","fecha, ","")&amp;IF($C49="","quién lo introduce, ","")&amp;IF($I49="","motivo, ","")&amp;IF($K49="","docente, ","")&amp;IF($L49="","horario, ","")&amp;IF($N49="","duración, ","")&amp;IF($Q49="","estado, ","")&amp;IF(AND($I49="Otros",$J49=""),"detalle del motivo, ","")&amp;IF(AND($O49="Sí",$P49=""),"detalle del refuerzo, ","")&amp;IF(AND(OR($I49="Renuncia (hasta 30 nov)",$I49="Baja (desde 1 dic)",$I49="Renuncia excepcional (art. 25.3)",$I49="Traslado de expediente"),OR($E49="",$F49="",$G49="")),"quién deja la plaza, ","")&amp;IF(AND($Q49="No disponible",$R49=""),"vía de cobertura, ","")&amp;IF(AND(OR($R49="Lista de espera · propio centro",$R49="Traslado de expediente",$R49="Lista de espera · otro centro"),OR($S49="",$T49="",$U49="")),"quién ocupa la plaza, ","")</f>
      </c>
      <c r="AD49" s="24">
        <f>IF($D49="","",IF(AND(LEN($AC49)=0,LEN($AK49)=0),"Completa",IF(LEN($AC49)=0,"Revisar: "&amp;LEFT($AK49,LEN($AK49)-2),"Falta: "&amp;LEFT($AC49,LEN($AC49)-2)&amp;IF(LEN($AK49)&gt;0,"  ·  Revisar: "&amp;LEFT($AK49,LEN($AK49)-2),""))))</f>
      </c>
      <c r="AE49">
        <f>IF(AND($D49&lt;&gt;"",OR($I49="Renuncia (hasta 30 nov)",$I49="Baja (desde 1 dic)",$I49="Renuncia excepcional (art. 25.3)",$I49="Traslado de expediente")),COUNTIF($AE$1:AE48,"&gt;0")+1,"")</f>
      </c>
      <c r="AF49">
        <f>IF($Q49="Disponible",COUNTIF($AF$1:AF48,"&gt;0")+1,"")</f>
      </c>
      <c r="AG49">
        <f>IF($O49="Sí",COUNTIF($AG$1:AG48,"&gt;0")+1,"")</f>
      </c>
      <c r="AH49">
        <f>IF(AND($Q49="Disponible",$O49&lt;&gt;"Sí"),COUNTIF($AH$1:AH48,"&gt;0")+1,"")</f>
      </c>
      <c r="AI49">
        <f>IF(AND($Q49="Disponible",$K49&lt;&gt;""),COUNTIFS($K$2:K49,K49,$Q$2:Q49,"Disponible"),"")</f>
      </c>
      <c r="AJ49">
        <f>IF(AI49&lt;&gt;"",K49&amp;"|"&amp;AI49,"")</f>
      </c>
      <c r="AK49">
        <f>IF(AND($Q49="No disponible",OR($R49="Lista de espera · propio centro",$R49="Traslado de expediente",$R49="Lista de espera · otro centro"),$O49="Sí"),"la plaza ya tiene alumno y sigue marcada como refuerzo, ","")&amp;IF(AND($R49="Reconvertida en refuerzo",$O49&lt;&gt;"Sí"),"reconvertida en refuerzo pero sin marcar «En uso como refuerzo», ","")</f>
      </c>
    </row>
    <row r="50" spans="1:37">
      <c r="A50" s="20">
        <f>IF(D50&lt;&gt;"",ROW()-1,"")</f>
      </c>
      <c r="B50" s="55"/>
      <c r="C50" s="56"/>
      <c r="D50" s="56"/>
      <c r="E50" s="56"/>
      <c r="F50" s="56"/>
      <c r="G50" s="56"/>
      <c r="H50" s="56"/>
      <c r="I50" s="56"/>
      <c r="J50" s="57"/>
      <c r="K50" s="56"/>
      <c r="L50" s="58"/>
      <c r="M50" s="58">
        <f>IF(L50="","",L50)</f>
      </c>
      <c r="N50" s="56"/>
      <c r="O50" s="56"/>
      <c r="P50" s="57"/>
      <c r="Q50" s="56"/>
      <c r="R50" s="56"/>
      <c r="S50" s="56"/>
      <c r="T50" s="56"/>
      <c r="U50" s="56"/>
      <c r="V50" s="57"/>
      <c r="W50">
        <f>IF(Q50="Disponible",COUNTIFS($D$2:D50,D50,$Q$2:Q50,"Disponible"),"")</f>
      </c>
      <c r="X50">
        <f>IF(W50&lt;&gt;"",D50&amp;"|"&amp;W50,"")</f>
      </c>
      <c r="Y50">
        <f>IF(X50&lt;&gt;"",IF(K50&lt;&gt;"",K50&amp;" ("&amp;M50&amp;")",M50),"")</f>
      </c>
      <c r="Z50">
        <f>IF(O50="Sí",COUNTIFS($D$2:D50,D50,$O$2:O50,"Sí"),"")</f>
      </c>
      <c r="AA50">
        <f>IF(Z50&lt;&gt;"",D50&amp;"|"&amp;Z50,"")</f>
      </c>
      <c r="AB50">
        <f>IF(AA50&lt;&gt;"",IF(K50&lt;&gt;"",K50&amp;" ("&amp;M50&amp;")",M50),"")</f>
      </c>
      <c r="AC50">
        <f>IF($B50="","fecha, ","")&amp;IF($C50="","quién lo introduce, ","")&amp;IF($I50="","motivo, ","")&amp;IF($K50="","docente, ","")&amp;IF($L50="","horario, ","")&amp;IF($N50="","duración, ","")&amp;IF($Q50="","estado, ","")&amp;IF(AND($I50="Otros",$J50=""),"detalle del motivo, ","")&amp;IF(AND($O50="Sí",$P50=""),"detalle del refuerzo, ","")&amp;IF(AND(OR($I50="Renuncia (hasta 30 nov)",$I50="Baja (desde 1 dic)",$I50="Renuncia excepcional (art. 25.3)",$I50="Traslado de expediente"),OR($E50="",$F50="",$G50="")),"quién deja la plaza, ","")&amp;IF(AND($Q50="No disponible",$R50=""),"vía de cobertura, ","")&amp;IF(AND(OR($R50="Lista de espera · propio centro",$R50="Traslado de expediente",$R50="Lista de espera · otro centro"),OR($S50="",$T50="",$U50="")),"quién ocupa la plaza, ","")</f>
      </c>
      <c r="AD50" s="24">
        <f>IF($D50="","",IF(AND(LEN($AC50)=0,LEN($AK50)=0),"Completa",IF(LEN($AC50)=0,"Revisar: "&amp;LEFT($AK50,LEN($AK50)-2),"Falta: "&amp;LEFT($AC50,LEN($AC50)-2)&amp;IF(LEN($AK50)&gt;0,"  ·  Revisar: "&amp;LEFT($AK50,LEN($AK50)-2),""))))</f>
      </c>
      <c r="AE50">
        <f>IF(AND($D50&lt;&gt;"",OR($I50="Renuncia (hasta 30 nov)",$I50="Baja (desde 1 dic)",$I50="Renuncia excepcional (art. 25.3)",$I50="Traslado de expediente")),COUNTIF($AE$1:AE49,"&gt;0")+1,"")</f>
      </c>
      <c r="AF50">
        <f>IF($Q50="Disponible",COUNTIF($AF$1:AF49,"&gt;0")+1,"")</f>
      </c>
      <c r="AG50">
        <f>IF($O50="Sí",COUNTIF($AG$1:AG49,"&gt;0")+1,"")</f>
      </c>
      <c r="AH50">
        <f>IF(AND($Q50="Disponible",$O50&lt;&gt;"Sí"),COUNTIF($AH$1:AH49,"&gt;0")+1,"")</f>
      </c>
      <c r="AI50">
        <f>IF(AND($Q50="Disponible",$K50&lt;&gt;""),COUNTIFS($K$2:K50,K50,$Q$2:Q50,"Disponible"),"")</f>
      </c>
      <c r="AJ50">
        <f>IF(AI50&lt;&gt;"",K50&amp;"|"&amp;AI50,"")</f>
      </c>
      <c r="AK50">
        <f>IF(AND($Q50="No disponible",OR($R50="Lista de espera · propio centro",$R50="Traslado de expediente",$R50="Lista de espera · otro centro"),$O50="Sí"),"la plaza ya tiene alumno y sigue marcada como refuerzo, ","")&amp;IF(AND($R50="Reconvertida en refuerzo",$O50&lt;&gt;"Sí"),"reconvertida en refuerzo pero sin marcar «En uso como refuerzo», ","")</f>
      </c>
    </row>
    <row r="51" spans="1:37">
      <c r="A51" s="20">
        <f>IF(D51&lt;&gt;"",ROW()-1,"")</f>
      </c>
      <c r="B51" s="55"/>
      <c r="C51" s="56"/>
      <c r="D51" s="56"/>
      <c r="E51" s="56"/>
      <c r="F51" s="56"/>
      <c r="G51" s="56"/>
      <c r="H51" s="56"/>
      <c r="I51" s="56"/>
      <c r="J51" s="57"/>
      <c r="K51" s="56"/>
      <c r="L51" s="58"/>
      <c r="M51" s="58">
        <f>IF(L51="","",L51)</f>
      </c>
      <c r="N51" s="56"/>
      <c r="O51" s="56"/>
      <c r="P51" s="57"/>
      <c r="Q51" s="56"/>
      <c r="R51" s="56"/>
      <c r="S51" s="56"/>
      <c r="T51" s="56"/>
      <c r="U51" s="56"/>
      <c r="V51" s="57"/>
      <c r="W51">
        <f>IF(Q51="Disponible",COUNTIFS($D$2:D51,D51,$Q$2:Q51,"Disponible"),"")</f>
      </c>
      <c r="X51">
        <f>IF(W51&lt;&gt;"",D51&amp;"|"&amp;W51,"")</f>
      </c>
      <c r="Y51">
        <f>IF(X51&lt;&gt;"",IF(K51&lt;&gt;"",K51&amp;" ("&amp;M51&amp;")",M51),"")</f>
      </c>
      <c r="Z51">
        <f>IF(O51="Sí",COUNTIFS($D$2:D51,D51,$O$2:O51,"Sí"),"")</f>
      </c>
      <c r="AA51">
        <f>IF(Z51&lt;&gt;"",D51&amp;"|"&amp;Z51,"")</f>
      </c>
      <c r="AB51">
        <f>IF(AA51&lt;&gt;"",IF(K51&lt;&gt;"",K51&amp;" ("&amp;M51&amp;")",M51),"")</f>
      </c>
      <c r="AC51">
        <f>IF($B51="","fecha, ","")&amp;IF($C51="","quién lo introduce, ","")&amp;IF($I51="","motivo, ","")&amp;IF($K51="","docente, ","")&amp;IF($L51="","horario, ","")&amp;IF($N51="","duración, ","")&amp;IF($Q51="","estado, ","")&amp;IF(AND($I51="Otros",$J51=""),"detalle del motivo, ","")&amp;IF(AND($O51="Sí",$P51=""),"detalle del refuerzo, ","")&amp;IF(AND(OR($I51="Renuncia (hasta 30 nov)",$I51="Baja (desde 1 dic)",$I51="Renuncia excepcional (art. 25.3)",$I51="Traslado de expediente"),OR($E51="",$F51="",$G51="")),"quién deja la plaza, ","")&amp;IF(AND($Q51="No disponible",$R51=""),"vía de cobertura, ","")&amp;IF(AND(OR($R51="Lista de espera · propio centro",$R51="Traslado de expediente",$R51="Lista de espera · otro centro"),OR($S51="",$T51="",$U51="")),"quién ocupa la plaza, ","")</f>
      </c>
      <c r="AD51" s="24">
        <f>IF($D51="","",IF(AND(LEN($AC51)=0,LEN($AK51)=0),"Completa",IF(LEN($AC51)=0,"Revisar: "&amp;LEFT($AK51,LEN($AK51)-2),"Falta: "&amp;LEFT($AC51,LEN($AC51)-2)&amp;IF(LEN($AK51)&gt;0,"  ·  Revisar: "&amp;LEFT($AK51,LEN($AK51)-2),""))))</f>
      </c>
      <c r="AE51">
        <f>IF(AND($D51&lt;&gt;"",OR($I51="Renuncia (hasta 30 nov)",$I51="Baja (desde 1 dic)",$I51="Renuncia excepcional (art. 25.3)",$I51="Traslado de expediente")),COUNTIF($AE$1:AE50,"&gt;0")+1,"")</f>
      </c>
      <c r="AF51">
        <f>IF($Q51="Disponible",COUNTIF($AF$1:AF50,"&gt;0")+1,"")</f>
      </c>
      <c r="AG51">
        <f>IF($O51="Sí",COUNTIF($AG$1:AG50,"&gt;0")+1,"")</f>
      </c>
      <c r="AH51">
        <f>IF(AND($Q51="Disponible",$O51&lt;&gt;"Sí"),COUNTIF($AH$1:AH50,"&gt;0")+1,"")</f>
      </c>
      <c r="AI51">
        <f>IF(AND($Q51="Disponible",$K51&lt;&gt;""),COUNTIFS($K$2:K51,K51,$Q$2:Q51,"Disponible"),"")</f>
      </c>
      <c r="AJ51">
        <f>IF(AI51&lt;&gt;"",K51&amp;"|"&amp;AI51,"")</f>
      </c>
      <c r="AK51">
        <f>IF(AND($Q51="No disponible",OR($R51="Lista de espera · propio centro",$R51="Traslado de expediente",$R51="Lista de espera · otro centro"),$O51="Sí"),"la plaza ya tiene alumno y sigue marcada como refuerzo, ","")&amp;IF(AND($R51="Reconvertida en refuerzo",$O51&lt;&gt;"Sí"),"reconvertida en refuerzo pero sin marcar «En uso como refuerzo», ","")</f>
      </c>
    </row>
    <row r="52" spans="1:37">
      <c r="A52" s="20">
        <f>IF(D52&lt;&gt;"",ROW()-1,"")</f>
      </c>
      <c r="B52" s="55"/>
      <c r="C52" s="56"/>
      <c r="D52" s="56"/>
      <c r="E52" s="56"/>
      <c r="F52" s="56"/>
      <c r="G52" s="56"/>
      <c r="H52" s="56"/>
      <c r="I52" s="56"/>
      <c r="J52" s="57"/>
      <c r="K52" s="56"/>
      <c r="L52" s="58"/>
      <c r="M52" s="58">
        <f>IF(L52="","",L52)</f>
      </c>
      <c r="N52" s="56"/>
      <c r="O52" s="56"/>
      <c r="P52" s="57"/>
      <c r="Q52" s="56"/>
      <c r="R52" s="56"/>
      <c r="S52" s="56"/>
      <c r="T52" s="56"/>
      <c r="U52" s="56"/>
      <c r="V52" s="57"/>
      <c r="W52">
        <f>IF(Q52="Disponible",COUNTIFS($D$2:D52,D52,$Q$2:Q52,"Disponible"),"")</f>
      </c>
      <c r="X52">
        <f>IF(W52&lt;&gt;"",D52&amp;"|"&amp;W52,"")</f>
      </c>
      <c r="Y52">
        <f>IF(X52&lt;&gt;"",IF(K52&lt;&gt;"",K52&amp;" ("&amp;M52&amp;")",M52),"")</f>
      </c>
      <c r="Z52">
        <f>IF(O52="Sí",COUNTIFS($D$2:D52,D52,$O$2:O52,"Sí"),"")</f>
      </c>
      <c r="AA52">
        <f>IF(Z52&lt;&gt;"",D52&amp;"|"&amp;Z52,"")</f>
      </c>
      <c r="AB52">
        <f>IF(AA52&lt;&gt;"",IF(K52&lt;&gt;"",K52&amp;" ("&amp;M52&amp;")",M52),"")</f>
      </c>
      <c r="AC52">
        <f>IF($B52="","fecha, ","")&amp;IF($C52="","quién lo introduce, ","")&amp;IF($I52="","motivo, ","")&amp;IF($K52="","docente, ","")&amp;IF($L52="","horario, ","")&amp;IF($N52="","duración, ","")&amp;IF($Q52="","estado, ","")&amp;IF(AND($I52="Otros",$J52=""),"detalle del motivo, ","")&amp;IF(AND($O52="Sí",$P52=""),"detalle del refuerzo, ","")&amp;IF(AND(OR($I52="Renuncia (hasta 30 nov)",$I52="Baja (desde 1 dic)",$I52="Renuncia excepcional (art. 25.3)",$I52="Traslado de expediente"),OR($E52="",$F52="",$G52="")),"quién deja la plaza, ","")&amp;IF(AND($Q52="No disponible",$R52=""),"vía de cobertura, ","")&amp;IF(AND(OR($R52="Lista de espera · propio centro",$R52="Traslado de expediente",$R52="Lista de espera · otro centro"),OR($S52="",$T52="",$U52="")),"quién ocupa la plaza, ","")</f>
      </c>
      <c r="AD52" s="24">
        <f>IF($D52="","",IF(AND(LEN($AC52)=0,LEN($AK52)=0),"Completa",IF(LEN($AC52)=0,"Revisar: "&amp;LEFT($AK52,LEN($AK52)-2),"Falta: "&amp;LEFT($AC52,LEN($AC52)-2)&amp;IF(LEN($AK52)&gt;0,"  ·  Revisar: "&amp;LEFT($AK52,LEN($AK52)-2),""))))</f>
      </c>
      <c r="AE52">
        <f>IF(AND($D52&lt;&gt;"",OR($I52="Renuncia (hasta 30 nov)",$I52="Baja (desde 1 dic)",$I52="Renuncia excepcional (art. 25.3)",$I52="Traslado de expediente")),COUNTIF($AE$1:AE51,"&gt;0")+1,"")</f>
      </c>
      <c r="AF52">
        <f>IF($Q52="Disponible",COUNTIF($AF$1:AF51,"&gt;0")+1,"")</f>
      </c>
      <c r="AG52">
        <f>IF($O52="Sí",COUNTIF($AG$1:AG51,"&gt;0")+1,"")</f>
      </c>
      <c r="AH52">
        <f>IF(AND($Q52="Disponible",$O52&lt;&gt;"Sí"),COUNTIF($AH$1:AH51,"&gt;0")+1,"")</f>
      </c>
      <c r="AI52">
        <f>IF(AND($Q52="Disponible",$K52&lt;&gt;""),COUNTIFS($K$2:K52,K52,$Q$2:Q52,"Disponible"),"")</f>
      </c>
      <c r="AJ52">
        <f>IF(AI52&lt;&gt;"",K52&amp;"|"&amp;AI52,"")</f>
      </c>
      <c r="AK52">
        <f>IF(AND($Q52="No disponible",OR($R52="Lista de espera · propio centro",$R52="Traslado de expediente",$R52="Lista de espera · otro centro"),$O52="Sí"),"la plaza ya tiene alumno y sigue marcada como refuerzo, ","")&amp;IF(AND($R52="Reconvertida en refuerzo",$O52&lt;&gt;"Sí"),"reconvertida en refuerzo pero sin marcar «En uso como refuerzo», ","")</f>
      </c>
    </row>
    <row r="53" spans="1:37">
      <c r="A53" s="20">
        <f>IF(D53&lt;&gt;"",ROW()-1,"")</f>
      </c>
      <c r="B53" s="55"/>
      <c r="C53" s="56"/>
      <c r="D53" s="56"/>
      <c r="E53" s="56"/>
      <c r="F53" s="56"/>
      <c r="G53" s="56"/>
      <c r="H53" s="56"/>
      <c r="I53" s="56"/>
      <c r="J53" s="57"/>
      <c r="K53" s="56"/>
      <c r="L53" s="58"/>
      <c r="M53" s="58">
        <f>IF(L53="","",L53)</f>
      </c>
      <c r="N53" s="56"/>
      <c r="O53" s="56"/>
      <c r="P53" s="57"/>
      <c r="Q53" s="56"/>
      <c r="R53" s="56"/>
      <c r="S53" s="56"/>
      <c r="T53" s="56"/>
      <c r="U53" s="56"/>
      <c r="V53" s="57"/>
      <c r="W53">
        <f>IF(Q53="Disponible",COUNTIFS($D$2:D53,D53,$Q$2:Q53,"Disponible"),"")</f>
      </c>
      <c r="X53">
        <f>IF(W53&lt;&gt;"",D53&amp;"|"&amp;W53,"")</f>
      </c>
      <c r="Y53">
        <f>IF(X53&lt;&gt;"",IF(K53&lt;&gt;"",K53&amp;" ("&amp;M53&amp;")",M53),"")</f>
      </c>
      <c r="Z53">
        <f>IF(O53="Sí",COUNTIFS($D$2:D53,D53,$O$2:O53,"Sí"),"")</f>
      </c>
      <c r="AA53">
        <f>IF(Z53&lt;&gt;"",D53&amp;"|"&amp;Z53,"")</f>
      </c>
      <c r="AB53">
        <f>IF(AA53&lt;&gt;"",IF(K53&lt;&gt;"",K53&amp;" ("&amp;M53&amp;")",M53),"")</f>
      </c>
      <c r="AC53">
        <f>IF($B53="","fecha, ","")&amp;IF($C53="","quién lo introduce, ","")&amp;IF($I53="","motivo, ","")&amp;IF($K53="","docente, ","")&amp;IF($L53="","horario, ","")&amp;IF($N53="","duración, ","")&amp;IF($Q53="","estado, ","")&amp;IF(AND($I53="Otros",$J53=""),"detalle del motivo, ","")&amp;IF(AND($O53="Sí",$P53=""),"detalle del refuerzo, ","")&amp;IF(AND(OR($I53="Renuncia (hasta 30 nov)",$I53="Baja (desde 1 dic)",$I53="Renuncia excepcional (art. 25.3)",$I53="Traslado de expediente"),OR($E53="",$F53="",$G53="")),"quién deja la plaza, ","")&amp;IF(AND($Q53="No disponible",$R53=""),"vía de cobertura, ","")&amp;IF(AND(OR($R53="Lista de espera · propio centro",$R53="Traslado de expediente",$R53="Lista de espera · otro centro"),OR($S53="",$T53="",$U53="")),"quién ocupa la plaza, ","")</f>
      </c>
      <c r="AD53" s="24">
        <f>IF($D53="","",IF(AND(LEN($AC53)=0,LEN($AK53)=0),"Completa",IF(LEN($AC53)=0,"Revisar: "&amp;LEFT($AK53,LEN($AK53)-2),"Falta: "&amp;LEFT($AC53,LEN($AC53)-2)&amp;IF(LEN($AK53)&gt;0,"  ·  Revisar: "&amp;LEFT($AK53,LEN($AK53)-2),""))))</f>
      </c>
      <c r="AE53">
        <f>IF(AND($D53&lt;&gt;"",OR($I53="Renuncia (hasta 30 nov)",$I53="Baja (desde 1 dic)",$I53="Renuncia excepcional (art. 25.3)",$I53="Traslado de expediente")),COUNTIF($AE$1:AE52,"&gt;0")+1,"")</f>
      </c>
      <c r="AF53">
        <f>IF($Q53="Disponible",COUNTIF($AF$1:AF52,"&gt;0")+1,"")</f>
      </c>
      <c r="AG53">
        <f>IF($O53="Sí",COUNTIF($AG$1:AG52,"&gt;0")+1,"")</f>
      </c>
      <c r="AH53">
        <f>IF(AND($Q53="Disponible",$O53&lt;&gt;"Sí"),COUNTIF($AH$1:AH52,"&gt;0")+1,"")</f>
      </c>
      <c r="AI53">
        <f>IF(AND($Q53="Disponible",$K53&lt;&gt;""),COUNTIFS($K$2:K53,K53,$Q$2:Q53,"Disponible"),"")</f>
      </c>
      <c r="AJ53">
        <f>IF(AI53&lt;&gt;"",K53&amp;"|"&amp;AI53,"")</f>
      </c>
      <c r="AK53">
        <f>IF(AND($Q53="No disponible",OR($R53="Lista de espera · propio centro",$R53="Traslado de expediente",$R53="Lista de espera · otro centro"),$O53="Sí"),"la plaza ya tiene alumno y sigue marcada como refuerzo, ","")&amp;IF(AND($R53="Reconvertida en refuerzo",$O53&lt;&gt;"Sí"),"reconvertida en refuerzo pero sin marcar «En uso como refuerzo», ","")</f>
      </c>
    </row>
    <row r="54" spans="1:37">
      <c r="A54" s="20">
        <f>IF(D54&lt;&gt;"",ROW()-1,"")</f>
      </c>
      <c r="B54" s="55"/>
      <c r="C54" s="56"/>
      <c r="D54" s="56"/>
      <c r="E54" s="56"/>
      <c r="F54" s="56"/>
      <c r="G54" s="56"/>
      <c r="H54" s="56"/>
      <c r="I54" s="56"/>
      <c r="J54" s="57"/>
      <c r="K54" s="56"/>
      <c r="L54" s="58"/>
      <c r="M54" s="58">
        <f>IF(L54="","",L54)</f>
      </c>
      <c r="N54" s="56"/>
      <c r="O54" s="56"/>
      <c r="P54" s="57"/>
      <c r="Q54" s="56"/>
      <c r="R54" s="56"/>
      <c r="S54" s="56"/>
      <c r="T54" s="56"/>
      <c r="U54" s="56"/>
      <c r="V54" s="57"/>
      <c r="W54">
        <f>IF(Q54="Disponible",COUNTIFS($D$2:D54,D54,$Q$2:Q54,"Disponible"),"")</f>
      </c>
      <c r="X54">
        <f>IF(W54&lt;&gt;"",D54&amp;"|"&amp;W54,"")</f>
      </c>
      <c r="Y54">
        <f>IF(X54&lt;&gt;"",IF(K54&lt;&gt;"",K54&amp;" ("&amp;M54&amp;")",M54),"")</f>
      </c>
      <c r="Z54">
        <f>IF(O54="Sí",COUNTIFS($D$2:D54,D54,$O$2:O54,"Sí"),"")</f>
      </c>
      <c r="AA54">
        <f>IF(Z54&lt;&gt;"",D54&amp;"|"&amp;Z54,"")</f>
      </c>
      <c r="AB54">
        <f>IF(AA54&lt;&gt;"",IF(K54&lt;&gt;"",K54&amp;" ("&amp;M54&amp;")",M54),"")</f>
      </c>
      <c r="AC54">
        <f>IF($B54="","fecha, ","")&amp;IF($C54="","quién lo introduce, ","")&amp;IF($I54="","motivo, ","")&amp;IF($K54="","docente, ","")&amp;IF($L54="","horario, ","")&amp;IF($N54="","duración, ","")&amp;IF($Q54="","estado, ","")&amp;IF(AND($I54="Otros",$J54=""),"detalle del motivo, ","")&amp;IF(AND($O54="Sí",$P54=""),"detalle del refuerzo, ","")&amp;IF(AND(OR($I54="Renuncia (hasta 30 nov)",$I54="Baja (desde 1 dic)",$I54="Renuncia excepcional (art. 25.3)",$I54="Traslado de expediente"),OR($E54="",$F54="",$G54="")),"quién deja la plaza, ","")&amp;IF(AND($Q54="No disponible",$R54=""),"vía de cobertura, ","")&amp;IF(AND(OR($R54="Lista de espera · propio centro",$R54="Traslado de expediente",$R54="Lista de espera · otro centro"),OR($S54="",$T54="",$U54="")),"quién ocupa la plaza, ","")</f>
      </c>
      <c r="AD54" s="24">
        <f>IF($D54="","",IF(AND(LEN($AC54)=0,LEN($AK54)=0),"Completa",IF(LEN($AC54)=0,"Revisar: "&amp;LEFT($AK54,LEN($AK54)-2),"Falta: "&amp;LEFT($AC54,LEN($AC54)-2)&amp;IF(LEN($AK54)&gt;0,"  ·  Revisar: "&amp;LEFT($AK54,LEN($AK54)-2),""))))</f>
      </c>
      <c r="AE54">
        <f>IF(AND($D54&lt;&gt;"",OR($I54="Renuncia (hasta 30 nov)",$I54="Baja (desde 1 dic)",$I54="Renuncia excepcional (art. 25.3)",$I54="Traslado de expediente")),COUNTIF($AE$1:AE53,"&gt;0")+1,"")</f>
      </c>
      <c r="AF54">
        <f>IF($Q54="Disponible",COUNTIF($AF$1:AF53,"&gt;0")+1,"")</f>
      </c>
      <c r="AG54">
        <f>IF($O54="Sí",COUNTIF($AG$1:AG53,"&gt;0")+1,"")</f>
      </c>
      <c r="AH54">
        <f>IF(AND($Q54="Disponible",$O54&lt;&gt;"Sí"),COUNTIF($AH$1:AH53,"&gt;0")+1,"")</f>
      </c>
      <c r="AI54">
        <f>IF(AND($Q54="Disponible",$K54&lt;&gt;""),COUNTIFS($K$2:K54,K54,$Q$2:Q54,"Disponible"),"")</f>
      </c>
      <c r="AJ54">
        <f>IF(AI54&lt;&gt;"",K54&amp;"|"&amp;AI54,"")</f>
      </c>
      <c r="AK54">
        <f>IF(AND($Q54="No disponible",OR($R54="Lista de espera · propio centro",$R54="Traslado de expediente",$R54="Lista de espera · otro centro"),$O54="Sí"),"la plaza ya tiene alumno y sigue marcada como refuerzo, ","")&amp;IF(AND($R54="Reconvertida en refuerzo",$O54&lt;&gt;"Sí"),"reconvertida en refuerzo pero sin marcar «En uso como refuerzo», ","")</f>
      </c>
    </row>
    <row r="55" spans="1:37">
      <c r="A55" s="20">
        <f>IF(D55&lt;&gt;"",ROW()-1,"")</f>
      </c>
      <c r="B55" s="55"/>
      <c r="C55" s="56"/>
      <c r="D55" s="56"/>
      <c r="E55" s="56"/>
      <c r="F55" s="56"/>
      <c r="G55" s="56"/>
      <c r="H55" s="56"/>
      <c r="I55" s="56"/>
      <c r="J55" s="57"/>
      <c r="K55" s="56"/>
      <c r="L55" s="58"/>
      <c r="M55" s="58">
        <f>IF(L55="","",L55)</f>
      </c>
      <c r="N55" s="56"/>
      <c r="O55" s="56"/>
      <c r="P55" s="57"/>
      <c r="Q55" s="56"/>
      <c r="R55" s="56"/>
      <c r="S55" s="56"/>
      <c r="T55" s="56"/>
      <c r="U55" s="56"/>
      <c r="V55" s="57"/>
      <c r="W55">
        <f>IF(Q55="Disponible",COUNTIFS($D$2:D55,D55,$Q$2:Q55,"Disponible"),"")</f>
      </c>
      <c r="X55">
        <f>IF(W55&lt;&gt;"",D55&amp;"|"&amp;W55,"")</f>
      </c>
      <c r="Y55">
        <f>IF(X55&lt;&gt;"",IF(K55&lt;&gt;"",K55&amp;" ("&amp;M55&amp;")",M55),"")</f>
      </c>
      <c r="Z55">
        <f>IF(O55="Sí",COUNTIFS($D$2:D55,D55,$O$2:O55,"Sí"),"")</f>
      </c>
      <c r="AA55">
        <f>IF(Z55&lt;&gt;"",D55&amp;"|"&amp;Z55,"")</f>
      </c>
      <c r="AB55">
        <f>IF(AA55&lt;&gt;"",IF(K55&lt;&gt;"",K55&amp;" ("&amp;M55&amp;")",M55),"")</f>
      </c>
      <c r="AC55">
        <f>IF($B55="","fecha, ","")&amp;IF($C55="","quién lo introduce, ","")&amp;IF($I55="","motivo, ","")&amp;IF($K55="","docente, ","")&amp;IF($L55="","horario, ","")&amp;IF($N55="","duración, ","")&amp;IF($Q55="","estado, ","")&amp;IF(AND($I55="Otros",$J55=""),"detalle del motivo, ","")&amp;IF(AND($O55="Sí",$P55=""),"detalle del refuerzo, ","")&amp;IF(AND(OR($I55="Renuncia (hasta 30 nov)",$I55="Baja (desde 1 dic)",$I55="Renuncia excepcional (art. 25.3)",$I55="Traslado de expediente"),OR($E55="",$F55="",$G55="")),"quién deja la plaza, ","")&amp;IF(AND($Q55="No disponible",$R55=""),"vía de cobertura, ","")&amp;IF(AND(OR($R55="Lista de espera · propio centro",$R55="Traslado de expediente",$R55="Lista de espera · otro centro"),OR($S55="",$T55="",$U55="")),"quién ocupa la plaza, ","")</f>
      </c>
      <c r="AD55" s="24">
        <f>IF($D55="","",IF(AND(LEN($AC55)=0,LEN($AK55)=0),"Completa",IF(LEN($AC55)=0,"Revisar: "&amp;LEFT($AK55,LEN($AK55)-2),"Falta: "&amp;LEFT($AC55,LEN($AC55)-2)&amp;IF(LEN($AK55)&gt;0,"  ·  Revisar: "&amp;LEFT($AK55,LEN($AK55)-2),""))))</f>
      </c>
      <c r="AE55">
        <f>IF(AND($D55&lt;&gt;"",OR($I55="Renuncia (hasta 30 nov)",$I55="Baja (desde 1 dic)",$I55="Renuncia excepcional (art. 25.3)",$I55="Traslado de expediente")),COUNTIF($AE$1:AE54,"&gt;0")+1,"")</f>
      </c>
      <c r="AF55">
        <f>IF($Q55="Disponible",COUNTIF($AF$1:AF54,"&gt;0")+1,"")</f>
      </c>
      <c r="AG55">
        <f>IF($O55="Sí",COUNTIF($AG$1:AG54,"&gt;0")+1,"")</f>
      </c>
      <c r="AH55">
        <f>IF(AND($Q55="Disponible",$O55&lt;&gt;"Sí"),COUNTIF($AH$1:AH54,"&gt;0")+1,"")</f>
      </c>
      <c r="AI55">
        <f>IF(AND($Q55="Disponible",$K55&lt;&gt;""),COUNTIFS($K$2:K55,K55,$Q$2:Q55,"Disponible"),"")</f>
      </c>
      <c r="AJ55">
        <f>IF(AI55&lt;&gt;"",K55&amp;"|"&amp;AI55,"")</f>
      </c>
      <c r="AK55">
        <f>IF(AND($Q55="No disponible",OR($R55="Lista de espera · propio centro",$R55="Traslado de expediente",$R55="Lista de espera · otro centro"),$O55="Sí"),"la plaza ya tiene alumno y sigue marcada como refuerzo, ","")&amp;IF(AND($R55="Reconvertida en refuerzo",$O55&lt;&gt;"Sí"),"reconvertida en refuerzo pero sin marcar «En uso como refuerzo», ","")</f>
      </c>
    </row>
    <row r="56" spans="1:37">
      <c r="A56" s="20">
        <f>IF(D56&lt;&gt;"",ROW()-1,"")</f>
      </c>
      <c r="B56" s="55"/>
      <c r="C56" s="56"/>
      <c r="D56" s="56"/>
      <c r="E56" s="56"/>
      <c r="F56" s="56"/>
      <c r="G56" s="56"/>
      <c r="H56" s="56"/>
      <c r="I56" s="56"/>
      <c r="J56" s="57"/>
      <c r="K56" s="56"/>
      <c r="L56" s="58"/>
      <c r="M56" s="58">
        <f>IF(L56="","",L56)</f>
      </c>
      <c r="N56" s="56"/>
      <c r="O56" s="56"/>
      <c r="P56" s="57"/>
      <c r="Q56" s="56"/>
      <c r="R56" s="56"/>
      <c r="S56" s="56"/>
      <c r="T56" s="56"/>
      <c r="U56" s="56"/>
      <c r="V56" s="57"/>
      <c r="W56">
        <f>IF(Q56="Disponible",COUNTIFS($D$2:D56,D56,$Q$2:Q56,"Disponible"),"")</f>
      </c>
      <c r="X56">
        <f>IF(W56&lt;&gt;"",D56&amp;"|"&amp;W56,"")</f>
      </c>
      <c r="Y56">
        <f>IF(X56&lt;&gt;"",IF(K56&lt;&gt;"",K56&amp;" ("&amp;M56&amp;")",M56),"")</f>
      </c>
      <c r="Z56">
        <f>IF(O56="Sí",COUNTIFS($D$2:D56,D56,$O$2:O56,"Sí"),"")</f>
      </c>
      <c r="AA56">
        <f>IF(Z56&lt;&gt;"",D56&amp;"|"&amp;Z56,"")</f>
      </c>
      <c r="AB56">
        <f>IF(AA56&lt;&gt;"",IF(K56&lt;&gt;"",K56&amp;" ("&amp;M56&amp;")",M56),"")</f>
      </c>
      <c r="AC56">
        <f>IF($B56="","fecha, ","")&amp;IF($C56="","quién lo introduce, ","")&amp;IF($I56="","motivo, ","")&amp;IF($K56="","docente, ","")&amp;IF($L56="","horario, ","")&amp;IF($N56="","duración, ","")&amp;IF($Q56="","estado, ","")&amp;IF(AND($I56="Otros",$J56=""),"detalle del motivo, ","")&amp;IF(AND($O56="Sí",$P56=""),"detalle del refuerzo, ","")&amp;IF(AND(OR($I56="Renuncia (hasta 30 nov)",$I56="Baja (desde 1 dic)",$I56="Renuncia excepcional (art. 25.3)",$I56="Traslado de expediente"),OR($E56="",$F56="",$G56="")),"quién deja la plaza, ","")&amp;IF(AND($Q56="No disponible",$R56=""),"vía de cobertura, ","")&amp;IF(AND(OR($R56="Lista de espera · propio centro",$R56="Traslado de expediente",$R56="Lista de espera · otro centro"),OR($S56="",$T56="",$U56="")),"quién ocupa la plaza, ","")</f>
      </c>
      <c r="AD56" s="24">
        <f>IF($D56="","",IF(AND(LEN($AC56)=0,LEN($AK56)=0),"Completa",IF(LEN($AC56)=0,"Revisar: "&amp;LEFT($AK56,LEN($AK56)-2),"Falta: "&amp;LEFT($AC56,LEN($AC56)-2)&amp;IF(LEN($AK56)&gt;0,"  ·  Revisar: "&amp;LEFT($AK56,LEN($AK56)-2),""))))</f>
      </c>
      <c r="AE56">
        <f>IF(AND($D56&lt;&gt;"",OR($I56="Renuncia (hasta 30 nov)",$I56="Baja (desde 1 dic)",$I56="Renuncia excepcional (art. 25.3)",$I56="Traslado de expediente")),COUNTIF($AE$1:AE55,"&gt;0")+1,"")</f>
      </c>
      <c r="AF56">
        <f>IF($Q56="Disponible",COUNTIF($AF$1:AF55,"&gt;0")+1,"")</f>
      </c>
      <c r="AG56">
        <f>IF($O56="Sí",COUNTIF($AG$1:AG55,"&gt;0")+1,"")</f>
      </c>
      <c r="AH56">
        <f>IF(AND($Q56="Disponible",$O56&lt;&gt;"Sí"),COUNTIF($AH$1:AH55,"&gt;0")+1,"")</f>
      </c>
      <c r="AI56">
        <f>IF(AND($Q56="Disponible",$K56&lt;&gt;""),COUNTIFS($K$2:K56,K56,$Q$2:Q56,"Disponible"),"")</f>
      </c>
      <c r="AJ56">
        <f>IF(AI56&lt;&gt;"",K56&amp;"|"&amp;AI56,"")</f>
      </c>
      <c r="AK56">
        <f>IF(AND($Q56="No disponible",OR($R56="Lista de espera · propio centro",$R56="Traslado de expediente",$R56="Lista de espera · otro centro"),$O56="Sí"),"la plaza ya tiene alumno y sigue marcada como refuerzo, ","")&amp;IF(AND($R56="Reconvertida en refuerzo",$O56&lt;&gt;"Sí"),"reconvertida en refuerzo pero sin marcar «En uso como refuerzo», ","")</f>
      </c>
    </row>
    <row r="57" spans="1:37">
      <c r="A57" s="20">
        <f>IF(D57&lt;&gt;"",ROW()-1,"")</f>
      </c>
      <c r="B57" s="55"/>
      <c r="C57" s="56"/>
      <c r="D57" s="56"/>
      <c r="E57" s="56"/>
      <c r="F57" s="56"/>
      <c r="G57" s="56"/>
      <c r="H57" s="56"/>
      <c r="I57" s="56"/>
      <c r="J57" s="57"/>
      <c r="K57" s="56"/>
      <c r="L57" s="58"/>
      <c r="M57" s="58">
        <f>IF(L57="","",L57)</f>
      </c>
      <c r="N57" s="56"/>
      <c r="O57" s="56"/>
      <c r="P57" s="57"/>
      <c r="Q57" s="56"/>
      <c r="R57" s="56"/>
      <c r="S57" s="56"/>
      <c r="T57" s="56"/>
      <c r="U57" s="56"/>
      <c r="V57" s="57"/>
      <c r="W57">
        <f>IF(Q57="Disponible",COUNTIFS($D$2:D57,D57,$Q$2:Q57,"Disponible"),"")</f>
      </c>
      <c r="X57">
        <f>IF(W57&lt;&gt;"",D57&amp;"|"&amp;W57,"")</f>
      </c>
      <c r="Y57">
        <f>IF(X57&lt;&gt;"",IF(K57&lt;&gt;"",K57&amp;" ("&amp;M57&amp;")",M57),"")</f>
      </c>
      <c r="Z57">
        <f>IF(O57="Sí",COUNTIFS($D$2:D57,D57,$O$2:O57,"Sí"),"")</f>
      </c>
      <c r="AA57">
        <f>IF(Z57&lt;&gt;"",D57&amp;"|"&amp;Z57,"")</f>
      </c>
      <c r="AB57">
        <f>IF(AA57&lt;&gt;"",IF(K57&lt;&gt;"",K57&amp;" ("&amp;M57&amp;")",M57),"")</f>
      </c>
      <c r="AC57">
        <f>IF($B57="","fecha, ","")&amp;IF($C57="","quién lo introduce, ","")&amp;IF($I57="","motivo, ","")&amp;IF($K57="","docente, ","")&amp;IF($L57="","horario, ","")&amp;IF($N57="","duración, ","")&amp;IF($Q57="","estado, ","")&amp;IF(AND($I57="Otros",$J57=""),"detalle del motivo, ","")&amp;IF(AND($O57="Sí",$P57=""),"detalle del refuerzo, ","")&amp;IF(AND(OR($I57="Renuncia (hasta 30 nov)",$I57="Baja (desde 1 dic)",$I57="Renuncia excepcional (art. 25.3)",$I57="Traslado de expediente"),OR($E57="",$F57="",$G57="")),"quién deja la plaza, ","")&amp;IF(AND($Q57="No disponible",$R57=""),"vía de cobertura, ","")&amp;IF(AND(OR($R57="Lista de espera · propio centro",$R57="Traslado de expediente",$R57="Lista de espera · otro centro"),OR($S57="",$T57="",$U57="")),"quién ocupa la plaza, ","")</f>
      </c>
      <c r="AD57" s="24">
        <f>IF($D57="","",IF(AND(LEN($AC57)=0,LEN($AK57)=0),"Completa",IF(LEN($AC57)=0,"Revisar: "&amp;LEFT($AK57,LEN($AK57)-2),"Falta: "&amp;LEFT($AC57,LEN($AC57)-2)&amp;IF(LEN($AK57)&gt;0,"  ·  Revisar: "&amp;LEFT($AK57,LEN($AK57)-2),""))))</f>
      </c>
      <c r="AE57">
        <f>IF(AND($D57&lt;&gt;"",OR($I57="Renuncia (hasta 30 nov)",$I57="Baja (desde 1 dic)",$I57="Renuncia excepcional (art. 25.3)",$I57="Traslado de expediente")),COUNTIF($AE$1:AE56,"&gt;0")+1,"")</f>
      </c>
      <c r="AF57">
        <f>IF($Q57="Disponible",COUNTIF($AF$1:AF56,"&gt;0")+1,"")</f>
      </c>
      <c r="AG57">
        <f>IF($O57="Sí",COUNTIF($AG$1:AG56,"&gt;0")+1,"")</f>
      </c>
      <c r="AH57">
        <f>IF(AND($Q57="Disponible",$O57&lt;&gt;"Sí"),COUNTIF($AH$1:AH56,"&gt;0")+1,"")</f>
      </c>
      <c r="AI57">
        <f>IF(AND($Q57="Disponible",$K57&lt;&gt;""),COUNTIFS($K$2:K57,K57,$Q$2:Q57,"Disponible"),"")</f>
      </c>
      <c r="AJ57">
        <f>IF(AI57&lt;&gt;"",K57&amp;"|"&amp;AI57,"")</f>
      </c>
      <c r="AK57">
        <f>IF(AND($Q57="No disponible",OR($R57="Lista de espera · propio centro",$R57="Traslado de expediente",$R57="Lista de espera · otro centro"),$O57="Sí"),"la plaza ya tiene alumno y sigue marcada como refuerzo, ","")&amp;IF(AND($R57="Reconvertida en refuerzo",$O57&lt;&gt;"Sí"),"reconvertida en refuerzo pero sin marcar «En uso como refuerzo», ","")</f>
      </c>
    </row>
    <row r="58" spans="1:37">
      <c r="A58" s="20">
        <f>IF(D58&lt;&gt;"",ROW()-1,"")</f>
      </c>
      <c r="B58" s="55"/>
      <c r="C58" s="56"/>
      <c r="D58" s="56"/>
      <c r="E58" s="56"/>
      <c r="F58" s="56"/>
      <c r="G58" s="56"/>
      <c r="H58" s="56"/>
      <c r="I58" s="56"/>
      <c r="J58" s="57"/>
      <c r="K58" s="56"/>
      <c r="L58" s="58"/>
      <c r="M58" s="58">
        <f>IF(L58="","",L58)</f>
      </c>
      <c r="N58" s="56"/>
      <c r="O58" s="56"/>
      <c r="P58" s="57"/>
      <c r="Q58" s="56"/>
      <c r="R58" s="56"/>
      <c r="S58" s="56"/>
      <c r="T58" s="56"/>
      <c r="U58" s="56"/>
      <c r="V58" s="57"/>
      <c r="W58">
        <f>IF(Q58="Disponible",COUNTIFS($D$2:D58,D58,$Q$2:Q58,"Disponible"),"")</f>
      </c>
      <c r="X58">
        <f>IF(W58&lt;&gt;"",D58&amp;"|"&amp;W58,"")</f>
      </c>
      <c r="Y58">
        <f>IF(X58&lt;&gt;"",IF(K58&lt;&gt;"",K58&amp;" ("&amp;M58&amp;")",M58),"")</f>
      </c>
      <c r="Z58">
        <f>IF(O58="Sí",COUNTIFS($D$2:D58,D58,$O$2:O58,"Sí"),"")</f>
      </c>
      <c r="AA58">
        <f>IF(Z58&lt;&gt;"",D58&amp;"|"&amp;Z58,"")</f>
      </c>
      <c r="AB58">
        <f>IF(AA58&lt;&gt;"",IF(K58&lt;&gt;"",K58&amp;" ("&amp;M58&amp;")",M58),"")</f>
      </c>
      <c r="AC58">
        <f>IF($B58="","fecha, ","")&amp;IF($C58="","quién lo introduce, ","")&amp;IF($I58="","motivo, ","")&amp;IF($K58="","docente, ","")&amp;IF($L58="","horario, ","")&amp;IF($N58="","duración, ","")&amp;IF($Q58="","estado, ","")&amp;IF(AND($I58="Otros",$J58=""),"detalle del motivo, ","")&amp;IF(AND($O58="Sí",$P58=""),"detalle del refuerzo, ","")&amp;IF(AND(OR($I58="Renuncia (hasta 30 nov)",$I58="Baja (desde 1 dic)",$I58="Renuncia excepcional (art. 25.3)",$I58="Traslado de expediente"),OR($E58="",$F58="",$G58="")),"quién deja la plaza, ","")&amp;IF(AND($Q58="No disponible",$R58=""),"vía de cobertura, ","")&amp;IF(AND(OR($R58="Lista de espera · propio centro",$R58="Traslado de expediente",$R58="Lista de espera · otro centro"),OR($S58="",$T58="",$U58="")),"quién ocupa la plaza, ","")</f>
      </c>
      <c r="AD58" s="24">
        <f>IF($D58="","",IF(AND(LEN($AC58)=0,LEN($AK58)=0),"Completa",IF(LEN($AC58)=0,"Revisar: "&amp;LEFT($AK58,LEN($AK58)-2),"Falta: "&amp;LEFT($AC58,LEN($AC58)-2)&amp;IF(LEN($AK58)&gt;0,"  ·  Revisar: "&amp;LEFT($AK58,LEN($AK58)-2),""))))</f>
      </c>
      <c r="AE58">
        <f>IF(AND($D58&lt;&gt;"",OR($I58="Renuncia (hasta 30 nov)",$I58="Baja (desde 1 dic)",$I58="Renuncia excepcional (art. 25.3)",$I58="Traslado de expediente")),COUNTIF($AE$1:AE57,"&gt;0")+1,"")</f>
      </c>
      <c r="AF58">
        <f>IF($Q58="Disponible",COUNTIF($AF$1:AF57,"&gt;0")+1,"")</f>
      </c>
      <c r="AG58">
        <f>IF($O58="Sí",COUNTIF($AG$1:AG57,"&gt;0")+1,"")</f>
      </c>
      <c r="AH58">
        <f>IF(AND($Q58="Disponible",$O58&lt;&gt;"Sí"),COUNTIF($AH$1:AH57,"&gt;0")+1,"")</f>
      </c>
      <c r="AI58">
        <f>IF(AND($Q58="Disponible",$K58&lt;&gt;""),COUNTIFS($K$2:K58,K58,$Q$2:Q58,"Disponible"),"")</f>
      </c>
      <c r="AJ58">
        <f>IF(AI58&lt;&gt;"",K58&amp;"|"&amp;AI58,"")</f>
      </c>
      <c r="AK58">
        <f>IF(AND($Q58="No disponible",OR($R58="Lista de espera · propio centro",$R58="Traslado de expediente",$R58="Lista de espera · otro centro"),$O58="Sí"),"la plaza ya tiene alumno y sigue marcada como refuerzo, ","")&amp;IF(AND($R58="Reconvertida en refuerzo",$O58&lt;&gt;"Sí"),"reconvertida en refuerzo pero sin marcar «En uso como refuerzo», ","")</f>
      </c>
    </row>
    <row r="59" spans="1:37">
      <c r="A59" s="20">
        <f>IF(D59&lt;&gt;"",ROW()-1,"")</f>
      </c>
      <c r="B59" s="55"/>
      <c r="C59" s="56"/>
      <c r="D59" s="56"/>
      <c r="E59" s="56"/>
      <c r="F59" s="56"/>
      <c r="G59" s="56"/>
      <c r="H59" s="56"/>
      <c r="I59" s="56"/>
      <c r="J59" s="57"/>
      <c r="K59" s="56"/>
      <c r="L59" s="58"/>
      <c r="M59" s="58">
        <f>IF(L59="","",L59)</f>
      </c>
      <c r="N59" s="56"/>
      <c r="O59" s="56"/>
      <c r="P59" s="57"/>
      <c r="Q59" s="56"/>
      <c r="R59" s="56"/>
      <c r="S59" s="56"/>
      <c r="T59" s="56"/>
      <c r="U59" s="56"/>
      <c r="V59" s="57"/>
      <c r="W59">
        <f>IF(Q59="Disponible",COUNTIFS($D$2:D59,D59,$Q$2:Q59,"Disponible"),"")</f>
      </c>
      <c r="X59">
        <f>IF(W59&lt;&gt;"",D59&amp;"|"&amp;W59,"")</f>
      </c>
      <c r="Y59">
        <f>IF(X59&lt;&gt;"",IF(K59&lt;&gt;"",K59&amp;" ("&amp;M59&amp;")",M59),"")</f>
      </c>
      <c r="Z59">
        <f>IF(O59="Sí",COUNTIFS($D$2:D59,D59,$O$2:O59,"Sí"),"")</f>
      </c>
      <c r="AA59">
        <f>IF(Z59&lt;&gt;"",D59&amp;"|"&amp;Z59,"")</f>
      </c>
      <c r="AB59">
        <f>IF(AA59&lt;&gt;"",IF(K59&lt;&gt;"",K59&amp;" ("&amp;M59&amp;")",M59),"")</f>
      </c>
      <c r="AC59">
        <f>IF($B59="","fecha, ","")&amp;IF($C59="","quién lo introduce, ","")&amp;IF($I59="","motivo, ","")&amp;IF($K59="","docente, ","")&amp;IF($L59="","horario, ","")&amp;IF($N59="","duración, ","")&amp;IF($Q59="","estado, ","")&amp;IF(AND($I59="Otros",$J59=""),"detalle del motivo, ","")&amp;IF(AND($O59="Sí",$P59=""),"detalle del refuerzo, ","")&amp;IF(AND(OR($I59="Renuncia (hasta 30 nov)",$I59="Baja (desde 1 dic)",$I59="Renuncia excepcional (art. 25.3)",$I59="Traslado de expediente"),OR($E59="",$F59="",$G59="")),"quién deja la plaza, ","")&amp;IF(AND($Q59="No disponible",$R59=""),"vía de cobertura, ","")&amp;IF(AND(OR($R59="Lista de espera · propio centro",$R59="Traslado de expediente",$R59="Lista de espera · otro centro"),OR($S59="",$T59="",$U59="")),"quién ocupa la plaza, ","")</f>
      </c>
      <c r="AD59" s="24">
        <f>IF($D59="","",IF(AND(LEN($AC59)=0,LEN($AK59)=0),"Completa",IF(LEN($AC59)=0,"Revisar: "&amp;LEFT($AK59,LEN($AK59)-2),"Falta: "&amp;LEFT($AC59,LEN($AC59)-2)&amp;IF(LEN($AK59)&gt;0,"  ·  Revisar: "&amp;LEFT($AK59,LEN($AK59)-2),""))))</f>
      </c>
      <c r="AE59">
        <f>IF(AND($D59&lt;&gt;"",OR($I59="Renuncia (hasta 30 nov)",$I59="Baja (desde 1 dic)",$I59="Renuncia excepcional (art. 25.3)",$I59="Traslado de expediente")),COUNTIF($AE$1:AE58,"&gt;0")+1,"")</f>
      </c>
      <c r="AF59">
        <f>IF($Q59="Disponible",COUNTIF($AF$1:AF58,"&gt;0")+1,"")</f>
      </c>
      <c r="AG59">
        <f>IF($O59="Sí",COUNTIF($AG$1:AG58,"&gt;0")+1,"")</f>
      </c>
      <c r="AH59">
        <f>IF(AND($Q59="Disponible",$O59&lt;&gt;"Sí"),COUNTIF($AH$1:AH58,"&gt;0")+1,"")</f>
      </c>
      <c r="AI59">
        <f>IF(AND($Q59="Disponible",$K59&lt;&gt;""),COUNTIFS($K$2:K59,K59,$Q$2:Q59,"Disponible"),"")</f>
      </c>
      <c r="AJ59">
        <f>IF(AI59&lt;&gt;"",K59&amp;"|"&amp;AI59,"")</f>
      </c>
      <c r="AK59">
        <f>IF(AND($Q59="No disponible",OR($R59="Lista de espera · propio centro",$R59="Traslado de expediente",$R59="Lista de espera · otro centro"),$O59="Sí"),"la plaza ya tiene alumno y sigue marcada como refuerzo, ","")&amp;IF(AND($R59="Reconvertida en refuerzo",$O59&lt;&gt;"Sí"),"reconvertida en refuerzo pero sin marcar «En uso como refuerzo», ","")</f>
      </c>
    </row>
    <row r="60" spans="1:37">
      <c r="A60" s="20">
        <f>IF(D60&lt;&gt;"",ROW()-1,"")</f>
      </c>
      <c r="B60" s="55"/>
      <c r="C60" s="56"/>
      <c r="D60" s="56"/>
      <c r="E60" s="56"/>
      <c r="F60" s="56"/>
      <c r="G60" s="56"/>
      <c r="H60" s="56"/>
      <c r="I60" s="56"/>
      <c r="J60" s="57"/>
      <c r="K60" s="56"/>
      <c r="L60" s="58"/>
      <c r="M60" s="58">
        <f>IF(L60="","",L60)</f>
      </c>
      <c r="N60" s="56"/>
      <c r="O60" s="56"/>
      <c r="P60" s="57"/>
      <c r="Q60" s="56"/>
      <c r="R60" s="56"/>
      <c r="S60" s="56"/>
      <c r="T60" s="56"/>
      <c r="U60" s="56"/>
      <c r="V60" s="57"/>
      <c r="W60">
        <f>IF(Q60="Disponible",COUNTIFS($D$2:D60,D60,$Q$2:Q60,"Disponible"),"")</f>
      </c>
      <c r="X60">
        <f>IF(W60&lt;&gt;"",D60&amp;"|"&amp;W60,"")</f>
      </c>
      <c r="Y60">
        <f>IF(X60&lt;&gt;"",IF(K60&lt;&gt;"",K60&amp;" ("&amp;M60&amp;")",M60),"")</f>
      </c>
      <c r="Z60">
        <f>IF(O60="Sí",COUNTIFS($D$2:D60,D60,$O$2:O60,"Sí"),"")</f>
      </c>
      <c r="AA60">
        <f>IF(Z60&lt;&gt;"",D60&amp;"|"&amp;Z60,"")</f>
      </c>
      <c r="AB60">
        <f>IF(AA60&lt;&gt;"",IF(K60&lt;&gt;"",K60&amp;" ("&amp;M60&amp;")",M60),"")</f>
      </c>
      <c r="AC60">
        <f>IF($B60="","fecha, ","")&amp;IF($C60="","quién lo introduce, ","")&amp;IF($I60="","motivo, ","")&amp;IF($K60="","docente, ","")&amp;IF($L60="","horario, ","")&amp;IF($N60="","duración, ","")&amp;IF($Q60="","estado, ","")&amp;IF(AND($I60="Otros",$J60=""),"detalle del motivo, ","")&amp;IF(AND($O60="Sí",$P60=""),"detalle del refuerzo, ","")&amp;IF(AND(OR($I60="Renuncia (hasta 30 nov)",$I60="Baja (desde 1 dic)",$I60="Renuncia excepcional (art. 25.3)",$I60="Traslado de expediente"),OR($E60="",$F60="",$G60="")),"quién deja la plaza, ","")&amp;IF(AND($Q60="No disponible",$R60=""),"vía de cobertura, ","")&amp;IF(AND(OR($R60="Lista de espera · propio centro",$R60="Traslado de expediente",$R60="Lista de espera · otro centro"),OR($S60="",$T60="",$U60="")),"quién ocupa la plaza, ","")</f>
      </c>
      <c r="AD60" s="24">
        <f>IF($D60="","",IF(AND(LEN($AC60)=0,LEN($AK60)=0),"Completa",IF(LEN($AC60)=0,"Revisar: "&amp;LEFT($AK60,LEN($AK60)-2),"Falta: "&amp;LEFT($AC60,LEN($AC60)-2)&amp;IF(LEN($AK60)&gt;0,"  ·  Revisar: "&amp;LEFT($AK60,LEN($AK60)-2),""))))</f>
      </c>
      <c r="AE60">
        <f>IF(AND($D60&lt;&gt;"",OR($I60="Renuncia (hasta 30 nov)",$I60="Baja (desde 1 dic)",$I60="Renuncia excepcional (art. 25.3)",$I60="Traslado de expediente")),COUNTIF($AE$1:AE59,"&gt;0")+1,"")</f>
      </c>
      <c r="AF60">
        <f>IF($Q60="Disponible",COUNTIF($AF$1:AF59,"&gt;0")+1,"")</f>
      </c>
      <c r="AG60">
        <f>IF($O60="Sí",COUNTIF($AG$1:AG59,"&gt;0")+1,"")</f>
      </c>
      <c r="AH60">
        <f>IF(AND($Q60="Disponible",$O60&lt;&gt;"Sí"),COUNTIF($AH$1:AH59,"&gt;0")+1,"")</f>
      </c>
      <c r="AI60">
        <f>IF(AND($Q60="Disponible",$K60&lt;&gt;""),COUNTIFS($K$2:K60,K60,$Q$2:Q60,"Disponible"),"")</f>
      </c>
      <c r="AJ60">
        <f>IF(AI60&lt;&gt;"",K60&amp;"|"&amp;AI60,"")</f>
      </c>
      <c r="AK60">
        <f>IF(AND($Q60="No disponible",OR($R60="Lista de espera · propio centro",$R60="Traslado de expediente",$R60="Lista de espera · otro centro"),$O60="Sí"),"la plaza ya tiene alumno y sigue marcada como refuerzo, ","")&amp;IF(AND($R60="Reconvertida en refuerzo",$O60&lt;&gt;"Sí"),"reconvertida en refuerzo pero sin marcar «En uso como refuerzo», ","")</f>
      </c>
    </row>
    <row r="61" spans="1:37">
      <c r="A61" s="20">
        <f>IF(D61&lt;&gt;"",ROW()-1,"")</f>
      </c>
      <c r="B61" s="55"/>
      <c r="C61" s="56"/>
      <c r="D61" s="56"/>
      <c r="E61" s="56"/>
      <c r="F61" s="56"/>
      <c r="G61" s="56"/>
      <c r="H61" s="56"/>
      <c r="I61" s="56"/>
      <c r="J61" s="57"/>
      <c r="K61" s="56"/>
      <c r="L61" s="58"/>
      <c r="M61" s="58">
        <f>IF(L61="","",L61)</f>
      </c>
      <c r="N61" s="56"/>
      <c r="O61" s="56"/>
      <c r="P61" s="57"/>
      <c r="Q61" s="56"/>
      <c r="R61" s="56"/>
      <c r="S61" s="56"/>
      <c r="T61" s="56"/>
      <c r="U61" s="56"/>
      <c r="V61" s="57"/>
      <c r="W61">
        <f>IF(Q61="Disponible",COUNTIFS($D$2:D61,D61,$Q$2:Q61,"Disponible"),"")</f>
      </c>
      <c r="X61">
        <f>IF(W61&lt;&gt;"",D61&amp;"|"&amp;W61,"")</f>
      </c>
      <c r="Y61">
        <f>IF(X61&lt;&gt;"",IF(K61&lt;&gt;"",K61&amp;" ("&amp;M61&amp;")",M61),"")</f>
      </c>
      <c r="Z61">
        <f>IF(O61="Sí",COUNTIFS($D$2:D61,D61,$O$2:O61,"Sí"),"")</f>
      </c>
      <c r="AA61">
        <f>IF(Z61&lt;&gt;"",D61&amp;"|"&amp;Z61,"")</f>
      </c>
      <c r="AB61">
        <f>IF(AA61&lt;&gt;"",IF(K61&lt;&gt;"",K61&amp;" ("&amp;M61&amp;")",M61),"")</f>
      </c>
      <c r="AC61">
        <f>IF($B61="","fecha, ","")&amp;IF($C61="","quién lo introduce, ","")&amp;IF($I61="","motivo, ","")&amp;IF($K61="","docente, ","")&amp;IF($L61="","horario, ","")&amp;IF($N61="","duración, ","")&amp;IF($Q61="","estado, ","")&amp;IF(AND($I61="Otros",$J61=""),"detalle del motivo, ","")&amp;IF(AND($O61="Sí",$P61=""),"detalle del refuerzo, ","")&amp;IF(AND(OR($I61="Renuncia (hasta 30 nov)",$I61="Baja (desde 1 dic)",$I61="Renuncia excepcional (art. 25.3)",$I61="Traslado de expediente"),OR($E61="",$F61="",$G61="")),"quién deja la plaza, ","")&amp;IF(AND($Q61="No disponible",$R61=""),"vía de cobertura, ","")&amp;IF(AND(OR($R61="Lista de espera · propio centro",$R61="Traslado de expediente",$R61="Lista de espera · otro centro"),OR($S61="",$T61="",$U61="")),"quién ocupa la plaza, ","")</f>
      </c>
      <c r="AD61" s="24">
        <f>IF($D61="","",IF(AND(LEN($AC61)=0,LEN($AK61)=0),"Completa",IF(LEN($AC61)=0,"Revisar: "&amp;LEFT($AK61,LEN($AK61)-2),"Falta: "&amp;LEFT($AC61,LEN($AC61)-2)&amp;IF(LEN($AK61)&gt;0,"  ·  Revisar: "&amp;LEFT($AK61,LEN($AK61)-2),""))))</f>
      </c>
      <c r="AE61">
        <f>IF(AND($D61&lt;&gt;"",OR($I61="Renuncia (hasta 30 nov)",$I61="Baja (desde 1 dic)",$I61="Renuncia excepcional (art. 25.3)",$I61="Traslado de expediente")),COUNTIF($AE$1:AE60,"&gt;0")+1,"")</f>
      </c>
      <c r="AF61">
        <f>IF($Q61="Disponible",COUNTIF($AF$1:AF60,"&gt;0")+1,"")</f>
      </c>
      <c r="AG61">
        <f>IF($O61="Sí",COUNTIF($AG$1:AG60,"&gt;0")+1,"")</f>
      </c>
      <c r="AH61">
        <f>IF(AND($Q61="Disponible",$O61&lt;&gt;"Sí"),COUNTIF($AH$1:AH60,"&gt;0")+1,"")</f>
      </c>
      <c r="AI61">
        <f>IF(AND($Q61="Disponible",$K61&lt;&gt;""),COUNTIFS($K$2:K61,K61,$Q$2:Q61,"Disponible"),"")</f>
      </c>
      <c r="AJ61">
        <f>IF(AI61&lt;&gt;"",K61&amp;"|"&amp;AI61,"")</f>
      </c>
      <c r="AK61">
        <f>IF(AND($Q61="No disponible",OR($R61="Lista de espera · propio centro",$R61="Traslado de expediente",$R61="Lista de espera · otro centro"),$O61="Sí"),"la plaza ya tiene alumno y sigue marcada como refuerzo, ","")&amp;IF(AND($R61="Reconvertida en refuerzo",$O61&lt;&gt;"Sí"),"reconvertida en refuerzo pero sin marcar «En uso como refuerzo», ","")</f>
      </c>
    </row>
    <row r="62" spans="1:37">
      <c r="A62" s="20">
        <f>IF(D62&lt;&gt;"",ROW()-1,"")</f>
      </c>
      <c r="B62" s="55"/>
      <c r="C62" s="56"/>
      <c r="D62" s="56"/>
      <c r="E62" s="56"/>
      <c r="F62" s="56"/>
      <c r="G62" s="56"/>
      <c r="H62" s="56"/>
      <c r="I62" s="56"/>
      <c r="J62" s="57"/>
      <c r="K62" s="56"/>
      <c r="L62" s="58"/>
      <c r="M62" s="58">
        <f>IF(L62="","",L62)</f>
      </c>
      <c r="N62" s="56"/>
      <c r="O62" s="56"/>
      <c r="P62" s="57"/>
      <c r="Q62" s="56"/>
      <c r="R62" s="56"/>
      <c r="S62" s="56"/>
      <c r="T62" s="56"/>
      <c r="U62" s="56"/>
      <c r="V62" s="57"/>
      <c r="W62">
        <f>IF(Q62="Disponible",COUNTIFS($D$2:D62,D62,$Q$2:Q62,"Disponible"),"")</f>
      </c>
      <c r="X62">
        <f>IF(W62&lt;&gt;"",D62&amp;"|"&amp;W62,"")</f>
      </c>
      <c r="Y62">
        <f>IF(X62&lt;&gt;"",IF(K62&lt;&gt;"",K62&amp;" ("&amp;M62&amp;")",M62),"")</f>
      </c>
      <c r="Z62">
        <f>IF(O62="Sí",COUNTIFS($D$2:D62,D62,$O$2:O62,"Sí"),"")</f>
      </c>
      <c r="AA62">
        <f>IF(Z62&lt;&gt;"",D62&amp;"|"&amp;Z62,"")</f>
      </c>
      <c r="AB62">
        <f>IF(AA62&lt;&gt;"",IF(K62&lt;&gt;"",K62&amp;" ("&amp;M62&amp;")",M62),"")</f>
      </c>
      <c r="AC62">
        <f>IF($B62="","fecha, ","")&amp;IF($C62="","quién lo introduce, ","")&amp;IF($I62="","motivo, ","")&amp;IF($K62="","docente, ","")&amp;IF($L62="","horario, ","")&amp;IF($N62="","duración, ","")&amp;IF($Q62="","estado, ","")&amp;IF(AND($I62="Otros",$J62=""),"detalle del motivo, ","")&amp;IF(AND($O62="Sí",$P62=""),"detalle del refuerzo, ","")&amp;IF(AND(OR($I62="Renuncia (hasta 30 nov)",$I62="Baja (desde 1 dic)",$I62="Renuncia excepcional (art. 25.3)",$I62="Traslado de expediente"),OR($E62="",$F62="",$G62="")),"quién deja la plaza, ","")&amp;IF(AND($Q62="No disponible",$R62=""),"vía de cobertura, ","")&amp;IF(AND(OR($R62="Lista de espera · propio centro",$R62="Traslado de expediente",$R62="Lista de espera · otro centro"),OR($S62="",$T62="",$U62="")),"quién ocupa la plaza, ","")</f>
      </c>
      <c r="AD62" s="24">
        <f>IF($D62="","",IF(AND(LEN($AC62)=0,LEN($AK62)=0),"Completa",IF(LEN($AC62)=0,"Revisar: "&amp;LEFT($AK62,LEN($AK62)-2),"Falta: "&amp;LEFT($AC62,LEN($AC62)-2)&amp;IF(LEN($AK62)&gt;0,"  ·  Revisar: "&amp;LEFT($AK62,LEN($AK62)-2),""))))</f>
      </c>
      <c r="AE62">
        <f>IF(AND($D62&lt;&gt;"",OR($I62="Renuncia (hasta 30 nov)",$I62="Baja (desde 1 dic)",$I62="Renuncia excepcional (art. 25.3)",$I62="Traslado de expediente")),COUNTIF($AE$1:AE61,"&gt;0")+1,"")</f>
      </c>
      <c r="AF62">
        <f>IF($Q62="Disponible",COUNTIF($AF$1:AF61,"&gt;0")+1,"")</f>
      </c>
      <c r="AG62">
        <f>IF($O62="Sí",COUNTIF($AG$1:AG61,"&gt;0")+1,"")</f>
      </c>
      <c r="AH62">
        <f>IF(AND($Q62="Disponible",$O62&lt;&gt;"Sí"),COUNTIF($AH$1:AH61,"&gt;0")+1,"")</f>
      </c>
      <c r="AI62">
        <f>IF(AND($Q62="Disponible",$K62&lt;&gt;""),COUNTIFS($K$2:K62,K62,$Q$2:Q62,"Disponible"),"")</f>
      </c>
      <c r="AJ62">
        <f>IF(AI62&lt;&gt;"",K62&amp;"|"&amp;AI62,"")</f>
      </c>
      <c r="AK62">
        <f>IF(AND($Q62="No disponible",OR($R62="Lista de espera · propio centro",$R62="Traslado de expediente",$R62="Lista de espera · otro centro"),$O62="Sí"),"la plaza ya tiene alumno y sigue marcada como refuerzo, ","")&amp;IF(AND($R62="Reconvertida en refuerzo",$O62&lt;&gt;"Sí"),"reconvertida en refuerzo pero sin marcar «En uso como refuerzo», ","")</f>
      </c>
    </row>
    <row r="63" spans="1:37">
      <c r="A63" s="20">
        <f>IF(D63&lt;&gt;"",ROW()-1,"")</f>
      </c>
      <c r="B63" s="55"/>
      <c r="C63" s="56"/>
      <c r="D63" s="56"/>
      <c r="E63" s="56"/>
      <c r="F63" s="56"/>
      <c r="G63" s="56"/>
      <c r="H63" s="56"/>
      <c r="I63" s="56"/>
      <c r="J63" s="57"/>
      <c r="K63" s="56"/>
      <c r="L63" s="58"/>
      <c r="M63" s="58">
        <f>IF(L63="","",L63)</f>
      </c>
      <c r="N63" s="56"/>
      <c r="O63" s="56"/>
      <c r="P63" s="57"/>
      <c r="Q63" s="56"/>
      <c r="R63" s="56"/>
      <c r="S63" s="56"/>
      <c r="T63" s="56"/>
      <c r="U63" s="56"/>
      <c r="V63" s="57"/>
      <c r="W63">
        <f>IF(Q63="Disponible",COUNTIFS($D$2:D63,D63,$Q$2:Q63,"Disponible"),"")</f>
      </c>
      <c r="X63">
        <f>IF(W63&lt;&gt;"",D63&amp;"|"&amp;W63,"")</f>
      </c>
      <c r="Y63">
        <f>IF(X63&lt;&gt;"",IF(K63&lt;&gt;"",K63&amp;" ("&amp;M63&amp;")",M63),"")</f>
      </c>
      <c r="Z63">
        <f>IF(O63="Sí",COUNTIFS($D$2:D63,D63,$O$2:O63,"Sí"),"")</f>
      </c>
      <c r="AA63">
        <f>IF(Z63&lt;&gt;"",D63&amp;"|"&amp;Z63,"")</f>
      </c>
      <c r="AB63">
        <f>IF(AA63&lt;&gt;"",IF(K63&lt;&gt;"",K63&amp;" ("&amp;M63&amp;")",M63),"")</f>
      </c>
      <c r="AC63">
        <f>IF($B63="","fecha, ","")&amp;IF($C63="","quién lo introduce, ","")&amp;IF($I63="","motivo, ","")&amp;IF($K63="","docente, ","")&amp;IF($L63="","horario, ","")&amp;IF($N63="","duración, ","")&amp;IF($Q63="","estado, ","")&amp;IF(AND($I63="Otros",$J63=""),"detalle del motivo, ","")&amp;IF(AND($O63="Sí",$P63=""),"detalle del refuerzo, ","")&amp;IF(AND(OR($I63="Renuncia (hasta 30 nov)",$I63="Baja (desde 1 dic)",$I63="Renuncia excepcional (art. 25.3)",$I63="Traslado de expediente"),OR($E63="",$F63="",$G63="")),"quién deja la plaza, ","")&amp;IF(AND($Q63="No disponible",$R63=""),"vía de cobertura, ","")&amp;IF(AND(OR($R63="Lista de espera · propio centro",$R63="Traslado de expediente",$R63="Lista de espera · otro centro"),OR($S63="",$T63="",$U63="")),"quién ocupa la plaza, ","")</f>
      </c>
      <c r="AD63" s="24">
        <f>IF($D63="","",IF(AND(LEN($AC63)=0,LEN($AK63)=0),"Completa",IF(LEN($AC63)=0,"Revisar: "&amp;LEFT($AK63,LEN($AK63)-2),"Falta: "&amp;LEFT($AC63,LEN($AC63)-2)&amp;IF(LEN($AK63)&gt;0,"  ·  Revisar: "&amp;LEFT($AK63,LEN($AK63)-2),""))))</f>
      </c>
      <c r="AE63">
        <f>IF(AND($D63&lt;&gt;"",OR($I63="Renuncia (hasta 30 nov)",$I63="Baja (desde 1 dic)",$I63="Renuncia excepcional (art. 25.3)",$I63="Traslado de expediente")),COUNTIF($AE$1:AE62,"&gt;0")+1,"")</f>
      </c>
      <c r="AF63">
        <f>IF($Q63="Disponible",COUNTIF($AF$1:AF62,"&gt;0")+1,"")</f>
      </c>
      <c r="AG63">
        <f>IF($O63="Sí",COUNTIF($AG$1:AG62,"&gt;0")+1,"")</f>
      </c>
      <c r="AH63">
        <f>IF(AND($Q63="Disponible",$O63&lt;&gt;"Sí"),COUNTIF($AH$1:AH62,"&gt;0")+1,"")</f>
      </c>
      <c r="AI63">
        <f>IF(AND($Q63="Disponible",$K63&lt;&gt;""),COUNTIFS($K$2:K63,K63,$Q$2:Q63,"Disponible"),"")</f>
      </c>
      <c r="AJ63">
        <f>IF(AI63&lt;&gt;"",K63&amp;"|"&amp;AI63,"")</f>
      </c>
      <c r="AK63">
        <f>IF(AND($Q63="No disponible",OR($R63="Lista de espera · propio centro",$R63="Traslado de expediente",$R63="Lista de espera · otro centro"),$O63="Sí"),"la plaza ya tiene alumno y sigue marcada como refuerzo, ","")&amp;IF(AND($R63="Reconvertida en refuerzo",$O63&lt;&gt;"Sí"),"reconvertida en refuerzo pero sin marcar «En uso como refuerzo», ","")</f>
      </c>
    </row>
    <row r="64" spans="1:37">
      <c r="A64" s="20">
        <f>IF(D64&lt;&gt;"",ROW()-1,"")</f>
      </c>
      <c r="B64" s="55"/>
      <c r="C64" s="56"/>
      <c r="D64" s="56"/>
      <c r="E64" s="56"/>
      <c r="F64" s="56"/>
      <c r="G64" s="56"/>
      <c r="H64" s="56"/>
      <c r="I64" s="56"/>
      <c r="J64" s="57"/>
      <c r="K64" s="56"/>
      <c r="L64" s="58"/>
      <c r="M64" s="58">
        <f>IF(L64="","",L64)</f>
      </c>
      <c r="N64" s="56"/>
      <c r="O64" s="56"/>
      <c r="P64" s="57"/>
      <c r="Q64" s="56"/>
      <c r="R64" s="56"/>
      <c r="S64" s="56"/>
      <c r="T64" s="56"/>
      <c r="U64" s="56"/>
      <c r="V64" s="57"/>
      <c r="W64">
        <f>IF(Q64="Disponible",COUNTIFS($D$2:D64,D64,$Q$2:Q64,"Disponible"),"")</f>
      </c>
      <c r="X64">
        <f>IF(W64&lt;&gt;"",D64&amp;"|"&amp;W64,"")</f>
      </c>
      <c r="Y64">
        <f>IF(X64&lt;&gt;"",IF(K64&lt;&gt;"",K64&amp;" ("&amp;M64&amp;")",M64),"")</f>
      </c>
      <c r="Z64">
        <f>IF(O64="Sí",COUNTIFS($D$2:D64,D64,$O$2:O64,"Sí"),"")</f>
      </c>
      <c r="AA64">
        <f>IF(Z64&lt;&gt;"",D64&amp;"|"&amp;Z64,"")</f>
      </c>
      <c r="AB64">
        <f>IF(AA64&lt;&gt;"",IF(K64&lt;&gt;"",K64&amp;" ("&amp;M64&amp;")",M64),"")</f>
      </c>
      <c r="AC64">
        <f>IF($B64="","fecha, ","")&amp;IF($C64="","quién lo introduce, ","")&amp;IF($I64="","motivo, ","")&amp;IF($K64="","docente, ","")&amp;IF($L64="","horario, ","")&amp;IF($N64="","duración, ","")&amp;IF($Q64="","estado, ","")&amp;IF(AND($I64="Otros",$J64=""),"detalle del motivo, ","")&amp;IF(AND($O64="Sí",$P64=""),"detalle del refuerzo, ","")&amp;IF(AND(OR($I64="Renuncia (hasta 30 nov)",$I64="Baja (desde 1 dic)",$I64="Renuncia excepcional (art. 25.3)",$I64="Traslado de expediente"),OR($E64="",$F64="",$G64="")),"quién deja la plaza, ","")&amp;IF(AND($Q64="No disponible",$R64=""),"vía de cobertura, ","")&amp;IF(AND(OR($R64="Lista de espera · propio centro",$R64="Traslado de expediente",$R64="Lista de espera · otro centro"),OR($S64="",$T64="",$U64="")),"quién ocupa la plaza, ","")</f>
      </c>
      <c r="AD64" s="24">
        <f>IF($D64="","",IF(AND(LEN($AC64)=0,LEN($AK64)=0),"Completa",IF(LEN($AC64)=0,"Revisar: "&amp;LEFT($AK64,LEN($AK64)-2),"Falta: "&amp;LEFT($AC64,LEN($AC64)-2)&amp;IF(LEN($AK64)&gt;0,"  ·  Revisar: "&amp;LEFT($AK64,LEN($AK64)-2),""))))</f>
      </c>
      <c r="AE64">
        <f>IF(AND($D64&lt;&gt;"",OR($I64="Renuncia (hasta 30 nov)",$I64="Baja (desde 1 dic)",$I64="Renuncia excepcional (art. 25.3)",$I64="Traslado de expediente")),COUNTIF($AE$1:AE63,"&gt;0")+1,"")</f>
      </c>
      <c r="AF64">
        <f>IF($Q64="Disponible",COUNTIF($AF$1:AF63,"&gt;0")+1,"")</f>
      </c>
      <c r="AG64">
        <f>IF($O64="Sí",COUNTIF($AG$1:AG63,"&gt;0")+1,"")</f>
      </c>
      <c r="AH64">
        <f>IF(AND($Q64="Disponible",$O64&lt;&gt;"Sí"),COUNTIF($AH$1:AH63,"&gt;0")+1,"")</f>
      </c>
      <c r="AI64">
        <f>IF(AND($Q64="Disponible",$K64&lt;&gt;""),COUNTIFS($K$2:K64,K64,$Q$2:Q64,"Disponible"),"")</f>
      </c>
      <c r="AJ64">
        <f>IF(AI64&lt;&gt;"",K64&amp;"|"&amp;AI64,"")</f>
      </c>
      <c r="AK64">
        <f>IF(AND($Q64="No disponible",OR($R64="Lista de espera · propio centro",$R64="Traslado de expediente",$R64="Lista de espera · otro centro"),$O64="Sí"),"la plaza ya tiene alumno y sigue marcada como refuerzo, ","")&amp;IF(AND($R64="Reconvertida en refuerzo",$O64&lt;&gt;"Sí"),"reconvertida en refuerzo pero sin marcar «En uso como refuerzo», ","")</f>
      </c>
    </row>
    <row r="65" spans="1:37">
      <c r="A65" s="20">
        <f>IF(D65&lt;&gt;"",ROW()-1,"")</f>
      </c>
      <c r="B65" s="55"/>
      <c r="C65" s="56"/>
      <c r="D65" s="56"/>
      <c r="E65" s="56"/>
      <c r="F65" s="56"/>
      <c r="G65" s="56"/>
      <c r="H65" s="56"/>
      <c r="I65" s="56"/>
      <c r="J65" s="57"/>
      <c r="K65" s="56"/>
      <c r="L65" s="58"/>
      <c r="M65" s="58">
        <f>IF(L65="","",L65)</f>
      </c>
      <c r="N65" s="56"/>
      <c r="O65" s="56"/>
      <c r="P65" s="57"/>
      <c r="Q65" s="56"/>
      <c r="R65" s="56"/>
      <c r="S65" s="56"/>
      <c r="T65" s="56"/>
      <c r="U65" s="56"/>
      <c r="V65" s="57"/>
      <c r="W65">
        <f>IF(Q65="Disponible",COUNTIFS($D$2:D65,D65,$Q$2:Q65,"Disponible"),"")</f>
      </c>
      <c r="X65">
        <f>IF(W65&lt;&gt;"",D65&amp;"|"&amp;W65,"")</f>
      </c>
      <c r="Y65">
        <f>IF(X65&lt;&gt;"",IF(K65&lt;&gt;"",K65&amp;" ("&amp;M65&amp;")",M65),"")</f>
      </c>
      <c r="Z65">
        <f>IF(O65="Sí",COUNTIFS($D$2:D65,D65,$O$2:O65,"Sí"),"")</f>
      </c>
      <c r="AA65">
        <f>IF(Z65&lt;&gt;"",D65&amp;"|"&amp;Z65,"")</f>
      </c>
      <c r="AB65">
        <f>IF(AA65&lt;&gt;"",IF(K65&lt;&gt;"",K65&amp;" ("&amp;M65&amp;")",M65),"")</f>
      </c>
      <c r="AC65">
        <f>IF($B65="","fecha, ","")&amp;IF($C65="","quién lo introduce, ","")&amp;IF($I65="","motivo, ","")&amp;IF($K65="","docente, ","")&amp;IF($L65="","horario, ","")&amp;IF($N65="","duración, ","")&amp;IF($Q65="","estado, ","")&amp;IF(AND($I65="Otros",$J65=""),"detalle del motivo, ","")&amp;IF(AND($O65="Sí",$P65=""),"detalle del refuerzo, ","")&amp;IF(AND(OR($I65="Renuncia (hasta 30 nov)",$I65="Baja (desde 1 dic)",$I65="Renuncia excepcional (art. 25.3)",$I65="Traslado de expediente"),OR($E65="",$F65="",$G65="")),"quién deja la plaza, ","")&amp;IF(AND($Q65="No disponible",$R65=""),"vía de cobertura, ","")&amp;IF(AND(OR($R65="Lista de espera · propio centro",$R65="Traslado de expediente",$R65="Lista de espera · otro centro"),OR($S65="",$T65="",$U65="")),"quién ocupa la plaza, ","")</f>
      </c>
      <c r="AD65" s="24">
        <f>IF($D65="","",IF(AND(LEN($AC65)=0,LEN($AK65)=0),"Completa",IF(LEN($AC65)=0,"Revisar: "&amp;LEFT($AK65,LEN($AK65)-2),"Falta: "&amp;LEFT($AC65,LEN($AC65)-2)&amp;IF(LEN($AK65)&gt;0,"  ·  Revisar: "&amp;LEFT($AK65,LEN($AK65)-2),""))))</f>
      </c>
      <c r="AE65">
        <f>IF(AND($D65&lt;&gt;"",OR($I65="Renuncia (hasta 30 nov)",$I65="Baja (desde 1 dic)",$I65="Renuncia excepcional (art. 25.3)",$I65="Traslado de expediente")),COUNTIF($AE$1:AE64,"&gt;0")+1,"")</f>
      </c>
      <c r="AF65">
        <f>IF($Q65="Disponible",COUNTIF($AF$1:AF64,"&gt;0")+1,"")</f>
      </c>
      <c r="AG65">
        <f>IF($O65="Sí",COUNTIF($AG$1:AG64,"&gt;0")+1,"")</f>
      </c>
      <c r="AH65">
        <f>IF(AND($Q65="Disponible",$O65&lt;&gt;"Sí"),COUNTIF($AH$1:AH64,"&gt;0")+1,"")</f>
      </c>
      <c r="AI65">
        <f>IF(AND($Q65="Disponible",$K65&lt;&gt;""),COUNTIFS($K$2:K65,K65,$Q$2:Q65,"Disponible"),"")</f>
      </c>
      <c r="AJ65">
        <f>IF(AI65&lt;&gt;"",K65&amp;"|"&amp;AI65,"")</f>
      </c>
      <c r="AK65">
        <f>IF(AND($Q65="No disponible",OR($R65="Lista de espera · propio centro",$R65="Traslado de expediente",$R65="Lista de espera · otro centro"),$O65="Sí"),"la plaza ya tiene alumno y sigue marcada como refuerzo, ","")&amp;IF(AND($R65="Reconvertida en refuerzo",$O65&lt;&gt;"Sí"),"reconvertida en refuerzo pero sin marcar «En uso como refuerzo», ","")</f>
      </c>
    </row>
    <row r="66" spans="1:37">
      <c r="A66" s="20">
        <f>IF(D66&lt;&gt;"",ROW()-1,"")</f>
      </c>
      <c r="B66" s="55"/>
      <c r="C66" s="56"/>
      <c r="D66" s="56"/>
      <c r="E66" s="56"/>
      <c r="F66" s="56"/>
      <c r="G66" s="56"/>
      <c r="H66" s="56"/>
      <c r="I66" s="56"/>
      <c r="J66" s="57"/>
      <c r="K66" s="56"/>
      <c r="L66" s="58"/>
      <c r="M66" s="58">
        <f>IF(L66="","",L66)</f>
      </c>
      <c r="N66" s="56"/>
      <c r="O66" s="56"/>
      <c r="P66" s="57"/>
      <c r="Q66" s="56"/>
      <c r="R66" s="56"/>
      <c r="S66" s="56"/>
      <c r="T66" s="56"/>
      <c r="U66" s="56"/>
      <c r="V66" s="57"/>
      <c r="W66">
        <f>IF(Q66="Disponible",COUNTIFS($D$2:D66,D66,$Q$2:Q66,"Disponible"),"")</f>
      </c>
      <c r="X66">
        <f>IF(W66&lt;&gt;"",D66&amp;"|"&amp;W66,"")</f>
      </c>
      <c r="Y66">
        <f>IF(X66&lt;&gt;"",IF(K66&lt;&gt;"",K66&amp;" ("&amp;M66&amp;")",M66),"")</f>
      </c>
      <c r="Z66">
        <f>IF(O66="Sí",COUNTIFS($D$2:D66,D66,$O$2:O66,"Sí"),"")</f>
      </c>
      <c r="AA66">
        <f>IF(Z66&lt;&gt;"",D66&amp;"|"&amp;Z66,"")</f>
      </c>
      <c r="AB66">
        <f>IF(AA66&lt;&gt;"",IF(K66&lt;&gt;"",K66&amp;" ("&amp;M66&amp;")",M66),"")</f>
      </c>
      <c r="AC66">
        <f>IF($B66="","fecha, ","")&amp;IF($C66="","quién lo introduce, ","")&amp;IF($I66="","motivo, ","")&amp;IF($K66="","docente, ","")&amp;IF($L66="","horario, ","")&amp;IF($N66="","duración, ","")&amp;IF($Q66="","estado, ","")&amp;IF(AND($I66="Otros",$J66=""),"detalle del motivo, ","")&amp;IF(AND($O66="Sí",$P66=""),"detalle del refuerzo, ","")&amp;IF(AND(OR($I66="Renuncia (hasta 30 nov)",$I66="Baja (desde 1 dic)",$I66="Renuncia excepcional (art. 25.3)",$I66="Traslado de expediente"),OR($E66="",$F66="",$G66="")),"quién deja la plaza, ","")&amp;IF(AND($Q66="No disponible",$R66=""),"vía de cobertura, ","")&amp;IF(AND(OR($R66="Lista de espera · propio centro",$R66="Traslado de expediente",$R66="Lista de espera · otro centro"),OR($S66="",$T66="",$U66="")),"quién ocupa la plaza, ","")</f>
      </c>
      <c r="AD66" s="24">
        <f>IF($D66="","",IF(AND(LEN($AC66)=0,LEN($AK66)=0),"Completa",IF(LEN($AC66)=0,"Revisar: "&amp;LEFT($AK66,LEN($AK66)-2),"Falta: "&amp;LEFT($AC66,LEN($AC66)-2)&amp;IF(LEN($AK66)&gt;0,"  ·  Revisar: "&amp;LEFT($AK66,LEN($AK66)-2),""))))</f>
      </c>
      <c r="AE66">
        <f>IF(AND($D66&lt;&gt;"",OR($I66="Renuncia (hasta 30 nov)",$I66="Baja (desde 1 dic)",$I66="Renuncia excepcional (art. 25.3)",$I66="Traslado de expediente")),COUNTIF($AE$1:AE65,"&gt;0")+1,"")</f>
      </c>
      <c r="AF66">
        <f>IF($Q66="Disponible",COUNTIF($AF$1:AF65,"&gt;0")+1,"")</f>
      </c>
      <c r="AG66">
        <f>IF($O66="Sí",COUNTIF($AG$1:AG65,"&gt;0")+1,"")</f>
      </c>
      <c r="AH66">
        <f>IF(AND($Q66="Disponible",$O66&lt;&gt;"Sí"),COUNTIF($AH$1:AH65,"&gt;0")+1,"")</f>
      </c>
      <c r="AI66">
        <f>IF(AND($Q66="Disponible",$K66&lt;&gt;""),COUNTIFS($K$2:K66,K66,$Q$2:Q66,"Disponible"),"")</f>
      </c>
      <c r="AJ66">
        <f>IF(AI66&lt;&gt;"",K66&amp;"|"&amp;AI66,"")</f>
      </c>
      <c r="AK66">
        <f>IF(AND($Q66="No disponible",OR($R66="Lista de espera · propio centro",$R66="Traslado de expediente",$R66="Lista de espera · otro centro"),$O66="Sí"),"la plaza ya tiene alumno y sigue marcada como refuerzo, ","")&amp;IF(AND($R66="Reconvertida en refuerzo",$O66&lt;&gt;"Sí"),"reconvertida en refuerzo pero sin marcar «En uso como refuerzo», ","")</f>
      </c>
    </row>
    <row r="67" spans="1:37">
      <c r="A67" s="20">
        <f>IF(D67&lt;&gt;"",ROW()-1,"")</f>
      </c>
      <c r="B67" s="55"/>
      <c r="C67" s="56"/>
      <c r="D67" s="56"/>
      <c r="E67" s="56"/>
      <c r="F67" s="56"/>
      <c r="G67" s="56"/>
      <c r="H67" s="56"/>
      <c r="I67" s="56"/>
      <c r="J67" s="57"/>
      <c r="K67" s="56"/>
      <c r="L67" s="58"/>
      <c r="M67" s="58">
        <f>IF(L67="","",L67)</f>
      </c>
      <c r="N67" s="56"/>
      <c r="O67" s="56"/>
      <c r="P67" s="57"/>
      <c r="Q67" s="56"/>
      <c r="R67" s="56"/>
      <c r="S67" s="56"/>
      <c r="T67" s="56"/>
      <c r="U67" s="56"/>
      <c r="V67" s="57"/>
      <c r="W67">
        <f>IF(Q67="Disponible",COUNTIFS($D$2:D67,D67,$Q$2:Q67,"Disponible"),"")</f>
      </c>
      <c r="X67">
        <f>IF(W67&lt;&gt;"",D67&amp;"|"&amp;W67,"")</f>
      </c>
      <c r="Y67">
        <f>IF(X67&lt;&gt;"",IF(K67&lt;&gt;"",K67&amp;" ("&amp;M67&amp;")",M67),"")</f>
      </c>
      <c r="Z67">
        <f>IF(O67="Sí",COUNTIFS($D$2:D67,D67,$O$2:O67,"Sí"),"")</f>
      </c>
      <c r="AA67">
        <f>IF(Z67&lt;&gt;"",D67&amp;"|"&amp;Z67,"")</f>
      </c>
      <c r="AB67">
        <f>IF(AA67&lt;&gt;"",IF(K67&lt;&gt;"",K67&amp;" ("&amp;M67&amp;")",M67),"")</f>
      </c>
      <c r="AC67">
        <f>IF($B67="","fecha, ","")&amp;IF($C67="","quién lo introduce, ","")&amp;IF($I67="","motivo, ","")&amp;IF($K67="","docente, ","")&amp;IF($L67="","horario, ","")&amp;IF($N67="","duración, ","")&amp;IF($Q67="","estado, ","")&amp;IF(AND($I67="Otros",$J67=""),"detalle del motivo, ","")&amp;IF(AND($O67="Sí",$P67=""),"detalle del refuerzo, ","")&amp;IF(AND(OR($I67="Renuncia (hasta 30 nov)",$I67="Baja (desde 1 dic)",$I67="Renuncia excepcional (art. 25.3)",$I67="Traslado de expediente"),OR($E67="",$F67="",$G67="")),"quién deja la plaza, ","")&amp;IF(AND($Q67="No disponible",$R67=""),"vía de cobertura, ","")&amp;IF(AND(OR($R67="Lista de espera · propio centro",$R67="Traslado de expediente",$R67="Lista de espera · otro centro"),OR($S67="",$T67="",$U67="")),"quién ocupa la plaza, ","")</f>
      </c>
      <c r="AD67" s="24">
        <f>IF($D67="","",IF(AND(LEN($AC67)=0,LEN($AK67)=0),"Completa",IF(LEN($AC67)=0,"Revisar: "&amp;LEFT($AK67,LEN($AK67)-2),"Falta: "&amp;LEFT($AC67,LEN($AC67)-2)&amp;IF(LEN($AK67)&gt;0,"  ·  Revisar: "&amp;LEFT($AK67,LEN($AK67)-2),""))))</f>
      </c>
      <c r="AE67">
        <f>IF(AND($D67&lt;&gt;"",OR($I67="Renuncia (hasta 30 nov)",$I67="Baja (desde 1 dic)",$I67="Renuncia excepcional (art. 25.3)",$I67="Traslado de expediente")),COUNTIF($AE$1:AE66,"&gt;0")+1,"")</f>
      </c>
      <c r="AF67">
        <f>IF($Q67="Disponible",COUNTIF($AF$1:AF66,"&gt;0")+1,"")</f>
      </c>
      <c r="AG67">
        <f>IF($O67="Sí",COUNTIF($AG$1:AG66,"&gt;0")+1,"")</f>
      </c>
      <c r="AH67">
        <f>IF(AND($Q67="Disponible",$O67&lt;&gt;"Sí"),COUNTIF($AH$1:AH66,"&gt;0")+1,"")</f>
      </c>
      <c r="AI67">
        <f>IF(AND($Q67="Disponible",$K67&lt;&gt;""),COUNTIFS($K$2:K67,K67,$Q$2:Q67,"Disponible"),"")</f>
      </c>
      <c r="AJ67">
        <f>IF(AI67&lt;&gt;"",K67&amp;"|"&amp;AI67,"")</f>
      </c>
      <c r="AK67">
        <f>IF(AND($Q67="No disponible",OR($R67="Lista de espera · propio centro",$R67="Traslado de expediente",$R67="Lista de espera · otro centro"),$O67="Sí"),"la plaza ya tiene alumno y sigue marcada como refuerzo, ","")&amp;IF(AND($R67="Reconvertida en refuerzo",$O67&lt;&gt;"Sí"),"reconvertida en refuerzo pero sin marcar «En uso como refuerzo», ","")</f>
      </c>
    </row>
    <row r="68" spans="1:37">
      <c r="A68" s="20">
        <f>IF(D68&lt;&gt;"",ROW()-1,"")</f>
      </c>
      <c r="B68" s="55"/>
      <c r="C68" s="56"/>
      <c r="D68" s="56"/>
      <c r="E68" s="56"/>
      <c r="F68" s="56"/>
      <c r="G68" s="56"/>
      <c r="H68" s="56"/>
      <c r="I68" s="56"/>
      <c r="J68" s="57"/>
      <c r="K68" s="56"/>
      <c r="L68" s="58"/>
      <c r="M68" s="58">
        <f>IF(L68="","",L68)</f>
      </c>
      <c r="N68" s="56"/>
      <c r="O68" s="56"/>
      <c r="P68" s="57"/>
      <c r="Q68" s="56"/>
      <c r="R68" s="56"/>
      <c r="S68" s="56"/>
      <c r="T68" s="56"/>
      <c r="U68" s="56"/>
      <c r="V68" s="57"/>
      <c r="W68">
        <f>IF(Q68="Disponible",COUNTIFS($D$2:D68,D68,$Q$2:Q68,"Disponible"),"")</f>
      </c>
      <c r="X68">
        <f>IF(W68&lt;&gt;"",D68&amp;"|"&amp;W68,"")</f>
      </c>
      <c r="Y68">
        <f>IF(X68&lt;&gt;"",IF(K68&lt;&gt;"",K68&amp;" ("&amp;M68&amp;")",M68),"")</f>
      </c>
      <c r="Z68">
        <f>IF(O68="Sí",COUNTIFS($D$2:D68,D68,$O$2:O68,"Sí"),"")</f>
      </c>
      <c r="AA68">
        <f>IF(Z68&lt;&gt;"",D68&amp;"|"&amp;Z68,"")</f>
      </c>
      <c r="AB68">
        <f>IF(AA68&lt;&gt;"",IF(K68&lt;&gt;"",K68&amp;" ("&amp;M68&amp;")",M68),"")</f>
      </c>
      <c r="AC68">
        <f>IF($B68="","fecha, ","")&amp;IF($C68="","quién lo introduce, ","")&amp;IF($I68="","motivo, ","")&amp;IF($K68="","docente, ","")&amp;IF($L68="","horario, ","")&amp;IF($N68="","duración, ","")&amp;IF($Q68="","estado, ","")&amp;IF(AND($I68="Otros",$J68=""),"detalle del motivo, ","")&amp;IF(AND($O68="Sí",$P68=""),"detalle del refuerzo, ","")&amp;IF(AND(OR($I68="Renuncia (hasta 30 nov)",$I68="Baja (desde 1 dic)",$I68="Renuncia excepcional (art. 25.3)",$I68="Traslado de expediente"),OR($E68="",$F68="",$G68="")),"quién deja la plaza, ","")&amp;IF(AND($Q68="No disponible",$R68=""),"vía de cobertura, ","")&amp;IF(AND(OR($R68="Lista de espera · propio centro",$R68="Traslado de expediente",$R68="Lista de espera · otro centro"),OR($S68="",$T68="",$U68="")),"quién ocupa la plaza, ","")</f>
      </c>
      <c r="AD68" s="24">
        <f>IF($D68="","",IF(AND(LEN($AC68)=0,LEN($AK68)=0),"Completa",IF(LEN($AC68)=0,"Revisar: "&amp;LEFT($AK68,LEN($AK68)-2),"Falta: "&amp;LEFT($AC68,LEN($AC68)-2)&amp;IF(LEN($AK68)&gt;0,"  ·  Revisar: "&amp;LEFT($AK68,LEN($AK68)-2),""))))</f>
      </c>
      <c r="AE68">
        <f>IF(AND($D68&lt;&gt;"",OR($I68="Renuncia (hasta 30 nov)",$I68="Baja (desde 1 dic)",$I68="Renuncia excepcional (art. 25.3)",$I68="Traslado de expediente")),COUNTIF($AE$1:AE67,"&gt;0")+1,"")</f>
      </c>
      <c r="AF68">
        <f>IF($Q68="Disponible",COUNTIF($AF$1:AF67,"&gt;0")+1,"")</f>
      </c>
      <c r="AG68">
        <f>IF($O68="Sí",COUNTIF($AG$1:AG67,"&gt;0")+1,"")</f>
      </c>
      <c r="AH68">
        <f>IF(AND($Q68="Disponible",$O68&lt;&gt;"Sí"),COUNTIF($AH$1:AH67,"&gt;0")+1,"")</f>
      </c>
      <c r="AI68">
        <f>IF(AND($Q68="Disponible",$K68&lt;&gt;""),COUNTIFS($K$2:K68,K68,$Q$2:Q68,"Disponible"),"")</f>
      </c>
      <c r="AJ68">
        <f>IF(AI68&lt;&gt;"",K68&amp;"|"&amp;AI68,"")</f>
      </c>
      <c r="AK68">
        <f>IF(AND($Q68="No disponible",OR($R68="Lista de espera · propio centro",$R68="Traslado de expediente",$R68="Lista de espera · otro centro"),$O68="Sí"),"la plaza ya tiene alumno y sigue marcada como refuerzo, ","")&amp;IF(AND($R68="Reconvertida en refuerzo",$O68&lt;&gt;"Sí"),"reconvertida en refuerzo pero sin marcar «En uso como refuerzo», ","")</f>
      </c>
    </row>
    <row r="69" spans="1:37">
      <c r="A69" s="20">
        <f>IF(D69&lt;&gt;"",ROW()-1,"")</f>
      </c>
      <c r="B69" s="55"/>
      <c r="C69" s="56"/>
      <c r="D69" s="56"/>
      <c r="E69" s="56"/>
      <c r="F69" s="56"/>
      <c r="G69" s="56"/>
      <c r="H69" s="56"/>
      <c r="I69" s="56"/>
      <c r="J69" s="57"/>
      <c r="K69" s="56"/>
      <c r="L69" s="58"/>
      <c r="M69" s="58">
        <f>IF(L69="","",L69)</f>
      </c>
      <c r="N69" s="56"/>
      <c r="O69" s="56"/>
      <c r="P69" s="57"/>
      <c r="Q69" s="56"/>
      <c r="R69" s="56"/>
      <c r="S69" s="56"/>
      <c r="T69" s="56"/>
      <c r="U69" s="56"/>
      <c r="V69" s="57"/>
      <c r="W69">
        <f>IF(Q69="Disponible",COUNTIFS($D$2:D69,D69,$Q$2:Q69,"Disponible"),"")</f>
      </c>
      <c r="X69">
        <f>IF(W69&lt;&gt;"",D69&amp;"|"&amp;W69,"")</f>
      </c>
      <c r="Y69">
        <f>IF(X69&lt;&gt;"",IF(K69&lt;&gt;"",K69&amp;" ("&amp;M69&amp;")",M69),"")</f>
      </c>
      <c r="Z69">
        <f>IF(O69="Sí",COUNTIFS($D$2:D69,D69,$O$2:O69,"Sí"),"")</f>
      </c>
      <c r="AA69">
        <f>IF(Z69&lt;&gt;"",D69&amp;"|"&amp;Z69,"")</f>
      </c>
      <c r="AB69">
        <f>IF(AA69&lt;&gt;"",IF(K69&lt;&gt;"",K69&amp;" ("&amp;M69&amp;")",M69),"")</f>
      </c>
      <c r="AC69">
        <f>IF($B69="","fecha, ","")&amp;IF($C69="","quién lo introduce, ","")&amp;IF($I69="","motivo, ","")&amp;IF($K69="","docente, ","")&amp;IF($L69="","horario, ","")&amp;IF($N69="","duración, ","")&amp;IF($Q69="","estado, ","")&amp;IF(AND($I69="Otros",$J69=""),"detalle del motivo, ","")&amp;IF(AND($O69="Sí",$P69=""),"detalle del refuerzo, ","")&amp;IF(AND(OR($I69="Renuncia (hasta 30 nov)",$I69="Baja (desde 1 dic)",$I69="Renuncia excepcional (art. 25.3)",$I69="Traslado de expediente"),OR($E69="",$F69="",$G69="")),"quién deja la plaza, ","")&amp;IF(AND($Q69="No disponible",$R69=""),"vía de cobertura, ","")&amp;IF(AND(OR($R69="Lista de espera · propio centro",$R69="Traslado de expediente",$R69="Lista de espera · otro centro"),OR($S69="",$T69="",$U69="")),"quién ocupa la plaza, ","")</f>
      </c>
      <c r="AD69" s="24">
        <f>IF($D69="","",IF(AND(LEN($AC69)=0,LEN($AK69)=0),"Completa",IF(LEN($AC69)=0,"Revisar: "&amp;LEFT($AK69,LEN($AK69)-2),"Falta: "&amp;LEFT($AC69,LEN($AC69)-2)&amp;IF(LEN($AK69)&gt;0,"  ·  Revisar: "&amp;LEFT($AK69,LEN($AK69)-2),""))))</f>
      </c>
      <c r="AE69">
        <f>IF(AND($D69&lt;&gt;"",OR($I69="Renuncia (hasta 30 nov)",$I69="Baja (desde 1 dic)",$I69="Renuncia excepcional (art. 25.3)",$I69="Traslado de expediente")),COUNTIF($AE$1:AE68,"&gt;0")+1,"")</f>
      </c>
      <c r="AF69">
        <f>IF($Q69="Disponible",COUNTIF($AF$1:AF68,"&gt;0")+1,"")</f>
      </c>
      <c r="AG69">
        <f>IF($O69="Sí",COUNTIF($AG$1:AG68,"&gt;0")+1,"")</f>
      </c>
      <c r="AH69">
        <f>IF(AND($Q69="Disponible",$O69&lt;&gt;"Sí"),COUNTIF($AH$1:AH68,"&gt;0")+1,"")</f>
      </c>
      <c r="AI69">
        <f>IF(AND($Q69="Disponible",$K69&lt;&gt;""),COUNTIFS($K$2:K69,K69,$Q$2:Q69,"Disponible"),"")</f>
      </c>
      <c r="AJ69">
        <f>IF(AI69&lt;&gt;"",K69&amp;"|"&amp;AI69,"")</f>
      </c>
      <c r="AK69">
        <f>IF(AND($Q69="No disponible",OR($R69="Lista de espera · propio centro",$R69="Traslado de expediente",$R69="Lista de espera · otro centro"),$O69="Sí"),"la plaza ya tiene alumno y sigue marcada como refuerzo, ","")&amp;IF(AND($R69="Reconvertida en refuerzo",$O69&lt;&gt;"Sí"),"reconvertida en refuerzo pero sin marcar «En uso como refuerzo», ","")</f>
      </c>
    </row>
    <row r="70" spans="1:37">
      <c r="A70" s="20">
        <f>IF(D70&lt;&gt;"",ROW()-1,"")</f>
      </c>
      <c r="B70" s="55"/>
      <c r="C70" s="56"/>
      <c r="D70" s="56"/>
      <c r="E70" s="56"/>
      <c r="F70" s="56"/>
      <c r="G70" s="56"/>
      <c r="H70" s="56"/>
      <c r="I70" s="56"/>
      <c r="J70" s="57"/>
      <c r="K70" s="56"/>
      <c r="L70" s="58"/>
      <c r="M70" s="58">
        <f>IF(L70="","",L70)</f>
      </c>
      <c r="N70" s="56"/>
      <c r="O70" s="56"/>
      <c r="P70" s="57"/>
      <c r="Q70" s="56"/>
      <c r="R70" s="56"/>
      <c r="S70" s="56"/>
      <c r="T70" s="56"/>
      <c r="U70" s="56"/>
      <c r="V70" s="57"/>
      <c r="W70">
        <f>IF(Q70="Disponible",COUNTIFS($D$2:D70,D70,$Q$2:Q70,"Disponible"),"")</f>
      </c>
      <c r="X70">
        <f>IF(W70&lt;&gt;"",D70&amp;"|"&amp;W70,"")</f>
      </c>
      <c r="Y70">
        <f>IF(X70&lt;&gt;"",IF(K70&lt;&gt;"",K70&amp;" ("&amp;M70&amp;")",M70),"")</f>
      </c>
      <c r="Z70">
        <f>IF(O70="Sí",COUNTIFS($D$2:D70,D70,$O$2:O70,"Sí"),"")</f>
      </c>
      <c r="AA70">
        <f>IF(Z70&lt;&gt;"",D70&amp;"|"&amp;Z70,"")</f>
      </c>
      <c r="AB70">
        <f>IF(AA70&lt;&gt;"",IF(K70&lt;&gt;"",K70&amp;" ("&amp;M70&amp;")",M70),"")</f>
      </c>
      <c r="AC70">
        <f>IF($B70="","fecha, ","")&amp;IF($C70="","quién lo introduce, ","")&amp;IF($I70="","motivo, ","")&amp;IF($K70="","docente, ","")&amp;IF($L70="","horario, ","")&amp;IF($N70="","duración, ","")&amp;IF($Q70="","estado, ","")&amp;IF(AND($I70="Otros",$J70=""),"detalle del motivo, ","")&amp;IF(AND($O70="Sí",$P70=""),"detalle del refuerzo, ","")&amp;IF(AND(OR($I70="Renuncia (hasta 30 nov)",$I70="Baja (desde 1 dic)",$I70="Renuncia excepcional (art. 25.3)",$I70="Traslado de expediente"),OR($E70="",$F70="",$G70="")),"quién deja la plaza, ","")&amp;IF(AND($Q70="No disponible",$R70=""),"vía de cobertura, ","")&amp;IF(AND(OR($R70="Lista de espera · propio centro",$R70="Traslado de expediente",$R70="Lista de espera · otro centro"),OR($S70="",$T70="",$U70="")),"quién ocupa la plaza, ","")</f>
      </c>
      <c r="AD70" s="24">
        <f>IF($D70="","",IF(AND(LEN($AC70)=0,LEN($AK70)=0),"Completa",IF(LEN($AC70)=0,"Revisar: "&amp;LEFT($AK70,LEN($AK70)-2),"Falta: "&amp;LEFT($AC70,LEN($AC70)-2)&amp;IF(LEN($AK70)&gt;0,"  ·  Revisar: "&amp;LEFT($AK70,LEN($AK70)-2),""))))</f>
      </c>
      <c r="AE70">
        <f>IF(AND($D70&lt;&gt;"",OR($I70="Renuncia (hasta 30 nov)",$I70="Baja (desde 1 dic)",$I70="Renuncia excepcional (art. 25.3)",$I70="Traslado de expediente")),COUNTIF($AE$1:AE69,"&gt;0")+1,"")</f>
      </c>
      <c r="AF70">
        <f>IF($Q70="Disponible",COUNTIF($AF$1:AF69,"&gt;0")+1,"")</f>
      </c>
      <c r="AG70">
        <f>IF($O70="Sí",COUNTIF($AG$1:AG69,"&gt;0")+1,"")</f>
      </c>
      <c r="AH70">
        <f>IF(AND($Q70="Disponible",$O70&lt;&gt;"Sí"),COUNTIF($AH$1:AH69,"&gt;0")+1,"")</f>
      </c>
      <c r="AI70">
        <f>IF(AND($Q70="Disponible",$K70&lt;&gt;""),COUNTIFS($K$2:K70,K70,$Q$2:Q70,"Disponible"),"")</f>
      </c>
      <c r="AJ70">
        <f>IF(AI70&lt;&gt;"",K70&amp;"|"&amp;AI70,"")</f>
      </c>
      <c r="AK70">
        <f>IF(AND($Q70="No disponible",OR($R70="Lista de espera · propio centro",$R70="Traslado de expediente",$R70="Lista de espera · otro centro"),$O70="Sí"),"la plaza ya tiene alumno y sigue marcada como refuerzo, ","")&amp;IF(AND($R70="Reconvertida en refuerzo",$O70&lt;&gt;"Sí"),"reconvertida en refuerzo pero sin marcar «En uso como refuerzo», ","")</f>
      </c>
    </row>
    <row r="71" spans="1:37">
      <c r="A71" s="20">
        <f>IF(D71&lt;&gt;"",ROW()-1,"")</f>
      </c>
      <c r="B71" s="55"/>
      <c r="C71" s="56"/>
      <c r="D71" s="56"/>
      <c r="E71" s="56"/>
      <c r="F71" s="56"/>
      <c r="G71" s="56"/>
      <c r="H71" s="56"/>
      <c r="I71" s="56"/>
      <c r="J71" s="57"/>
      <c r="K71" s="56"/>
      <c r="L71" s="58"/>
      <c r="M71" s="58">
        <f>IF(L71="","",L71)</f>
      </c>
      <c r="N71" s="56"/>
      <c r="O71" s="56"/>
      <c r="P71" s="57"/>
      <c r="Q71" s="56"/>
      <c r="R71" s="56"/>
      <c r="S71" s="56"/>
      <c r="T71" s="56"/>
      <c r="U71" s="56"/>
      <c r="V71" s="57"/>
      <c r="W71">
        <f>IF(Q71="Disponible",COUNTIFS($D$2:D71,D71,$Q$2:Q71,"Disponible"),"")</f>
      </c>
      <c r="X71">
        <f>IF(W71&lt;&gt;"",D71&amp;"|"&amp;W71,"")</f>
      </c>
      <c r="Y71">
        <f>IF(X71&lt;&gt;"",IF(K71&lt;&gt;"",K71&amp;" ("&amp;M71&amp;")",M71),"")</f>
      </c>
      <c r="Z71">
        <f>IF(O71="Sí",COUNTIFS($D$2:D71,D71,$O$2:O71,"Sí"),"")</f>
      </c>
      <c r="AA71">
        <f>IF(Z71&lt;&gt;"",D71&amp;"|"&amp;Z71,"")</f>
      </c>
      <c r="AB71">
        <f>IF(AA71&lt;&gt;"",IF(K71&lt;&gt;"",K71&amp;" ("&amp;M71&amp;")",M71),"")</f>
      </c>
      <c r="AC71">
        <f>IF($B71="","fecha, ","")&amp;IF($C71="","quién lo introduce, ","")&amp;IF($I71="","motivo, ","")&amp;IF($K71="","docente, ","")&amp;IF($L71="","horario, ","")&amp;IF($N71="","duración, ","")&amp;IF($Q71="","estado, ","")&amp;IF(AND($I71="Otros",$J71=""),"detalle del motivo, ","")&amp;IF(AND($O71="Sí",$P71=""),"detalle del refuerzo, ","")&amp;IF(AND(OR($I71="Renuncia (hasta 30 nov)",$I71="Baja (desde 1 dic)",$I71="Renuncia excepcional (art. 25.3)",$I71="Traslado de expediente"),OR($E71="",$F71="",$G71="")),"quién deja la plaza, ","")&amp;IF(AND($Q71="No disponible",$R71=""),"vía de cobertura, ","")&amp;IF(AND(OR($R71="Lista de espera · propio centro",$R71="Traslado de expediente",$R71="Lista de espera · otro centro"),OR($S71="",$T71="",$U71="")),"quién ocupa la plaza, ","")</f>
      </c>
      <c r="AD71" s="24">
        <f>IF($D71="","",IF(AND(LEN($AC71)=0,LEN($AK71)=0),"Completa",IF(LEN($AC71)=0,"Revisar: "&amp;LEFT($AK71,LEN($AK71)-2),"Falta: "&amp;LEFT($AC71,LEN($AC71)-2)&amp;IF(LEN($AK71)&gt;0,"  ·  Revisar: "&amp;LEFT($AK71,LEN($AK71)-2),""))))</f>
      </c>
      <c r="AE71">
        <f>IF(AND($D71&lt;&gt;"",OR($I71="Renuncia (hasta 30 nov)",$I71="Baja (desde 1 dic)",$I71="Renuncia excepcional (art. 25.3)",$I71="Traslado de expediente")),COUNTIF($AE$1:AE70,"&gt;0")+1,"")</f>
      </c>
      <c r="AF71">
        <f>IF($Q71="Disponible",COUNTIF($AF$1:AF70,"&gt;0")+1,"")</f>
      </c>
      <c r="AG71">
        <f>IF($O71="Sí",COUNTIF($AG$1:AG70,"&gt;0")+1,"")</f>
      </c>
      <c r="AH71">
        <f>IF(AND($Q71="Disponible",$O71&lt;&gt;"Sí"),COUNTIF($AH$1:AH70,"&gt;0")+1,"")</f>
      </c>
      <c r="AI71">
        <f>IF(AND($Q71="Disponible",$K71&lt;&gt;""),COUNTIFS($K$2:K71,K71,$Q$2:Q71,"Disponible"),"")</f>
      </c>
      <c r="AJ71">
        <f>IF(AI71&lt;&gt;"",K71&amp;"|"&amp;AI71,"")</f>
      </c>
      <c r="AK71">
        <f>IF(AND($Q71="No disponible",OR($R71="Lista de espera · propio centro",$R71="Traslado de expediente",$R71="Lista de espera · otro centro"),$O71="Sí"),"la plaza ya tiene alumno y sigue marcada como refuerzo, ","")&amp;IF(AND($R71="Reconvertida en refuerzo",$O71&lt;&gt;"Sí"),"reconvertida en refuerzo pero sin marcar «En uso como refuerzo», ","")</f>
      </c>
    </row>
    <row r="72" spans="1:37">
      <c r="A72" s="20">
        <f>IF(D72&lt;&gt;"",ROW()-1,"")</f>
      </c>
      <c r="B72" s="55"/>
      <c r="C72" s="56"/>
      <c r="D72" s="56"/>
      <c r="E72" s="56"/>
      <c r="F72" s="56"/>
      <c r="G72" s="56"/>
      <c r="H72" s="56"/>
      <c r="I72" s="56"/>
      <c r="J72" s="57"/>
      <c r="K72" s="56"/>
      <c r="L72" s="58"/>
      <c r="M72" s="58">
        <f>IF(L72="","",L72)</f>
      </c>
      <c r="N72" s="56"/>
      <c r="O72" s="56"/>
      <c r="P72" s="57"/>
      <c r="Q72" s="56"/>
      <c r="R72" s="56"/>
      <c r="S72" s="56"/>
      <c r="T72" s="56"/>
      <c r="U72" s="56"/>
      <c r="V72" s="57"/>
      <c r="W72">
        <f>IF(Q72="Disponible",COUNTIFS($D$2:D72,D72,$Q$2:Q72,"Disponible"),"")</f>
      </c>
      <c r="X72">
        <f>IF(W72&lt;&gt;"",D72&amp;"|"&amp;W72,"")</f>
      </c>
      <c r="Y72">
        <f>IF(X72&lt;&gt;"",IF(K72&lt;&gt;"",K72&amp;" ("&amp;M72&amp;")",M72),"")</f>
      </c>
      <c r="Z72">
        <f>IF(O72="Sí",COUNTIFS($D$2:D72,D72,$O$2:O72,"Sí"),"")</f>
      </c>
      <c r="AA72">
        <f>IF(Z72&lt;&gt;"",D72&amp;"|"&amp;Z72,"")</f>
      </c>
      <c r="AB72">
        <f>IF(AA72&lt;&gt;"",IF(K72&lt;&gt;"",K72&amp;" ("&amp;M72&amp;")",M72),"")</f>
      </c>
      <c r="AC72">
        <f>IF($B72="","fecha, ","")&amp;IF($C72="","quién lo introduce, ","")&amp;IF($I72="","motivo, ","")&amp;IF($K72="","docente, ","")&amp;IF($L72="","horario, ","")&amp;IF($N72="","duración, ","")&amp;IF($Q72="","estado, ","")&amp;IF(AND($I72="Otros",$J72=""),"detalle del motivo, ","")&amp;IF(AND($O72="Sí",$P72=""),"detalle del refuerzo, ","")&amp;IF(AND(OR($I72="Renuncia (hasta 30 nov)",$I72="Baja (desde 1 dic)",$I72="Renuncia excepcional (art. 25.3)",$I72="Traslado de expediente"),OR($E72="",$F72="",$G72="")),"quién deja la plaza, ","")&amp;IF(AND($Q72="No disponible",$R72=""),"vía de cobertura, ","")&amp;IF(AND(OR($R72="Lista de espera · propio centro",$R72="Traslado de expediente",$R72="Lista de espera · otro centro"),OR($S72="",$T72="",$U72="")),"quién ocupa la plaza, ","")</f>
      </c>
      <c r="AD72" s="24">
        <f>IF($D72="","",IF(AND(LEN($AC72)=0,LEN($AK72)=0),"Completa",IF(LEN($AC72)=0,"Revisar: "&amp;LEFT($AK72,LEN($AK72)-2),"Falta: "&amp;LEFT($AC72,LEN($AC72)-2)&amp;IF(LEN($AK72)&gt;0,"  ·  Revisar: "&amp;LEFT($AK72,LEN($AK72)-2),""))))</f>
      </c>
      <c r="AE72">
        <f>IF(AND($D72&lt;&gt;"",OR($I72="Renuncia (hasta 30 nov)",$I72="Baja (desde 1 dic)",$I72="Renuncia excepcional (art. 25.3)",$I72="Traslado de expediente")),COUNTIF($AE$1:AE71,"&gt;0")+1,"")</f>
      </c>
      <c r="AF72">
        <f>IF($Q72="Disponible",COUNTIF($AF$1:AF71,"&gt;0")+1,"")</f>
      </c>
      <c r="AG72">
        <f>IF($O72="Sí",COUNTIF($AG$1:AG71,"&gt;0")+1,"")</f>
      </c>
      <c r="AH72">
        <f>IF(AND($Q72="Disponible",$O72&lt;&gt;"Sí"),COUNTIF($AH$1:AH71,"&gt;0")+1,"")</f>
      </c>
      <c r="AI72">
        <f>IF(AND($Q72="Disponible",$K72&lt;&gt;""),COUNTIFS($K$2:K72,K72,$Q$2:Q72,"Disponible"),"")</f>
      </c>
      <c r="AJ72">
        <f>IF(AI72&lt;&gt;"",K72&amp;"|"&amp;AI72,"")</f>
      </c>
      <c r="AK72">
        <f>IF(AND($Q72="No disponible",OR($R72="Lista de espera · propio centro",$R72="Traslado de expediente",$R72="Lista de espera · otro centro"),$O72="Sí"),"la plaza ya tiene alumno y sigue marcada como refuerzo, ","")&amp;IF(AND($R72="Reconvertida en refuerzo",$O72&lt;&gt;"Sí"),"reconvertida en refuerzo pero sin marcar «En uso como refuerzo», ","")</f>
      </c>
    </row>
    <row r="73" spans="1:37">
      <c r="A73" s="20">
        <f>IF(D73&lt;&gt;"",ROW()-1,"")</f>
      </c>
      <c r="B73" s="55"/>
      <c r="C73" s="56"/>
      <c r="D73" s="56"/>
      <c r="E73" s="56"/>
      <c r="F73" s="56"/>
      <c r="G73" s="56"/>
      <c r="H73" s="56"/>
      <c r="I73" s="56"/>
      <c r="J73" s="57"/>
      <c r="K73" s="56"/>
      <c r="L73" s="58"/>
      <c r="M73" s="58">
        <f>IF(L73="","",L73)</f>
      </c>
      <c r="N73" s="56"/>
      <c r="O73" s="56"/>
      <c r="P73" s="57"/>
      <c r="Q73" s="56"/>
      <c r="R73" s="56"/>
      <c r="S73" s="56"/>
      <c r="T73" s="56"/>
      <c r="U73" s="56"/>
      <c r="V73" s="57"/>
      <c r="W73">
        <f>IF(Q73="Disponible",COUNTIFS($D$2:D73,D73,$Q$2:Q73,"Disponible"),"")</f>
      </c>
      <c r="X73">
        <f>IF(W73&lt;&gt;"",D73&amp;"|"&amp;W73,"")</f>
      </c>
      <c r="Y73">
        <f>IF(X73&lt;&gt;"",IF(K73&lt;&gt;"",K73&amp;" ("&amp;M73&amp;")",M73),"")</f>
      </c>
      <c r="Z73">
        <f>IF(O73="Sí",COUNTIFS($D$2:D73,D73,$O$2:O73,"Sí"),"")</f>
      </c>
      <c r="AA73">
        <f>IF(Z73&lt;&gt;"",D73&amp;"|"&amp;Z73,"")</f>
      </c>
      <c r="AB73">
        <f>IF(AA73&lt;&gt;"",IF(K73&lt;&gt;"",K73&amp;" ("&amp;M73&amp;")",M73),"")</f>
      </c>
      <c r="AC73">
        <f>IF($B73="","fecha, ","")&amp;IF($C73="","quién lo introduce, ","")&amp;IF($I73="","motivo, ","")&amp;IF($K73="","docente, ","")&amp;IF($L73="","horario, ","")&amp;IF($N73="","duración, ","")&amp;IF($Q73="","estado, ","")&amp;IF(AND($I73="Otros",$J73=""),"detalle del motivo, ","")&amp;IF(AND($O73="Sí",$P73=""),"detalle del refuerzo, ","")&amp;IF(AND(OR($I73="Renuncia (hasta 30 nov)",$I73="Baja (desde 1 dic)",$I73="Renuncia excepcional (art. 25.3)",$I73="Traslado de expediente"),OR($E73="",$F73="",$G73="")),"quién deja la plaza, ","")&amp;IF(AND($Q73="No disponible",$R73=""),"vía de cobertura, ","")&amp;IF(AND(OR($R73="Lista de espera · propio centro",$R73="Traslado de expediente",$R73="Lista de espera · otro centro"),OR($S73="",$T73="",$U73="")),"quién ocupa la plaza, ","")</f>
      </c>
      <c r="AD73" s="24">
        <f>IF($D73="","",IF(AND(LEN($AC73)=0,LEN($AK73)=0),"Completa",IF(LEN($AC73)=0,"Revisar: "&amp;LEFT($AK73,LEN($AK73)-2),"Falta: "&amp;LEFT($AC73,LEN($AC73)-2)&amp;IF(LEN($AK73)&gt;0,"  ·  Revisar: "&amp;LEFT($AK73,LEN($AK73)-2),""))))</f>
      </c>
      <c r="AE73">
        <f>IF(AND($D73&lt;&gt;"",OR($I73="Renuncia (hasta 30 nov)",$I73="Baja (desde 1 dic)",$I73="Renuncia excepcional (art. 25.3)",$I73="Traslado de expediente")),COUNTIF($AE$1:AE72,"&gt;0")+1,"")</f>
      </c>
      <c r="AF73">
        <f>IF($Q73="Disponible",COUNTIF($AF$1:AF72,"&gt;0")+1,"")</f>
      </c>
      <c r="AG73">
        <f>IF($O73="Sí",COUNTIF($AG$1:AG72,"&gt;0")+1,"")</f>
      </c>
      <c r="AH73">
        <f>IF(AND($Q73="Disponible",$O73&lt;&gt;"Sí"),COUNTIF($AH$1:AH72,"&gt;0")+1,"")</f>
      </c>
      <c r="AI73">
        <f>IF(AND($Q73="Disponible",$K73&lt;&gt;""),COUNTIFS($K$2:K73,K73,$Q$2:Q73,"Disponible"),"")</f>
      </c>
      <c r="AJ73">
        <f>IF(AI73&lt;&gt;"",K73&amp;"|"&amp;AI73,"")</f>
      </c>
      <c r="AK73">
        <f>IF(AND($Q73="No disponible",OR($R73="Lista de espera · propio centro",$R73="Traslado de expediente",$R73="Lista de espera · otro centro"),$O73="Sí"),"la plaza ya tiene alumno y sigue marcada como refuerzo, ","")&amp;IF(AND($R73="Reconvertida en refuerzo",$O73&lt;&gt;"Sí"),"reconvertida en refuerzo pero sin marcar «En uso como refuerzo», ","")</f>
      </c>
    </row>
    <row r="74" spans="1:37">
      <c r="A74" s="20">
        <f>IF(D74&lt;&gt;"",ROW()-1,"")</f>
      </c>
      <c r="B74" s="55"/>
      <c r="C74" s="56"/>
      <c r="D74" s="56"/>
      <c r="E74" s="56"/>
      <c r="F74" s="56"/>
      <c r="G74" s="56"/>
      <c r="H74" s="56"/>
      <c r="I74" s="56"/>
      <c r="J74" s="57"/>
      <c r="K74" s="56"/>
      <c r="L74" s="58"/>
      <c r="M74" s="58">
        <f>IF(L74="","",L74)</f>
      </c>
      <c r="N74" s="56"/>
      <c r="O74" s="56"/>
      <c r="P74" s="57"/>
      <c r="Q74" s="56"/>
      <c r="R74" s="56"/>
      <c r="S74" s="56"/>
      <c r="T74" s="56"/>
      <c r="U74" s="56"/>
      <c r="V74" s="57"/>
      <c r="W74">
        <f>IF(Q74="Disponible",COUNTIFS($D$2:D74,D74,$Q$2:Q74,"Disponible"),"")</f>
      </c>
      <c r="X74">
        <f>IF(W74&lt;&gt;"",D74&amp;"|"&amp;W74,"")</f>
      </c>
      <c r="Y74">
        <f>IF(X74&lt;&gt;"",IF(K74&lt;&gt;"",K74&amp;" ("&amp;M74&amp;")",M74),"")</f>
      </c>
      <c r="Z74">
        <f>IF(O74="Sí",COUNTIFS($D$2:D74,D74,$O$2:O74,"Sí"),"")</f>
      </c>
      <c r="AA74">
        <f>IF(Z74&lt;&gt;"",D74&amp;"|"&amp;Z74,"")</f>
      </c>
      <c r="AB74">
        <f>IF(AA74&lt;&gt;"",IF(K74&lt;&gt;"",K74&amp;" ("&amp;M74&amp;")",M74),"")</f>
      </c>
      <c r="AC74">
        <f>IF($B74="","fecha, ","")&amp;IF($C74="","quién lo introduce, ","")&amp;IF($I74="","motivo, ","")&amp;IF($K74="","docente, ","")&amp;IF($L74="","horario, ","")&amp;IF($N74="","duración, ","")&amp;IF($Q74="","estado, ","")&amp;IF(AND($I74="Otros",$J74=""),"detalle del motivo, ","")&amp;IF(AND($O74="Sí",$P74=""),"detalle del refuerzo, ","")&amp;IF(AND(OR($I74="Renuncia (hasta 30 nov)",$I74="Baja (desde 1 dic)",$I74="Renuncia excepcional (art. 25.3)",$I74="Traslado de expediente"),OR($E74="",$F74="",$G74="")),"quién deja la plaza, ","")&amp;IF(AND($Q74="No disponible",$R74=""),"vía de cobertura, ","")&amp;IF(AND(OR($R74="Lista de espera · propio centro",$R74="Traslado de expediente",$R74="Lista de espera · otro centro"),OR($S74="",$T74="",$U74="")),"quién ocupa la plaza, ","")</f>
      </c>
      <c r="AD74" s="24">
        <f>IF($D74="","",IF(AND(LEN($AC74)=0,LEN($AK74)=0),"Completa",IF(LEN($AC74)=0,"Revisar: "&amp;LEFT($AK74,LEN($AK74)-2),"Falta: "&amp;LEFT($AC74,LEN($AC74)-2)&amp;IF(LEN($AK74)&gt;0,"  ·  Revisar: "&amp;LEFT($AK74,LEN($AK74)-2),""))))</f>
      </c>
      <c r="AE74">
        <f>IF(AND($D74&lt;&gt;"",OR($I74="Renuncia (hasta 30 nov)",$I74="Baja (desde 1 dic)",$I74="Renuncia excepcional (art. 25.3)",$I74="Traslado de expediente")),COUNTIF($AE$1:AE73,"&gt;0")+1,"")</f>
      </c>
      <c r="AF74">
        <f>IF($Q74="Disponible",COUNTIF($AF$1:AF73,"&gt;0")+1,"")</f>
      </c>
      <c r="AG74">
        <f>IF($O74="Sí",COUNTIF($AG$1:AG73,"&gt;0")+1,"")</f>
      </c>
      <c r="AH74">
        <f>IF(AND($Q74="Disponible",$O74&lt;&gt;"Sí"),COUNTIF($AH$1:AH73,"&gt;0")+1,"")</f>
      </c>
      <c r="AI74">
        <f>IF(AND($Q74="Disponible",$K74&lt;&gt;""),COUNTIFS($K$2:K74,K74,$Q$2:Q74,"Disponible"),"")</f>
      </c>
      <c r="AJ74">
        <f>IF(AI74&lt;&gt;"",K74&amp;"|"&amp;AI74,"")</f>
      </c>
      <c r="AK74">
        <f>IF(AND($Q74="No disponible",OR($R74="Lista de espera · propio centro",$R74="Traslado de expediente",$R74="Lista de espera · otro centro"),$O74="Sí"),"la plaza ya tiene alumno y sigue marcada como refuerzo, ","")&amp;IF(AND($R74="Reconvertida en refuerzo",$O74&lt;&gt;"Sí"),"reconvertida en refuerzo pero sin marcar «En uso como refuerzo», ","")</f>
      </c>
    </row>
    <row r="75" spans="1:37">
      <c r="A75" s="20">
        <f>IF(D75&lt;&gt;"",ROW()-1,"")</f>
      </c>
      <c r="B75" s="55"/>
      <c r="C75" s="56"/>
      <c r="D75" s="56"/>
      <c r="E75" s="56"/>
      <c r="F75" s="56"/>
      <c r="G75" s="56"/>
      <c r="H75" s="56"/>
      <c r="I75" s="56"/>
      <c r="J75" s="57"/>
      <c r="K75" s="56"/>
      <c r="L75" s="58"/>
      <c r="M75" s="58">
        <f>IF(L75="","",L75)</f>
      </c>
      <c r="N75" s="56"/>
      <c r="O75" s="56"/>
      <c r="P75" s="57"/>
      <c r="Q75" s="56"/>
      <c r="R75" s="56"/>
      <c r="S75" s="56"/>
      <c r="T75" s="56"/>
      <c r="U75" s="56"/>
      <c r="V75" s="57"/>
      <c r="W75">
        <f>IF(Q75="Disponible",COUNTIFS($D$2:D75,D75,$Q$2:Q75,"Disponible"),"")</f>
      </c>
      <c r="X75">
        <f>IF(W75&lt;&gt;"",D75&amp;"|"&amp;W75,"")</f>
      </c>
      <c r="Y75">
        <f>IF(X75&lt;&gt;"",IF(K75&lt;&gt;"",K75&amp;" ("&amp;M75&amp;")",M75),"")</f>
      </c>
      <c r="Z75">
        <f>IF(O75="Sí",COUNTIFS($D$2:D75,D75,$O$2:O75,"Sí"),"")</f>
      </c>
      <c r="AA75">
        <f>IF(Z75&lt;&gt;"",D75&amp;"|"&amp;Z75,"")</f>
      </c>
      <c r="AB75">
        <f>IF(AA75&lt;&gt;"",IF(K75&lt;&gt;"",K75&amp;" ("&amp;M75&amp;")",M75),"")</f>
      </c>
      <c r="AC75">
        <f>IF($B75="","fecha, ","")&amp;IF($C75="","quién lo introduce, ","")&amp;IF($I75="","motivo, ","")&amp;IF($K75="","docente, ","")&amp;IF($L75="","horario, ","")&amp;IF($N75="","duración, ","")&amp;IF($Q75="","estado, ","")&amp;IF(AND($I75="Otros",$J75=""),"detalle del motivo, ","")&amp;IF(AND($O75="Sí",$P75=""),"detalle del refuerzo, ","")&amp;IF(AND(OR($I75="Renuncia (hasta 30 nov)",$I75="Baja (desde 1 dic)",$I75="Renuncia excepcional (art. 25.3)",$I75="Traslado de expediente"),OR($E75="",$F75="",$G75="")),"quién deja la plaza, ","")&amp;IF(AND($Q75="No disponible",$R75=""),"vía de cobertura, ","")&amp;IF(AND(OR($R75="Lista de espera · propio centro",$R75="Traslado de expediente",$R75="Lista de espera · otro centro"),OR($S75="",$T75="",$U75="")),"quién ocupa la plaza, ","")</f>
      </c>
      <c r="AD75" s="24">
        <f>IF($D75="","",IF(AND(LEN($AC75)=0,LEN($AK75)=0),"Completa",IF(LEN($AC75)=0,"Revisar: "&amp;LEFT($AK75,LEN($AK75)-2),"Falta: "&amp;LEFT($AC75,LEN($AC75)-2)&amp;IF(LEN($AK75)&gt;0,"  ·  Revisar: "&amp;LEFT($AK75,LEN($AK75)-2),""))))</f>
      </c>
      <c r="AE75">
        <f>IF(AND($D75&lt;&gt;"",OR($I75="Renuncia (hasta 30 nov)",$I75="Baja (desde 1 dic)",$I75="Renuncia excepcional (art. 25.3)",$I75="Traslado de expediente")),COUNTIF($AE$1:AE74,"&gt;0")+1,"")</f>
      </c>
      <c r="AF75">
        <f>IF($Q75="Disponible",COUNTIF($AF$1:AF74,"&gt;0")+1,"")</f>
      </c>
      <c r="AG75">
        <f>IF($O75="Sí",COUNTIF($AG$1:AG74,"&gt;0")+1,"")</f>
      </c>
      <c r="AH75">
        <f>IF(AND($Q75="Disponible",$O75&lt;&gt;"Sí"),COUNTIF($AH$1:AH74,"&gt;0")+1,"")</f>
      </c>
      <c r="AI75">
        <f>IF(AND($Q75="Disponible",$K75&lt;&gt;""),COUNTIFS($K$2:K75,K75,$Q$2:Q75,"Disponible"),"")</f>
      </c>
      <c r="AJ75">
        <f>IF(AI75&lt;&gt;"",K75&amp;"|"&amp;AI75,"")</f>
      </c>
      <c r="AK75">
        <f>IF(AND($Q75="No disponible",OR($R75="Lista de espera · propio centro",$R75="Traslado de expediente",$R75="Lista de espera · otro centro"),$O75="Sí"),"la plaza ya tiene alumno y sigue marcada como refuerzo, ","")&amp;IF(AND($R75="Reconvertida en refuerzo",$O75&lt;&gt;"Sí"),"reconvertida en refuerzo pero sin marcar «En uso como refuerzo», ","")</f>
      </c>
    </row>
    <row r="76" spans="1:37">
      <c r="A76" s="20">
        <f>IF(D76&lt;&gt;"",ROW()-1,"")</f>
      </c>
      <c r="B76" s="55"/>
      <c r="C76" s="56"/>
      <c r="D76" s="56"/>
      <c r="E76" s="56"/>
      <c r="F76" s="56"/>
      <c r="G76" s="56"/>
      <c r="H76" s="56"/>
      <c r="I76" s="56"/>
      <c r="J76" s="57"/>
      <c r="K76" s="56"/>
      <c r="L76" s="58"/>
      <c r="M76" s="58">
        <f>IF(L76="","",L76)</f>
      </c>
      <c r="N76" s="56"/>
      <c r="O76" s="56"/>
      <c r="P76" s="57"/>
      <c r="Q76" s="56"/>
      <c r="R76" s="56"/>
      <c r="S76" s="56"/>
      <c r="T76" s="56"/>
      <c r="U76" s="56"/>
      <c r="V76" s="57"/>
      <c r="W76">
        <f>IF(Q76="Disponible",COUNTIFS($D$2:D76,D76,$Q$2:Q76,"Disponible"),"")</f>
      </c>
      <c r="X76">
        <f>IF(W76&lt;&gt;"",D76&amp;"|"&amp;W76,"")</f>
      </c>
      <c r="Y76">
        <f>IF(X76&lt;&gt;"",IF(K76&lt;&gt;"",K76&amp;" ("&amp;M76&amp;")",M76),"")</f>
      </c>
      <c r="Z76">
        <f>IF(O76="Sí",COUNTIFS($D$2:D76,D76,$O$2:O76,"Sí"),"")</f>
      </c>
      <c r="AA76">
        <f>IF(Z76&lt;&gt;"",D76&amp;"|"&amp;Z76,"")</f>
      </c>
      <c r="AB76">
        <f>IF(AA76&lt;&gt;"",IF(K76&lt;&gt;"",K76&amp;" ("&amp;M76&amp;")",M76),"")</f>
      </c>
      <c r="AC76">
        <f>IF($B76="","fecha, ","")&amp;IF($C76="","quién lo introduce, ","")&amp;IF($I76="","motivo, ","")&amp;IF($K76="","docente, ","")&amp;IF($L76="","horario, ","")&amp;IF($N76="","duración, ","")&amp;IF($Q76="","estado, ","")&amp;IF(AND($I76="Otros",$J76=""),"detalle del motivo, ","")&amp;IF(AND($O76="Sí",$P76=""),"detalle del refuerzo, ","")&amp;IF(AND(OR($I76="Renuncia (hasta 30 nov)",$I76="Baja (desde 1 dic)",$I76="Renuncia excepcional (art. 25.3)",$I76="Traslado de expediente"),OR($E76="",$F76="",$G76="")),"quién deja la plaza, ","")&amp;IF(AND($Q76="No disponible",$R76=""),"vía de cobertura, ","")&amp;IF(AND(OR($R76="Lista de espera · propio centro",$R76="Traslado de expediente",$R76="Lista de espera · otro centro"),OR($S76="",$T76="",$U76="")),"quién ocupa la plaza, ","")</f>
      </c>
      <c r="AD76" s="24">
        <f>IF($D76="","",IF(AND(LEN($AC76)=0,LEN($AK76)=0),"Completa",IF(LEN($AC76)=0,"Revisar: "&amp;LEFT($AK76,LEN($AK76)-2),"Falta: "&amp;LEFT($AC76,LEN($AC76)-2)&amp;IF(LEN($AK76)&gt;0,"  ·  Revisar: "&amp;LEFT($AK76,LEN($AK76)-2),""))))</f>
      </c>
      <c r="AE76">
        <f>IF(AND($D76&lt;&gt;"",OR($I76="Renuncia (hasta 30 nov)",$I76="Baja (desde 1 dic)",$I76="Renuncia excepcional (art. 25.3)",$I76="Traslado de expediente")),COUNTIF($AE$1:AE75,"&gt;0")+1,"")</f>
      </c>
      <c r="AF76">
        <f>IF($Q76="Disponible",COUNTIF($AF$1:AF75,"&gt;0")+1,"")</f>
      </c>
      <c r="AG76">
        <f>IF($O76="Sí",COUNTIF($AG$1:AG75,"&gt;0")+1,"")</f>
      </c>
      <c r="AH76">
        <f>IF(AND($Q76="Disponible",$O76&lt;&gt;"Sí"),COUNTIF($AH$1:AH75,"&gt;0")+1,"")</f>
      </c>
      <c r="AI76">
        <f>IF(AND($Q76="Disponible",$K76&lt;&gt;""),COUNTIFS($K$2:K76,K76,$Q$2:Q76,"Disponible"),"")</f>
      </c>
      <c r="AJ76">
        <f>IF(AI76&lt;&gt;"",K76&amp;"|"&amp;AI76,"")</f>
      </c>
      <c r="AK76">
        <f>IF(AND($Q76="No disponible",OR($R76="Lista de espera · propio centro",$R76="Traslado de expediente",$R76="Lista de espera · otro centro"),$O76="Sí"),"la plaza ya tiene alumno y sigue marcada como refuerzo, ","")&amp;IF(AND($R76="Reconvertida en refuerzo",$O76&lt;&gt;"Sí"),"reconvertida en refuerzo pero sin marcar «En uso como refuerzo», ","")</f>
      </c>
    </row>
    <row r="77" spans="1:37">
      <c r="A77" s="20">
        <f>IF(D77&lt;&gt;"",ROW()-1,"")</f>
      </c>
      <c r="B77" s="55"/>
      <c r="C77" s="56"/>
      <c r="D77" s="56"/>
      <c r="E77" s="56"/>
      <c r="F77" s="56"/>
      <c r="G77" s="56"/>
      <c r="H77" s="56"/>
      <c r="I77" s="56"/>
      <c r="J77" s="57"/>
      <c r="K77" s="56"/>
      <c r="L77" s="58"/>
      <c r="M77" s="58">
        <f>IF(L77="","",L77)</f>
      </c>
      <c r="N77" s="56"/>
      <c r="O77" s="56"/>
      <c r="P77" s="57"/>
      <c r="Q77" s="56"/>
      <c r="R77" s="56"/>
      <c r="S77" s="56"/>
      <c r="T77" s="56"/>
      <c r="U77" s="56"/>
      <c r="V77" s="57"/>
      <c r="W77">
        <f>IF(Q77="Disponible",COUNTIFS($D$2:D77,D77,$Q$2:Q77,"Disponible"),"")</f>
      </c>
      <c r="X77">
        <f>IF(W77&lt;&gt;"",D77&amp;"|"&amp;W77,"")</f>
      </c>
      <c r="Y77">
        <f>IF(X77&lt;&gt;"",IF(K77&lt;&gt;"",K77&amp;" ("&amp;M77&amp;")",M77),"")</f>
      </c>
      <c r="Z77">
        <f>IF(O77="Sí",COUNTIFS($D$2:D77,D77,$O$2:O77,"Sí"),"")</f>
      </c>
      <c r="AA77">
        <f>IF(Z77&lt;&gt;"",D77&amp;"|"&amp;Z77,"")</f>
      </c>
      <c r="AB77">
        <f>IF(AA77&lt;&gt;"",IF(K77&lt;&gt;"",K77&amp;" ("&amp;M77&amp;")",M77),"")</f>
      </c>
      <c r="AC77">
        <f>IF($B77="","fecha, ","")&amp;IF($C77="","quién lo introduce, ","")&amp;IF($I77="","motivo, ","")&amp;IF($K77="","docente, ","")&amp;IF($L77="","horario, ","")&amp;IF($N77="","duración, ","")&amp;IF($Q77="","estado, ","")&amp;IF(AND($I77="Otros",$J77=""),"detalle del motivo, ","")&amp;IF(AND($O77="Sí",$P77=""),"detalle del refuerzo, ","")&amp;IF(AND(OR($I77="Renuncia (hasta 30 nov)",$I77="Baja (desde 1 dic)",$I77="Renuncia excepcional (art. 25.3)",$I77="Traslado de expediente"),OR($E77="",$F77="",$G77="")),"quién deja la plaza, ","")&amp;IF(AND($Q77="No disponible",$R77=""),"vía de cobertura, ","")&amp;IF(AND(OR($R77="Lista de espera · propio centro",$R77="Traslado de expediente",$R77="Lista de espera · otro centro"),OR($S77="",$T77="",$U77="")),"quién ocupa la plaza, ","")</f>
      </c>
      <c r="AD77" s="24">
        <f>IF($D77="","",IF(AND(LEN($AC77)=0,LEN($AK77)=0),"Completa",IF(LEN($AC77)=0,"Revisar: "&amp;LEFT($AK77,LEN($AK77)-2),"Falta: "&amp;LEFT($AC77,LEN($AC77)-2)&amp;IF(LEN($AK77)&gt;0,"  ·  Revisar: "&amp;LEFT($AK77,LEN($AK77)-2),""))))</f>
      </c>
      <c r="AE77">
        <f>IF(AND($D77&lt;&gt;"",OR($I77="Renuncia (hasta 30 nov)",$I77="Baja (desde 1 dic)",$I77="Renuncia excepcional (art. 25.3)",$I77="Traslado de expediente")),COUNTIF($AE$1:AE76,"&gt;0")+1,"")</f>
      </c>
      <c r="AF77">
        <f>IF($Q77="Disponible",COUNTIF($AF$1:AF76,"&gt;0")+1,"")</f>
      </c>
      <c r="AG77">
        <f>IF($O77="Sí",COUNTIF($AG$1:AG76,"&gt;0")+1,"")</f>
      </c>
      <c r="AH77">
        <f>IF(AND($Q77="Disponible",$O77&lt;&gt;"Sí"),COUNTIF($AH$1:AH76,"&gt;0")+1,"")</f>
      </c>
      <c r="AI77">
        <f>IF(AND($Q77="Disponible",$K77&lt;&gt;""),COUNTIFS($K$2:K77,K77,$Q$2:Q77,"Disponible"),"")</f>
      </c>
      <c r="AJ77">
        <f>IF(AI77&lt;&gt;"",K77&amp;"|"&amp;AI77,"")</f>
      </c>
      <c r="AK77">
        <f>IF(AND($Q77="No disponible",OR($R77="Lista de espera · propio centro",$R77="Traslado de expediente",$R77="Lista de espera · otro centro"),$O77="Sí"),"la plaza ya tiene alumno y sigue marcada como refuerzo, ","")&amp;IF(AND($R77="Reconvertida en refuerzo",$O77&lt;&gt;"Sí"),"reconvertida en refuerzo pero sin marcar «En uso como refuerzo», ","")</f>
      </c>
    </row>
    <row r="78" spans="1:37">
      <c r="A78" s="20">
        <f>IF(D78&lt;&gt;"",ROW()-1,"")</f>
      </c>
      <c r="B78" s="55"/>
      <c r="C78" s="56"/>
      <c r="D78" s="56"/>
      <c r="E78" s="56"/>
      <c r="F78" s="56"/>
      <c r="G78" s="56"/>
      <c r="H78" s="56"/>
      <c r="I78" s="56"/>
      <c r="J78" s="57"/>
      <c r="K78" s="56"/>
      <c r="L78" s="58"/>
      <c r="M78" s="58">
        <f>IF(L78="","",L78)</f>
      </c>
      <c r="N78" s="56"/>
      <c r="O78" s="56"/>
      <c r="P78" s="57"/>
      <c r="Q78" s="56"/>
      <c r="R78" s="56"/>
      <c r="S78" s="56"/>
      <c r="T78" s="56"/>
      <c r="U78" s="56"/>
      <c r="V78" s="57"/>
      <c r="W78">
        <f>IF(Q78="Disponible",COUNTIFS($D$2:D78,D78,$Q$2:Q78,"Disponible"),"")</f>
      </c>
      <c r="X78">
        <f>IF(W78&lt;&gt;"",D78&amp;"|"&amp;W78,"")</f>
      </c>
      <c r="Y78">
        <f>IF(X78&lt;&gt;"",IF(K78&lt;&gt;"",K78&amp;" ("&amp;M78&amp;")",M78),"")</f>
      </c>
      <c r="Z78">
        <f>IF(O78="Sí",COUNTIFS($D$2:D78,D78,$O$2:O78,"Sí"),"")</f>
      </c>
      <c r="AA78">
        <f>IF(Z78&lt;&gt;"",D78&amp;"|"&amp;Z78,"")</f>
      </c>
      <c r="AB78">
        <f>IF(AA78&lt;&gt;"",IF(K78&lt;&gt;"",K78&amp;" ("&amp;M78&amp;")",M78),"")</f>
      </c>
      <c r="AC78">
        <f>IF($B78="","fecha, ","")&amp;IF($C78="","quién lo introduce, ","")&amp;IF($I78="","motivo, ","")&amp;IF($K78="","docente, ","")&amp;IF($L78="","horario, ","")&amp;IF($N78="","duración, ","")&amp;IF($Q78="","estado, ","")&amp;IF(AND($I78="Otros",$J78=""),"detalle del motivo, ","")&amp;IF(AND($O78="Sí",$P78=""),"detalle del refuerzo, ","")&amp;IF(AND(OR($I78="Renuncia (hasta 30 nov)",$I78="Baja (desde 1 dic)",$I78="Renuncia excepcional (art. 25.3)",$I78="Traslado de expediente"),OR($E78="",$F78="",$G78="")),"quién deja la plaza, ","")&amp;IF(AND($Q78="No disponible",$R78=""),"vía de cobertura, ","")&amp;IF(AND(OR($R78="Lista de espera · propio centro",$R78="Traslado de expediente",$R78="Lista de espera · otro centro"),OR($S78="",$T78="",$U78="")),"quién ocupa la plaza, ","")</f>
      </c>
      <c r="AD78" s="24">
        <f>IF($D78="","",IF(AND(LEN($AC78)=0,LEN($AK78)=0),"Completa",IF(LEN($AC78)=0,"Revisar: "&amp;LEFT($AK78,LEN($AK78)-2),"Falta: "&amp;LEFT($AC78,LEN($AC78)-2)&amp;IF(LEN($AK78)&gt;0,"  ·  Revisar: "&amp;LEFT($AK78,LEN($AK78)-2),""))))</f>
      </c>
      <c r="AE78">
        <f>IF(AND($D78&lt;&gt;"",OR($I78="Renuncia (hasta 30 nov)",$I78="Baja (desde 1 dic)",$I78="Renuncia excepcional (art. 25.3)",$I78="Traslado de expediente")),COUNTIF($AE$1:AE77,"&gt;0")+1,"")</f>
      </c>
      <c r="AF78">
        <f>IF($Q78="Disponible",COUNTIF($AF$1:AF77,"&gt;0")+1,"")</f>
      </c>
      <c r="AG78">
        <f>IF($O78="Sí",COUNTIF($AG$1:AG77,"&gt;0")+1,"")</f>
      </c>
      <c r="AH78">
        <f>IF(AND($Q78="Disponible",$O78&lt;&gt;"Sí"),COUNTIF($AH$1:AH77,"&gt;0")+1,"")</f>
      </c>
      <c r="AI78">
        <f>IF(AND($Q78="Disponible",$K78&lt;&gt;""),COUNTIFS($K$2:K78,K78,$Q$2:Q78,"Disponible"),"")</f>
      </c>
      <c r="AJ78">
        <f>IF(AI78&lt;&gt;"",K78&amp;"|"&amp;AI78,"")</f>
      </c>
      <c r="AK78">
        <f>IF(AND($Q78="No disponible",OR($R78="Lista de espera · propio centro",$R78="Traslado de expediente",$R78="Lista de espera · otro centro"),$O78="Sí"),"la plaza ya tiene alumno y sigue marcada como refuerzo, ","")&amp;IF(AND($R78="Reconvertida en refuerzo",$O78&lt;&gt;"Sí"),"reconvertida en refuerzo pero sin marcar «En uso como refuerzo», ","")</f>
      </c>
    </row>
    <row r="79" spans="1:37">
      <c r="A79" s="20">
        <f>IF(D79&lt;&gt;"",ROW()-1,"")</f>
      </c>
      <c r="B79" s="55"/>
      <c r="C79" s="56"/>
      <c r="D79" s="56"/>
      <c r="E79" s="56"/>
      <c r="F79" s="56"/>
      <c r="G79" s="56"/>
      <c r="H79" s="56"/>
      <c r="I79" s="56"/>
      <c r="J79" s="57"/>
      <c r="K79" s="56"/>
      <c r="L79" s="58"/>
      <c r="M79" s="58">
        <f>IF(L79="","",L79)</f>
      </c>
      <c r="N79" s="56"/>
      <c r="O79" s="56"/>
      <c r="P79" s="57"/>
      <c r="Q79" s="56"/>
      <c r="R79" s="56"/>
      <c r="S79" s="56"/>
      <c r="T79" s="56"/>
      <c r="U79" s="56"/>
      <c r="V79" s="57"/>
      <c r="W79">
        <f>IF(Q79="Disponible",COUNTIFS($D$2:D79,D79,$Q$2:Q79,"Disponible"),"")</f>
      </c>
      <c r="X79">
        <f>IF(W79&lt;&gt;"",D79&amp;"|"&amp;W79,"")</f>
      </c>
      <c r="Y79">
        <f>IF(X79&lt;&gt;"",IF(K79&lt;&gt;"",K79&amp;" ("&amp;M79&amp;")",M79),"")</f>
      </c>
      <c r="Z79">
        <f>IF(O79="Sí",COUNTIFS($D$2:D79,D79,$O$2:O79,"Sí"),"")</f>
      </c>
      <c r="AA79">
        <f>IF(Z79&lt;&gt;"",D79&amp;"|"&amp;Z79,"")</f>
      </c>
      <c r="AB79">
        <f>IF(AA79&lt;&gt;"",IF(K79&lt;&gt;"",K79&amp;" ("&amp;M79&amp;")",M79),"")</f>
      </c>
      <c r="AC79">
        <f>IF($B79="","fecha, ","")&amp;IF($C79="","quién lo introduce, ","")&amp;IF($I79="","motivo, ","")&amp;IF($K79="","docente, ","")&amp;IF($L79="","horario, ","")&amp;IF($N79="","duración, ","")&amp;IF($Q79="","estado, ","")&amp;IF(AND($I79="Otros",$J79=""),"detalle del motivo, ","")&amp;IF(AND($O79="Sí",$P79=""),"detalle del refuerzo, ","")&amp;IF(AND(OR($I79="Renuncia (hasta 30 nov)",$I79="Baja (desde 1 dic)",$I79="Renuncia excepcional (art. 25.3)",$I79="Traslado de expediente"),OR($E79="",$F79="",$G79="")),"quién deja la plaza, ","")&amp;IF(AND($Q79="No disponible",$R79=""),"vía de cobertura, ","")&amp;IF(AND(OR($R79="Lista de espera · propio centro",$R79="Traslado de expediente",$R79="Lista de espera · otro centro"),OR($S79="",$T79="",$U79="")),"quién ocupa la plaza, ","")</f>
      </c>
      <c r="AD79" s="24">
        <f>IF($D79="","",IF(AND(LEN($AC79)=0,LEN($AK79)=0),"Completa",IF(LEN($AC79)=0,"Revisar: "&amp;LEFT($AK79,LEN($AK79)-2),"Falta: "&amp;LEFT($AC79,LEN($AC79)-2)&amp;IF(LEN($AK79)&gt;0,"  ·  Revisar: "&amp;LEFT($AK79,LEN($AK79)-2),""))))</f>
      </c>
      <c r="AE79">
        <f>IF(AND($D79&lt;&gt;"",OR($I79="Renuncia (hasta 30 nov)",$I79="Baja (desde 1 dic)",$I79="Renuncia excepcional (art. 25.3)",$I79="Traslado de expediente")),COUNTIF($AE$1:AE78,"&gt;0")+1,"")</f>
      </c>
      <c r="AF79">
        <f>IF($Q79="Disponible",COUNTIF($AF$1:AF78,"&gt;0")+1,"")</f>
      </c>
      <c r="AG79">
        <f>IF($O79="Sí",COUNTIF($AG$1:AG78,"&gt;0")+1,"")</f>
      </c>
      <c r="AH79">
        <f>IF(AND($Q79="Disponible",$O79&lt;&gt;"Sí"),COUNTIF($AH$1:AH78,"&gt;0")+1,"")</f>
      </c>
      <c r="AI79">
        <f>IF(AND($Q79="Disponible",$K79&lt;&gt;""),COUNTIFS($K$2:K79,K79,$Q$2:Q79,"Disponible"),"")</f>
      </c>
      <c r="AJ79">
        <f>IF(AI79&lt;&gt;"",K79&amp;"|"&amp;AI79,"")</f>
      </c>
      <c r="AK79">
        <f>IF(AND($Q79="No disponible",OR($R79="Lista de espera · propio centro",$R79="Traslado de expediente",$R79="Lista de espera · otro centro"),$O79="Sí"),"la plaza ya tiene alumno y sigue marcada como refuerzo, ","")&amp;IF(AND($R79="Reconvertida en refuerzo",$O79&lt;&gt;"Sí"),"reconvertida en refuerzo pero sin marcar «En uso como refuerzo», ","")</f>
      </c>
    </row>
    <row r="80" spans="1:37">
      <c r="A80" s="20">
        <f>IF(D80&lt;&gt;"",ROW()-1,"")</f>
      </c>
      <c r="B80" s="55"/>
      <c r="C80" s="56"/>
      <c r="D80" s="56"/>
      <c r="E80" s="56"/>
      <c r="F80" s="56"/>
      <c r="G80" s="56"/>
      <c r="H80" s="56"/>
      <c r="I80" s="56"/>
      <c r="J80" s="57"/>
      <c r="K80" s="56"/>
      <c r="L80" s="58"/>
      <c r="M80" s="58">
        <f>IF(L80="","",L80)</f>
      </c>
      <c r="N80" s="56"/>
      <c r="O80" s="56"/>
      <c r="P80" s="57"/>
      <c r="Q80" s="56"/>
      <c r="R80" s="56"/>
      <c r="S80" s="56"/>
      <c r="T80" s="56"/>
      <c r="U80" s="56"/>
      <c r="V80" s="57"/>
      <c r="W80">
        <f>IF(Q80="Disponible",COUNTIFS($D$2:D80,D80,$Q$2:Q80,"Disponible"),"")</f>
      </c>
      <c r="X80">
        <f>IF(W80&lt;&gt;"",D80&amp;"|"&amp;W80,"")</f>
      </c>
      <c r="Y80">
        <f>IF(X80&lt;&gt;"",IF(K80&lt;&gt;"",K80&amp;" ("&amp;M80&amp;")",M80),"")</f>
      </c>
      <c r="Z80">
        <f>IF(O80="Sí",COUNTIFS($D$2:D80,D80,$O$2:O80,"Sí"),"")</f>
      </c>
      <c r="AA80">
        <f>IF(Z80&lt;&gt;"",D80&amp;"|"&amp;Z80,"")</f>
      </c>
      <c r="AB80">
        <f>IF(AA80&lt;&gt;"",IF(K80&lt;&gt;"",K80&amp;" ("&amp;M80&amp;")",M80),"")</f>
      </c>
      <c r="AC80">
        <f>IF($B80="","fecha, ","")&amp;IF($C80="","quién lo introduce, ","")&amp;IF($I80="","motivo, ","")&amp;IF($K80="","docente, ","")&amp;IF($L80="","horario, ","")&amp;IF($N80="","duración, ","")&amp;IF($Q80="","estado, ","")&amp;IF(AND($I80="Otros",$J80=""),"detalle del motivo, ","")&amp;IF(AND($O80="Sí",$P80=""),"detalle del refuerzo, ","")&amp;IF(AND(OR($I80="Renuncia (hasta 30 nov)",$I80="Baja (desde 1 dic)",$I80="Renuncia excepcional (art. 25.3)",$I80="Traslado de expediente"),OR($E80="",$F80="",$G80="")),"quién deja la plaza, ","")&amp;IF(AND($Q80="No disponible",$R80=""),"vía de cobertura, ","")&amp;IF(AND(OR($R80="Lista de espera · propio centro",$R80="Traslado de expediente",$R80="Lista de espera · otro centro"),OR($S80="",$T80="",$U80="")),"quién ocupa la plaza, ","")</f>
      </c>
      <c r="AD80" s="24">
        <f>IF($D80="","",IF(AND(LEN($AC80)=0,LEN($AK80)=0),"Completa",IF(LEN($AC80)=0,"Revisar: "&amp;LEFT($AK80,LEN($AK80)-2),"Falta: "&amp;LEFT($AC80,LEN($AC80)-2)&amp;IF(LEN($AK80)&gt;0,"  ·  Revisar: "&amp;LEFT($AK80,LEN($AK80)-2),""))))</f>
      </c>
      <c r="AE80">
        <f>IF(AND($D80&lt;&gt;"",OR($I80="Renuncia (hasta 30 nov)",$I80="Baja (desde 1 dic)",$I80="Renuncia excepcional (art. 25.3)",$I80="Traslado de expediente")),COUNTIF($AE$1:AE79,"&gt;0")+1,"")</f>
      </c>
      <c r="AF80">
        <f>IF($Q80="Disponible",COUNTIF($AF$1:AF79,"&gt;0")+1,"")</f>
      </c>
      <c r="AG80">
        <f>IF($O80="Sí",COUNTIF($AG$1:AG79,"&gt;0")+1,"")</f>
      </c>
      <c r="AH80">
        <f>IF(AND($Q80="Disponible",$O80&lt;&gt;"Sí"),COUNTIF($AH$1:AH79,"&gt;0")+1,"")</f>
      </c>
      <c r="AI80">
        <f>IF(AND($Q80="Disponible",$K80&lt;&gt;""),COUNTIFS($K$2:K80,K80,$Q$2:Q80,"Disponible"),"")</f>
      </c>
      <c r="AJ80">
        <f>IF(AI80&lt;&gt;"",K80&amp;"|"&amp;AI80,"")</f>
      </c>
      <c r="AK80">
        <f>IF(AND($Q80="No disponible",OR($R80="Lista de espera · propio centro",$R80="Traslado de expediente",$R80="Lista de espera · otro centro"),$O80="Sí"),"la plaza ya tiene alumno y sigue marcada como refuerzo, ","")&amp;IF(AND($R80="Reconvertida en refuerzo",$O80&lt;&gt;"Sí"),"reconvertida en refuerzo pero sin marcar «En uso como refuerzo», ","")</f>
      </c>
    </row>
    <row r="81" spans="1:37">
      <c r="A81" s="20">
        <f>IF(D81&lt;&gt;"",ROW()-1,"")</f>
      </c>
      <c r="B81" s="55"/>
      <c r="C81" s="56"/>
      <c r="D81" s="56"/>
      <c r="E81" s="56"/>
      <c r="F81" s="56"/>
      <c r="G81" s="56"/>
      <c r="H81" s="56"/>
      <c r="I81" s="56"/>
      <c r="J81" s="57"/>
      <c r="K81" s="56"/>
      <c r="L81" s="58"/>
      <c r="M81" s="58">
        <f>IF(L81="","",L81)</f>
      </c>
      <c r="N81" s="56"/>
      <c r="O81" s="56"/>
      <c r="P81" s="57"/>
      <c r="Q81" s="56"/>
      <c r="R81" s="56"/>
      <c r="S81" s="56"/>
      <c r="T81" s="56"/>
      <c r="U81" s="56"/>
      <c r="V81" s="57"/>
      <c r="W81">
        <f>IF(Q81="Disponible",COUNTIFS($D$2:D81,D81,$Q$2:Q81,"Disponible"),"")</f>
      </c>
      <c r="X81">
        <f>IF(W81&lt;&gt;"",D81&amp;"|"&amp;W81,"")</f>
      </c>
      <c r="Y81">
        <f>IF(X81&lt;&gt;"",IF(K81&lt;&gt;"",K81&amp;" ("&amp;M81&amp;")",M81),"")</f>
      </c>
      <c r="Z81">
        <f>IF(O81="Sí",COUNTIFS($D$2:D81,D81,$O$2:O81,"Sí"),"")</f>
      </c>
      <c r="AA81">
        <f>IF(Z81&lt;&gt;"",D81&amp;"|"&amp;Z81,"")</f>
      </c>
      <c r="AB81">
        <f>IF(AA81&lt;&gt;"",IF(K81&lt;&gt;"",K81&amp;" ("&amp;M81&amp;")",M81),"")</f>
      </c>
      <c r="AC81">
        <f>IF($B81="","fecha, ","")&amp;IF($C81="","quién lo introduce, ","")&amp;IF($I81="","motivo, ","")&amp;IF($K81="","docente, ","")&amp;IF($L81="","horario, ","")&amp;IF($N81="","duración, ","")&amp;IF($Q81="","estado, ","")&amp;IF(AND($I81="Otros",$J81=""),"detalle del motivo, ","")&amp;IF(AND($O81="Sí",$P81=""),"detalle del refuerzo, ","")&amp;IF(AND(OR($I81="Renuncia (hasta 30 nov)",$I81="Baja (desde 1 dic)",$I81="Renuncia excepcional (art. 25.3)",$I81="Traslado de expediente"),OR($E81="",$F81="",$G81="")),"quién deja la plaza, ","")&amp;IF(AND($Q81="No disponible",$R81=""),"vía de cobertura, ","")&amp;IF(AND(OR($R81="Lista de espera · propio centro",$R81="Traslado de expediente",$R81="Lista de espera · otro centro"),OR($S81="",$T81="",$U81="")),"quién ocupa la plaza, ","")</f>
      </c>
      <c r="AD81" s="24">
        <f>IF($D81="","",IF(AND(LEN($AC81)=0,LEN($AK81)=0),"Completa",IF(LEN($AC81)=0,"Revisar: "&amp;LEFT($AK81,LEN($AK81)-2),"Falta: "&amp;LEFT($AC81,LEN($AC81)-2)&amp;IF(LEN($AK81)&gt;0,"  ·  Revisar: "&amp;LEFT($AK81,LEN($AK81)-2),""))))</f>
      </c>
      <c r="AE81">
        <f>IF(AND($D81&lt;&gt;"",OR($I81="Renuncia (hasta 30 nov)",$I81="Baja (desde 1 dic)",$I81="Renuncia excepcional (art. 25.3)",$I81="Traslado de expediente")),COUNTIF($AE$1:AE80,"&gt;0")+1,"")</f>
      </c>
      <c r="AF81">
        <f>IF($Q81="Disponible",COUNTIF($AF$1:AF80,"&gt;0")+1,"")</f>
      </c>
      <c r="AG81">
        <f>IF($O81="Sí",COUNTIF($AG$1:AG80,"&gt;0")+1,"")</f>
      </c>
      <c r="AH81">
        <f>IF(AND($Q81="Disponible",$O81&lt;&gt;"Sí"),COUNTIF($AH$1:AH80,"&gt;0")+1,"")</f>
      </c>
      <c r="AI81">
        <f>IF(AND($Q81="Disponible",$K81&lt;&gt;""),COUNTIFS($K$2:K81,K81,$Q$2:Q81,"Disponible"),"")</f>
      </c>
      <c r="AJ81">
        <f>IF(AI81&lt;&gt;"",K81&amp;"|"&amp;AI81,"")</f>
      </c>
      <c r="AK81">
        <f>IF(AND($Q81="No disponible",OR($R81="Lista de espera · propio centro",$R81="Traslado de expediente",$R81="Lista de espera · otro centro"),$O81="Sí"),"la plaza ya tiene alumno y sigue marcada como refuerzo, ","")&amp;IF(AND($R81="Reconvertida en refuerzo",$O81&lt;&gt;"Sí"),"reconvertida en refuerzo pero sin marcar «En uso como refuerzo», ","")</f>
      </c>
    </row>
    <row r="82" spans="1:37">
      <c r="A82" s="20">
        <f>IF(D82&lt;&gt;"",ROW()-1,"")</f>
      </c>
      <c r="B82" s="55"/>
      <c r="C82" s="56"/>
      <c r="D82" s="56"/>
      <c r="E82" s="56"/>
      <c r="F82" s="56"/>
      <c r="G82" s="56"/>
      <c r="H82" s="56"/>
      <c r="I82" s="56"/>
      <c r="J82" s="57"/>
      <c r="K82" s="56"/>
      <c r="L82" s="58"/>
      <c r="M82" s="58">
        <f>IF(L82="","",L82)</f>
      </c>
      <c r="N82" s="56"/>
      <c r="O82" s="56"/>
      <c r="P82" s="57"/>
      <c r="Q82" s="56"/>
      <c r="R82" s="56"/>
      <c r="S82" s="56"/>
      <c r="T82" s="56"/>
      <c r="U82" s="56"/>
      <c r="V82" s="57"/>
      <c r="W82">
        <f>IF(Q82="Disponible",COUNTIFS($D$2:D82,D82,$Q$2:Q82,"Disponible"),"")</f>
      </c>
      <c r="X82">
        <f>IF(W82&lt;&gt;"",D82&amp;"|"&amp;W82,"")</f>
      </c>
      <c r="Y82">
        <f>IF(X82&lt;&gt;"",IF(K82&lt;&gt;"",K82&amp;" ("&amp;M82&amp;")",M82),"")</f>
      </c>
      <c r="Z82">
        <f>IF(O82="Sí",COUNTIFS($D$2:D82,D82,$O$2:O82,"Sí"),"")</f>
      </c>
      <c r="AA82">
        <f>IF(Z82&lt;&gt;"",D82&amp;"|"&amp;Z82,"")</f>
      </c>
      <c r="AB82">
        <f>IF(AA82&lt;&gt;"",IF(K82&lt;&gt;"",K82&amp;" ("&amp;M82&amp;")",M82),"")</f>
      </c>
      <c r="AC82">
        <f>IF($B82="","fecha, ","")&amp;IF($C82="","quién lo introduce, ","")&amp;IF($I82="","motivo, ","")&amp;IF($K82="","docente, ","")&amp;IF($L82="","horario, ","")&amp;IF($N82="","duración, ","")&amp;IF($Q82="","estado, ","")&amp;IF(AND($I82="Otros",$J82=""),"detalle del motivo, ","")&amp;IF(AND($O82="Sí",$P82=""),"detalle del refuerzo, ","")&amp;IF(AND(OR($I82="Renuncia (hasta 30 nov)",$I82="Baja (desde 1 dic)",$I82="Renuncia excepcional (art. 25.3)",$I82="Traslado de expediente"),OR($E82="",$F82="",$G82="")),"quién deja la plaza, ","")&amp;IF(AND($Q82="No disponible",$R82=""),"vía de cobertura, ","")&amp;IF(AND(OR($R82="Lista de espera · propio centro",$R82="Traslado de expediente",$R82="Lista de espera · otro centro"),OR($S82="",$T82="",$U82="")),"quién ocupa la plaza, ","")</f>
      </c>
      <c r="AD82" s="24">
        <f>IF($D82="","",IF(AND(LEN($AC82)=0,LEN($AK82)=0),"Completa",IF(LEN($AC82)=0,"Revisar: "&amp;LEFT($AK82,LEN($AK82)-2),"Falta: "&amp;LEFT($AC82,LEN($AC82)-2)&amp;IF(LEN($AK82)&gt;0,"  ·  Revisar: "&amp;LEFT($AK82,LEN($AK82)-2),""))))</f>
      </c>
      <c r="AE82">
        <f>IF(AND($D82&lt;&gt;"",OR($I82="Renuncia (hasta 30 nov)",$I82="Baja (desde 1 dic)",$I82="Renuncia excepcional (art. 25.3)",$I82="Traslado de expediente")),COUNTIF($AE$1:AE81,"&gt;0")+1,"")</f>
      </c>
      <c r="AF82">
        <f>IF($Q82="Disponible",COUNTIF($AF$1:AF81,"&gt;0")+1,"")</f>
      </c>
      <c r="AG82">
        <f>IF($O82="Sí",COUNTIF($AG$1:AG81,"&gt;0")+1,"")</f>
      </c>
      <c r="AH82">
        <f>IF(AND($Q82="Disponible",$O82&lt;&gt;"Sí"),COUNTIF($AH$1:AH81,"&gt;0")+1,"")</f>
      </c>
      <c r="AI82">
        <f>IF(AND($Q82="Disponible",$K82&lt;&gt;""),COUNTIFS($K$2:K82,K82,$Q$2:Q82,"Disponible"),"")</f>
      </c>
      <c r="AJ82">
        <f>IF(AI82&lt;&gt;"",K82&amp;"|"&amp;AI82,"")</f>
      </c>
      <c r="AK82">
        <f>IF(AND($Q82="No disponible",OR($R82="Lista de espera · propio centro",$R82="Traslado de expediente",$R82="Lista de espera · otro centro"),$O82="Sí"),"la plaza ya tiene alumno y sigue marcada como refuerzo, ","")&amp;IF(AND($R82="Reconvertida en refuerzo",$O82&lt;&gt;"Sí"),"reconvertida en refuerzo pero sin marcar «En uso como refuerzo», ","")</f>
      </c>
    </row>
    <row r="83" spans="1:37">
      <c r="A83" s="20">
        <f>IF(D83&lt;&gt;"",ROW()-1,"")</f>
      </c>
      <c r="B83" s="55"/>
      <c r="C83" s="56"/>
      <c r="D83" s="56"/>
      <c r="E83" s="56"/>
      <c r="F83" s="56"/>
      <c r="G83" s="56"/>
      <c r="H83" s="56"/>
      <c r="I83" s="56"/>
      <c r="J83" s="57"/>
      <c r="K83" s="56"/>
      <c r="L83" s="58"/>
      <c r="M83" s="58">
        <f>IF(L83="","",L83)</f>
      </c>
      <c r="N83" s="56"/>
      <c r="O83" s="56"/>
      <c r="P83" s="57"/>
      <c r="Q83" s="56"/>
      <c r="R83" s="56"/>
      <c r="S83" s="56"/>
      <c r="T83" s="56"/>
      <c r="U83" s="56"/>
      <c r="V83" s="57"/>
      <c r="W83">
        <f>IF(Q83="Disponible",COUNTIFS($D$2:D83,D83,$Q$2:Q83,"Disponible"),"")</f>
      </c>
      <c r="X83">
        <f>IF(W83&lt;&gt;"",D83&amp;"|"&amp;W83,"")</f>
      </c>
      <c r="Y83">
        <f>IF(X83&lt;&gt;"",IF(K83&lt;&gt;"",K83&amp;" ("&amp;M83&amp;")",M83),"")</f>
      </c>
      <c r="Z83">
        <f>IF(O83="Sí",COUNTIFS($D$2:D83,D83,$O$2:O83,"Sí"),"")</f>
      </c>
      <c r="AA83">
        <f>IF(Z83&lt;&gt;"",D83&amp;"|"&amp;Z83,"")</f>
      </c>
      <c r="AB83">
        <f>IF(AA83&lt;&gt;"",IF(K83&lt;&gt;"",K83&amp;" ("&amp;M83&amp;")",M83),"")</f>
      </c>
      <c r="AC83">
        <f>IF($B83="","fecha, ","")&amp;IF($C83="","quién lo introduce, ","")&amp;IF($I83="","motivo, ","")&amp;IF($K83="","docente, ","")&amp;IF($L83="","horario, ","")&amp;IF($N83="","duración, ","")&amp;IF($Q83="","estado, ","")&amp;IF(AND($I83="Otros",$J83=""),"detalle del motivo, ","")&amp;IF(AND($O83="Sí",$P83=""),"detalle del refuerzo, ","")&amp;IF(AND(OR($I83="Renuncia (hasta 30 nov)",$I83="Baja (desde 1 dic)",$I83="Renuncia excepcional (art. 25.3)",$I83="Traslado de expediente"),OR($E83="",$F83="",$G83="")),"quién deja la plaza, ","")&amp;IF(AND($Q83="No disponible",$R83=""),"vía de cobertura, ","")&amp;IF(AND(OR($R83="Lista de espera · propio centro",$R83="Traslado de expediente",$R83="Lista de espera · otro centro"),OR($S83="",$T83="",$U83="")),"quién ocupa la plaza, ","")</f>
      </c>
      <c r="AD83" s="24">
        <f>IF($D83="","",IF(AND(LEN($AC83)=0,LEN($AK83)=0),"Completa",IF(LEN($AC83)=0,"Revisar: "&amp;LEFT($AK83,LEN($AK83)-2),"Falta: "&amp;LEFT($AC83,LEN($AC83)-2)&amp;IF(LEN($AK83)&gt;0,"  ·  Revisar: "&amp;LEFT($AK83,LEN($AK83)-2),""))))</f>
      </c>
      <c r="AE83">
        <f>IF(AND($D83&lt;&gt;"",OR($I83="Renuncia (hasta 30 nov)",$I83="Baja (desde 1 dic)",$I83="Renuncia excepcional (art. 25.3)",$I83="Traslado de expediente")),COUNTIF($AE$1:AE82,"&gt;0")+1,"")</f>
      </c>
      <c r="AF83">
        <f>IF($Q83="Disponible",COUNTIF($AF$1:AF82,"&gt;0")+1,"")</f>
      </c>
      <c r="AG83">
        <f>IF($O83="Sí",COUNTIF($AG$1:AG82,"&gt;0")+1,"")</f>
      </c>
      <c r="AH83">
        <f>IF(AND($Q83="Disponible",$O83&lt;&gt;"Sí"),COUNTIF($AH$1:AH82,"&gt;0")+1,"")</f>
      </c>
      <c r="AI83">
        <f>IF(AND($Q83="Disponible",$K83&lt;&gt;""),COUNTIFS($K$2:K83,K83,$Q$2:Q83,"Disponible"),"")</f>
      </c>
      <c r="AJ83">
        <f>IF(AI83&lt;&gt;"",K83&amp;"|"&amp;AI83,"")</f>
      </c>
      <c r="AK83">
        <f>IF(AND($Q83="No disponible",OR($R83="Lista de espera · propio centro",$R83="Traslado de expediente",$R83="Lista de espera · otro centro"),$O83="Sí"),"la plaza ya tiene alumno y sigue marcada como refuerzo, ","")&amp;IF(AND($R83="Reconvertida en refuerzo",$O83&lt;&gt;"Sí"),"reconvertida en refuerzo pero sin marcar «En uso como refuerzo», ","")</f>
      </c>
    </row>
    <row r="84" spans="1:37">
      <c r="A84" s="20">
        <f>IF(D84&lt;&gt;"",ROW()-1,"")</f>
      </c>
      <c r="B84" s="55"/>
      <c r="C84" s="56"/>
      <c r="D84" s="56"/>
      <c r="E84" s="56"/>
      <c r="F84" s="56"/>
      <c r="G84" s="56"/>
      <c r="H84" s="56"/>
      <c r="I84" s="56"/>
      <c r="J84" s="57"/>
      <c r="K84" s="56"/>
      <c r="L84" s="58"/>
      <c r="M84" s="58">
        <f>IF(L84="","",L84)</f>
      </c>
      <c r="N84" s="56"/>
      <c r="O84" s="56"/>
      <c r="P84" s="57"/>
      <c r="Q84" s="56"/>
      <c r="R84" s="56"/>
      <c r="S84" s="56"/>
      <c r="T84" s="56"/>
      <c r="U84" s="56"/>
      <c r="V84" s="57"/>
      <c r="W84">
        <f>IF(Q84="Disponible",COUNTIFS($D$2:D84,D84,$Q$2:Q84,"Disponible"),"")</f>
      </c>
      <c r="X84">
        <f>IF(W84&lt;&gt;"",D84&amp;"|"&amp;W84,"")</f>
      </c>
      <c r="Y84">
        <f>IF(X84&lt;&gt;"",IF(K84&lt;&gt;"",K84&amp;" ("&amp;M84&amp;")",M84),"")</f>
      </c>
      <c r="Z84">
        <f>IF(O84="Sí",COUNTIFS($D$2:D84,D84,$O$2:O84,"Sí"),"")</f>
      </c>
      <c r="AA84">
        <f>IF(Z84&lt;&gt;"",D84&amp;"|"&amp;Z84,"")</f>
      </c>
      <c r="AB84">
        <f>IF(AA84&lt;&gt;"",IF(K84&lt;&gt;"",K84&amp;" ("&amp;M84&amp;")",M84),"")</f>
      </c>
      <c r="AC84">
        <f>IF($B84="","fecha, ","")&amp;IF($C84="","quién lo introduce, ","")&amp;IF($I84="","motivo, ","")&amp;IF($K84="","docente, ","")&amp;IF($L84="","horario, ","")&amp;IF($N84="","duración, ","")&amp;IF($Q84="","estado, ","")&amp;IF(AND($I84="Otros",$J84=""),"detalle del motivo, ","")&amp;IF(AND($O84="Sí",$P84=""),"detalle del refuerzo, ","")&amp;IF(AND(OR($I84="Renuncia (hasta 30 nov)",$I84="Baja (desde 1 dic)",$I84="Renuncia excepcional (art. 25.3)",$I84="Traslado de expediente"),OR($E84="",$F84="",$G84="")),"quién deja la plaza, ","")&amp;IF(AND($Q84="No disponible",$R84=""),"vía de cobertura, ","")&amp;IF(AND(OR($R84="Lista de espera · propio centro",$R84="Traslado de expediente",$R84="Lista de espera · otro centro"),OR($S84="",$T84="",$U84="")),"quién ocupa la plaza, ","")</f>
      </c>
      <c r="AD84" s="24">
        <f>IF($D84="","",IF(AND(LEN($AC84)=0,LEN($AK84)=0),"Completa",IF(LEN($AC84)=0,"Revisar: "&amp;LEFT($AK84,LEN($AK84)-2),"Falta: "&amp;LEFT($AC84,LEN($AC84)-2)&amp;IF(LEN($AK84)&gt;0,"  ·  Revisar: "&amp;LEFT($AK84,LEN($AK84)-2),""))))</f>
      </c>
      <c r="AE84">
        <f>IF(AND($D84&lt;&gt;"",OR($I84="Renuncia (hasta 30 nov)",$I84="Baja (desde 1 dic)",$I84="Renuncia excepcional (art. 25.3)",$I84="Traslado de expediente")),COUNTIF($AE$1:AE83,"&gt;0")+1,"")</f>
      </c>
      <c r="AF84">
        <f>IF($Q84="Disponible",COUNTIF($AF$1:AF83,"&gt;0")+1,"")</f>
      </c>
      <c r="AG84">
        <f>IF($O84="Sí",COUNTIF($AG$1:AG83,"&gt;0")+1,"")</f>
      </c>
      <c r="AH84">
        <f>IF(AND($Q84="Disponible",$O84&lt;&gt;"Sí"),COUNTIF($AH$1:AH83,"&gt;0")+1,"")</f>
      </c>
      <c r="AI84">
        <f>IF(AND($Q84="Disponible",$K84&lt;&gt;""),COUNTIFS($K$2:K84,K84,$Q$2:Q84,"Disponible"),"")</f>
      </c>
      <c r="AJ84">
        <f>IF(AI84&lt;&gt;"",K84&amp;"|"&amp;AI84,"")</f>
      </c>
      <c r="AK84">
        <f>IF(AND($Q84="No disponible",OR($R84="Lista de espera · propio centro",$R84="Traslado de expediente",$R84="Lista de espera · otro centro"),$O84="Sí"),"la plaza ya tiene alumno y sigue marcada como refuerzo, ","")&amp;IF(AND($R84="Reconvertida en refuerzo",$O84&lt;&gt;"Sí"),"reconvertida en refuerzo pero sin marcar «En uso como refuerzo», ","")</f>
      </c>
    </row>
    <row r="85" spans="1:37">
      <c r="A85" s="20">
        <f>IF(D85&lt;&gt;"",ROW()-1,"")</f>
      </c>
      <c r="B85" s="55"/>
      <c r="C85" s="56"/>
      <c r="D85" s="56"/>
      <c r="E85" s="56"/>
      <c r="F85" s="56"/>
      <c r="G85" s="56"/>
      <c r="H85" s="56"/>
      <c r="I85" s="56"/>
      <c r="J85" s="57"/>
      <c r="K85" s="56"/>
      <c r="L85" s="58"/>
      <c r="M85" s="58">
        <f>IF(L85="","",L85)</f>
      </c>
      <c r="N85" s="56"/>
      <c r="O85" s="56"/>
      <c r="P85" s="57"/>
      <c r="Q85" s="56"/>
      <c r="R85" s="56"/>
      <c r="S85" s="56"/>
      <c r="T85" s="56"/>
      <c r="U85" s="56"/>
      <c r="V85" s="57"/>
      <c r="W85">
        <f>IF(Q85="Disponible",COUNTIFS($D$2:D85,D85,$Q$2:Q85,"Disponible"),"")</f>
      </c>
      <c r="X85">
        <f>IF(W85&lt;&gt;"",D85&amp;"|"&amp;W85,"")</f>
      </c>
      <c r="Y85">
        <f>IF(X85&lt;&gt;"",IF(K85&lt;&gt;"",K85&amp;" ("&amp;M85&amp;")",M85),"")</f>
      </c>
      <c r="Z85">
        <f>IF(O85="Sí",COUNTIFS($D$2:D85,D85,$O$2:O85,"Sí"),"")</f>
      </c>
      <c r="AA85">
        <f>IF(Z85&lt;&gt;"",D85&amp;"|"&amp;Z85,"")</f>
      </c>
      <c r="AB85">
        <f>IF(AA85&lt;&gt;"",IF(K85&lt;&gt;"",K85&amp;" ("&amp;M85&amp;")",M85),"")</f>
      </c>
      <c r="AC85">
        <f>IF($B85="","fecha, ","")&amp;IF($C85="","quién lo introduce, ","")&amp;IF($I85="","motivo, ","")&amp;IF($K85="","docente, ","")&amp;IF($L85="","horario, ","")&amp;IF($N85="","duración, ","")&amp;IF($Q85="","estado, ","")&amp;IF(AND($I85="Otros",$J85=""),"detalle del motivo, ","")&amp;IF(AND($O85="Sí",$P85=""),"detalle del refuerzo, ","")&amp;IF(AND(OR($I85="Renuncia (hasta 30 nov)",$I85="Baja (desde 1 dic)",$I85="Renuncia excepcional (art. 25.3)",$I85="Traslado de expediente"),OR($E85="",$F85="",$G85="")),"quién deja la plaza, ","")&amp;IF(AND($Q85="No disponible",$R85=""),"vía de cobertura, ","")&amp;IF(AND(OR($R85="Lista de espera · propio centro",$R85="Traslado de expediente",$R85="Lista de espera · otro centro"),OR($S85="",$T85="",$U85="")),"quién ocupa la plaza, ","")</f>
      </c>
      <c r="AD85" s="24">
        <f>IF($D85="","",IF(AND(LEN($AC85)=0,LEN($AK85)=0),"Completa",IF(LEN($AC85)=0,"Revisar: "&amp;LEFT($AK85,LEN($AK85)-2),"Falta: "&amp;LEFT($AC85,LEN($AC85)-2)&amp;IF(LEN($AK85)&gt;0,"  ·  Revisar: "&amp;LEFT($AK85,LEN($AK85)-2),""))))</f>
      </c>
      <c r="AE85">
        <f>IF(AND($D85&lt;&gt;"",OR($I85="Renuncia (hasta 30 nov)",$I85="Baja (desde 1 dic)",$I85="Renuncia excepcional (art. 25.3)",$I85="Traslado de expediente")),COUNTIF($AE$1:AE84,"&gt;0")+1,"")</f>
      </c>
      <c r="AF85">
        <f>IF($Q85="Disponible",COUNTIF($AF$1:AF84,"&gt;0")+1,"")</f>
      </c>
      <c r="AG85">
        <f>IF($O85="Sí",COUNTIF($AG$1:AG84,"&gt;0")+1,"")</f>
      </c>
      <c r="AH85">
        <f>IF(AND($Q85="Disponible",$O85&lt;&gt;"Sí"),COUNTIF($AH$1:AH84,"&gt;0")+1,"")</f>
      </c>
      <c r="AI85">
        <f>IF(AND($Q85="Disponible",$K85&lt;&gt;""),COUNTIFS($K$2:K85,K85,$Q$2:Q85,"Disponible"),"")</f>
      </c>
      <c r="AJ85">
        <f>IF(AI85&lt;&gt;"",K85&amp;"|"&amp;AI85,"")</f>
      </c>
      <c r="AK85">
        <f>IF(AND($Q85="No disponible",OR($R85="Lista de espera · propio centro",$R85="Traslado de expediente",$R85="Lista de espera · otro centro"),$O85="Sí"),"la plaza ya tiene alumno y sigue marcada como refuerzo, ","")&amp;IF(AND($R85="Reconvertida en refuerzo",$O85&lt;&gt;"Sí"),"reconvertida en refuerzo pero sin marcar «En uso como refuerzo», ","")</f>
      </c>
    </row>
    <row r="86" spans="1:37">
      <c r="A86" s="20">
        <f>IF(D86&lt;&gt;"",ROW()-1,"")</f>
      </c>
      <c r="B86" s="55"/>
      <c r="C86" s="56"/>
      <c r="D86" s="56"/>
      <c r="E86" s="56"/>
      <c r="F86" s="56"/>
      <c r="G86" s="56"/>
      <c r="H86" s="56"/>
      <c r="I86" s="56"/>
      <c r="J86" s="57"/>
      <c r="K86" s="56"/>
      <c r="L86" s="58"/>
      <c r="M86" s="58">
        <f>IF(L86="","",L86)</f>
      </c>
      <c r="N86" s="56"/>
      <c r="O86" s="56"/>
      <c r="P86" s="57"/>
      <c r="Q86" s="56"/>
      <c r="R86" s="56"/>
      <c r="S86" s="56"/>
      <c r="T86" s="56"/>
      <c r="U86" s="56"/>
      <c r="V86" s="57"/>
      <c r="W86">
        <f>IF(Q86="Disponible",COUNTIFS($D$2:D86,D86,$Q$2:Q86,"Disponible"),"")</f>
      </c>
      <c r="X86">
        <f>IF(W86&lt;&gt;"",D86&amp;"|"&amp;W86,"")</f>
      </c>
      <c r="Y86">
        <f>IF(X86&lt;&gt;"",IF(K86&lt;&gt;"",K86&amp;" ("&amp;M86&amp;")",M86),"")</f>
      </c>
      <c r="Z86">
        <f>IF(O86="Sí",COUNTIFS($D$2:D86,D86,$O$2:O86,"Sí"),"")</f>
      </c>
      <c r="AA86">
        <f>IF(Z86&lt;&gt;"",D86&amp;"|"&amp;Z86,"")</f>
      </c>
      <c r="AB86">
        <f>IF(AA86&lt;&gt;"",IF(K86&lt;&gt;"",K86&amp;" ("&amp;M86&amp;")",M86),"")</f>
      </c>
      <c r="AC86">
        <f>IF($B86="","fecha, ","")&amp;IF($C86="","quién lo introduce, ","")&amp;IF($I86="","motivo, ","")&amp;IF($K86="","docente, ","")&amp;IF($L86="","horario, ","")&amp;IF($N86="","duración, ","")&amp;IF($Q86="","estado, ","")&amp;IF(AND($I86="Otros",$J86=""),"detalle del motivo, ","")&amp;IF(AND($O86="Sí",$P86=""),"detalle del refuerzo, ","")&amp;IF(AND(OR($I86="Renuncia (hasta 30 nov)",$I86="Baja (desde 1 dic)",$I86="Renuncia excepcional (art. 25.3)",$I86="Traslado de expediente"),OR($E86="",$F86="",$G86="")),"quién deja la plaza, ","")&amp;IF(AND($Q86="No disponible",$R86=""),"vía de cobertura, ","")&amp;IF(AND(OR($R86="Lista de espera · propio centro",$R86="Traslado de expediente",$R86="Lista de espera · otro centro"),OR($S86="",$T86="",$U86="")),"quién ocupa la plaza, ","")</f>
      </c>
      <c r="AD86" s="24">
        <f>IF($D86="","",IF(AND(LEN($AC86)=0,LEN($AK86)=0),"Completa",IF(LEN($AC86)=0,"Revisar: "&amp;LEFT($AK86,LEN($AK86)-2),"Falta: "&amp;LEFT($AC86,LEN($AC86)-2)&amp;IF(LEN($AK86)&gt;0,"  ·  Revisar: "&amp;LEFT($AK86,LEN($AK86)-2),""))))</f>
      </c>
      <c r="AE86">
        <f>IF(AND($D86&lt;&gt;"",OR($I86="Renuncia (hasta 30 nov)",$I86="Baja (desde 1 dic)",$I86="Renuncia excepcional (art. 25.3)",$I86="Traslado de expediente")),COUNTIF($AE$1:AE85,"&gt;0")+1,"")</f>
      </c>
      <c r="AF86">
        <f>IF($Q86="Disponible",COUNTIF($AF$1:AF85,"&gt;0")+1,"")</f>
      </c>
      <c r="AG86">
        <f>IF($O86="Sí",COUNTIF($AG$1:AG85,"&gt;0")+1,"")</f>
      </c>
      <c r="AH86">
        <f>IF(AND($Q86="Disponible",$O86&lt;&gt;"Sí"),COUNTIF($AH$1:AH85,"&gt;0")+1,"")</f>
      </c>
      <c r="AI86">
        <f>IF(AND($Q86="Disponible",$K86&lt;&gt;""),COUNTIFS($K$2:K86,K86,$Q$2:Q86,"Disponible"),"")</f>
      </c>
      <c r="AJ86">
        <f>IF(AI86&lt;&gt;"",K86&amp;"|"&amp;AI86,"")</f>
      </c>
      <c r="AK86">
        <f>IF(AND($Q86="No disponible",OR($R86="Lista de espera · propio centro",$R86="Traslado de expediente",$R86="Lista de espera · otro centro"),$O86="Sí"),"la plaza ya tiene alumno y sigue marcada como refuerzo, ","")&amp;IF(AND($R86="Reconvertida en refuerzo",$O86&lt;&gt;"Sí"),"reconvertida en refuerzo pero sin marcar «En uso como refuerzo», ","")</f>
      </c>
    </row>
    <row r="87" spans="1:37">
      <c r="A87" s="20">
        <f>IF(D87&lt;&gt;"",ROW()-1,"")</f>
      </c>
      <c r="B87" s="55"/>
      <c r="C87" s="56"/>
      <c r="D87" s="56"/>
      <c r="E87" s="56"/>
      <c r="F87" s="56"/>
      <c r="G87" s="56"/>
      <c r="H87" s="56"/>
      <c r="I87" s="56"/>
      <c r="J87" s="57"/>
      <c r="K87" s="56"/>
      <c r="L87" s="58"/>
      <c r="M87" s="58">
        <f>IF(L87="","",L87)</f>
      </c>
      <c r="N87" s="56"/>
      <c r="O87" s="56"/>
      <c r="P87" s="57"/>
      <c r="Q87" s="56"/>
      <c r="R87" s="56"/>
      <c r="S87" s="56"/>
      <c r="T87" s="56"/>
      <c r="U87" s="56"/>
      <c r="V87" s="57"/>
      <c r="W87">
        <f>IF(Q87="Disponible",COUNTIFS($D$2:D87,D87,$Q$2:Q87,"Disponible"),"")</f>
      </c>
      <c r="X87">
        <f>IF(W87&lt;&gt;"",D87&amp;"|"&amp;W87,"")</f>
      </c>
      <c r="Y87">
        <f>IF(X87&lt;&gt;"",IF(K87&lt;&gt;"",K87&amp;" ("&amp;M87&amp;")",M87),"")</f>
      </c>
      <c r="Z87">
        <f>IF(O87="Sí",COUNTIFS($D$2:D87,D87,$O$2:O87,"Sí"),"")</f>
      </c>
      <c r="AA87">
        <f>IF(Z87&lt;&gt;"",D87&amp;"|"&amp;Z87,"")</f>
      </c>
      <c r="AB87">
        <f>IF(AA87&lt;&gt;"",IF(K87&lt;&gt;"",K87&amp;" ("&amp;M87&amp;")",M87),"")</f>
      </c>
      <c r="AC87">
        <f>IF($B87="","fecha, ","")&amp;IF($C87="","quién lo introduce, ","")&amp;IF($I87="","motivo, ","")&amp;IF($K87="","docente, ","")&amp;IF($L87="","horario, ","")&amp;IF($N87="","duración, ","")&amp;IF($Q87="","estado, ","")&amp;IF(AND($I87="Otros",$J87=""),"detalle del motivo, ","")&amp;IF(AND($O87="Sí",$P87=""),"detalle del refuerzo, ","")&amp;IF(AND(OR($I87="Renuncia (hasta 30 nov)",$I87="Baja (desde 1 dic)",$I87="Renuncia excepcional (art. 25.3)",$I87="Traslado de expediente"),OR($E87="",$F87="",$G87="")),"quién deja la plaza, ","")&amp;IF(AND($Q87="No disponible",$R87=""),"vía de cobertura, ","")&amp;IF(AND(OR($R87="Lista de espera · propio centro",$R87="Traslado de expediente",$R87="Lista de espera · otro centro"),OR($S87="",$T87="",$U87="")),"quién ocupa la plaza, ","")</f>
      </c>
      <c r="AD87" s="24">
        <f>IF($D87="","",IF(AND(LEN($AC87)=0,LEN($AK87)=0),"Completa",IF(LEN($AC87)=0,"Revisar: "&amp;LEFT($AK87,LEN($AK87)-2),"Falta: "&amp;LEFT($AC87,LEN($AC87)-2)&amp;IF(LEN($AK87)&gt;0,"  ·  Revisar: "&amp;LEFT($AK87,LEN($AK87)-2),""))))</f>
      </c>
      <c r="AE87">
        <f>IF(AND($D87&lt;&gt;"",OR($I87="Renuncia (hasta 30 nov)",$I87="Baja (desde 1 dic)",$I87="Renuncia excepcional (art. 25.3)",$I87="Traslado de expediente")),COUNTIF($AE$1:AE86,"&gt;0")+1,"")</f>
      </c>
      <c r="AF87">
        <f>IF($Q87="Disponible",COUNTIF($AF$1:AF86,"&gt;0")+1,"")</f>
      </c>
      <c r="AG87">
        <f>IF($O87="Sí",COUNTIF($AG$1:AG86,"&gt;0")+1,"")</f>
      </c>
      <c r="AH87">
        <f>IF(AND($Q87="Disponible",$O87&lt;&gt;"Sí"),COUNTIF($AH$1:AH86,"&gt;0")+1,"")</f>
      </c>
      <c r="AI87">
        <f>IF(AND($Q87="Disponible",$K87&lt;&gt;""),COUNTIFS($K$2:K87,K87,$Q$2:Q87,"Disponible"),"")</f>
      </c>
      <c r="AJ87">
        <f>IF(AI87&lt;&gt;"",K87&amp;"|"&amp;AI87,"")</f>
      </c>
      <c r="AK87">
        <f>IF(AND($Q87="No disponible",OR($R87="Lista de espera · propio centro",$R87="Traslado de expediente",$R87="Lista de espera · otro centro"),$O87="Sí"),"la plaza ya tiene alumno y sigue marcada como refuerzo, ","")&amp;IF(AND($R87="Reconvertida en refuerzo",$O87&lt;&gt;"Sí"),"reconvertida en refuerzo pero sin marcar «En uso como refuerzo», ","")</f>
      </c>
    </row>
    <row r="88" spans="1:37">
      <c r="A88" s="20">
        <f>IF(D88&lt;&gt;"",ROW()-1,"")</f>
      </c>
      <c r="B88" s="55"/>
      <c r="C88" s="56"/>
      <c r="D88" s="56"/>
      <c r="E88" s="56"/>
      <c r="F88" s="56"/>
      <c r="G88" s="56"/>
      <c r="H88" s="56"/>
      <c r="I88" s="56"/>
      <c r="J88" s="57"/>
      <c r="K88" s="56"/>
      <c r="L88" s="58"/>
      <c r="M88" s="58">
        <f>IF(L88="","",L88)</f>
      </c>
      <c r="N88" s="56"/>
      <c r="O88" s="56"/>
      <c r="P88" s="57"/>
      <c r="Q88" s="56"/>
      <c r="R88" s="56"/>
      <c r="S88" s="56"/>
      <c r="T88" s="56"/>
      <c r="U88" s="56"/>
      <c r="V88" s="57"/>
      <c r="W88">
        <f>IF(Q88="Disponible",COUNTIFS($D$2:D88,D88,$Q$2:Q88,"Disponible"),"")</f>
      </c>
      <c r="X88">
        <f>IF(W88&lt;&gt;"",D88&amp;"|"&amp;W88,"")</f>
      </c>
      <c r="Y88">
        <f>IF(X88&lt;&gt;"",IF(K88&lt;&gt;"",K88&amp;" ("&amp;M88&amp;")",M88),"")</f>
      </c>
      <c r="Z88">
        <f>IF(O88="Sí",COUNTIFS($D$2:D88,D88,$O$2:O88,"Sí"),"")</f>
      </c>
      <c r="AA88">
        <f>IF(Z88&lt;&gt;"",D88&amp;"|"&amp;Z88,"")</f>
      </c>
      <c r="AB88">
        <f>IF(AA88&lt;&gt;"",IF(K88&lt;&gt;"",K88&amp;" ("&amp;M88&amp;")",M88),"")</f>
      </c>
      <c r="AC88">
        <f>IF($B88="","fecha, ","")&amp;IF($C88="","quién lo introduce, ","")&amp;IF($I88="","motivo, ","")&amp;IF($K88="","docente, ","")&amp;IF($L88="","horario, ","")&amp;IF($N88="","duración, ","")&amp;IF($Q88="","estado, ","")&amp;IF(AND($I88="Otros",$J88=""),"detalle del motivo, ","")&amp;IF(AND($O88="Sí",$P88=""),"detalle del refuerzo, ","")&amp;IF(AND(OR($I88="Renuncia (hasta 30 nov)",$I88="Baja (desde 1 dic)",$I88="Renuncia excepcional (art. 25.3)",$I88="Traslado de expediente"),OR($E88="",$F88="",$G88="")),"quién deja la plaza, ","")&amp;IF(AND($Q88="No disponible",$R88=""),"vía de cobertura, ","")&amp;IF(AND(OR($R88="Lista de espera · propio centro",$R88="Traslado de expediente",$R88="Lista de espera · otro centro"),OR($S88="",$T88="",$U88="")),"quién ocupa la plaza, ","")</f>
      </c>
      <c r="AD88" s="24">
        <f>IF($D88="","",IF(AND(LEN($AC88)=0,LEN($AK88)=0),"Completa",IF(LEN($AC88)=0,"Revisar: "&amp;LEFT($AK88,LEN($AK88)-2),"Falta: "&amp;LEFT($AC88,LEN($AC88)-2)&amp;IF(LEN($AK88)&gt;0,"  ·  Revisar: "&amp;LEFT($AK88,LEN($AK88)-2),""))))</f>
      </c>
      <c r="AE88">
        <f>IF(AND($D88&lt;&gt;"",OR($I88="Renuncia (hasta 30 nov)",$I88="Baja (desde 1 dic)",$I88="Renuncia excepcional (art. 25.3)",$I88="Traslado de expediente")),COUNTIF($AE$1:AE87,"&gt;0")+1,"")</f>
      </c>
      <c r="AF88">
        <f>IF($Q88="Disponible",COUNTIF($AF$1:AF87,"&gt;0")+1,"")</f>
      </c>
      <c r="AG88">
        <f>IF($O88="Sí",COUNTIF($AG$1:AG87,"&gt;0")+1,"")</f>
      </c>
      <c r="AH88">
        <f>IF(AND($Q88="Disponible",$O88&lt;&gt;"Sí"),COUNTIF($AH$1:AH87,"&gt;0")+1,"")</f>
      </c>
      <c r="AI88">
        <f>IF(AND($Q88="Disponible",$K88&lt;&gt;""),COUNTIFS($K$2:K88,K88,$Q$2:Q88,"Disponible"),"")</f>
      </c>
      <c r="AJ88">
        <f>IF(AI88&lt;&gt;"",K88&amp;"|"&amp;AI88,"")</f>
      </c>
      <c r="AK88">
        <f>IF(AND($Q88="No disponible",OR($R88="Lista de espera · propio centro",$R88="Traslado de expediente",$R88="Lista de espera · otro centro"),$O88="Sí"),"la plaza ya tiene alumno y sigue marcada como refuerzo, ","")&amp;IF(AND($R88="Reconvertida en refuerzo",$O88&lt;&gt;"Sí"),"reconvertida en refuerzo pero sin marcar «En uso como refuerzo», ","")</f>
      </c>
    </row>
    <row r="89" spans="1:37">
      <c r="A89" s="20">
        <f>IF(D89&lt;&gt;"",ROW()-1,"")</f>
      </c>
      <c r="B89" s="55"/>
      <c r="C89" s="56"/>
      <c r="D89" s="56"/>
      <c r="E89" s="56"/>
      <c r="F89" s="56"/>
      <c r="G89" s="56"/>
      <c r="H89" s="56"/>
      <c r="I89" s="56"/>
      <c r="J89" s="57"/>
      <c r="K89" s="56"/>
      <c r="L89" s="58"/>
      <c r="M89" s="58">
        <f>IF(L89="","",L89)</f>
      </c>
      <c r="N89" s="56"/>
      <c r="O89" s="56"/>
      <c r="P89" s="57"/>
      <c r="Q89" s="56"/>
      <c r="R89" s="56"/>
      <c r="S89" s="56"/>
      <c r="T89" s="56"/>
      <c r="U89" s="56"/>
      <c r="V89" s="57"/>
      <c r="W89">
        <f>IF(Q89="Disponible",COUNTIFS($D$2:D89,D89,$Q$2:Q89,"Disponible"),"")</f>
      </c>
      <c r="X89">
        <f>IF(W89&lt;&gt;"",D89&amp;"|"&amp;W89,"")</f>
      </c>
      <c r="Y89">
        <f>IF(X89&lt;&gt;"",IF(K89&lt;&gt;"",K89&amp;" ("&amp;M89&amp;")",M89),"")</f>
      </c>
      <c r="Z89">
        <f>IF(O89="Sí",COUNTIFS($D$2:D89,D89,$O$2:O89,"Sí"),"")</f>
      </c>
      <c r="AA89">
        <f>IF(Z89&lt;&gt;"",D89&amp;"|"&amp;Z89,"")</f>
      </c>
      <c r="AB89">
        <f>IF(AA89&lt;&gt;"",IF(K89&lt;&gt;"",K89&amp;" ("&amp;M89&amp;")",M89),"")</f>
      </c>
      <c r="AC89">
        <f>IF($B89="","fecha, ","")&amp;IF($C89="","quién lo introduce, ","")&amp;IF($I89="","motivo, ","")&amp;IF($K89="","docente, ","")&amp;IF($L89="","horario, ","")&amp;IF($N89="","duración, ","")&amp;IF($Q89="","estado, ","")&amp;IF(AND($I89="Otros",$J89=""),"detalle del motivo, ","")&amp;IF(AND($O89="Sí",$P89=""),"detalle del refuerzo, ","")&amp;IF(AND(OR($I89="Renuncia (hasta 30 nov)",$I89="Baja (desde 1 dic)",$I89="Renuncia excepcional (art. 25.3)",$I89="Traslado de expediente"),OR($E89="",$F89="",$G89="")),"quién deja la plaza, ","")&amp;IF(AND($Q89="No disponible",$R89=""),"vía de cobertura, ","")&amp;IF(AND(OR($R89="Lista de espera · propio centro",$R89="Traslado de expediente",$R89="Lista de espera · otro centro"),OR($S89="",$T89="",$U89="")),"quién ocupa la plaza, ","")</f>
      </c>
      <c r="AD89" s="24">
        <f>IF($D89="","",IF(AND(LEN($AC89)=0,LEN($AK89)=0),"Completa",IF(LEN($AC89)=0,"Revisar: "&amp;LEFT($AK89,LEN($AK89)-2),"Falta: "&amp;LEFT($AC89,LEN($AC89)-2)&amp;IF(LEN($AK89)&gt;0,"  ·  Revisar: "&amp;LEFT($AK89,LEN($AK89)-2),""))))</f>
      </c>
      <c r="AE89">
        <f>IF(AND($D89&lt;&gt;"",OR($I89="Renuncia (hasta 30 nov)",$I89="Baja (desde 1 dic)",$I89="Renuncia excepcional (art. 25.3)",$I89="Traslado de expediente")),COUNTIF($AE$1:AE88,"&gt;0")+1,"")</f>
      </c>
      <c r="AF89">
        <f>IF($Q89="Disponible",COUNTIF($AF$1:AF88,"&gt;0")+1,"")</f>
      </c>
      <c r="AG89">
        <f>IF($O89="Sí",COUNTIF($AG$1:AG88,"&gt;0")+1,"")</f>
      </c>
      <c r="AH89">
        <f>IF(AND($Q89="Disponible",$O89&lt;&gt;"Sí"),COUNTIF($AH$1:AH88,"&gt;0")+1,"")</f>
      </c>
      <c r="AI89">
        <f>IF(AND($Q89="Disponible",$K89&lt;&gt;""),COUNTIFS($K$2:K89,K89,$Q$2:Q89,"Disponible"),"")</f>
      </c>
      <c r="AJ89">
        <f>IF(AI89&lt;&gt;"",K89&amp;"|"&amp;AI89,"")</f>
      </c>
      <c r="AK89">
        <f>IF(AND($Q89="No disponible",OR($R89="Lista de espera · propio centro",$R89="Traslado de expediente",$R89="Lista de espera · otro centro"),$O89="Sí"),"la plaza ya tiene alumno y sigue marcada como refuerzo, ","")&amp;IF(AND($R89="Reconvertida en refuerzo",$O89&lt;&gt;"Sí"),"reconvertida en refuerzo pero sin marcar «En uso como refuerzo», ","")</f>
      </c>
    </row>
    <row r="90" spans="1:37">
      <c r="A90" s="20">
        <f>IF(D90&lt;&gt;"",ROW()-1,"")</f>
      </c>
      <c r="B90" s="55"/>
      <c r="C90" s="56"/>
      <c r="D90" s="56"/>
      <c r="E90" s="56"/>
      <c r="F90" s="56"/>
      <c r="G90" s="56"/>
      <c r="H90" s="56"/>
      <c r="I90" s="56"/>
      <c r="J90" s="57"/>
      <c r="K90" s="56"/>
      <c r="L90" s="58"/>
      <c r="M90" s="58">
        <f>IF(L90="","",L90)</f>
      </c>
      <c r="N90" s="56"/>
      <c r="O90" s="56"/>
      <c r="P90" s="57"/>
      <c r="Q90" s="56"/>
      <c r="R90" s="56"/>
      <c r="S90" s="56"/>
      <c r="T90" s="56"/>
      <c r="U90" s="56"/>
      <c r="V90" s="57"/>
      <c r="W90">
        <f>IF(Q90="Disponible",COUNTIFS($D$2:D90,D90,$Q$2:Q90,"Disponible"),"")</f>
      </c>
      <c r="X90">
        <f>IF(W90&lt;&gt;"",D90&amp;"|"&amp;W90,"")</f>
      </c>
      <c r="Y90">
        <f>IF(X90&lt;&gt;"",IF(K90&lt;&gt;"",K90&amp;" ("&amp;M90&amp;")",M90),"")</f>
      </c>
      <c r="Z90">
        <f>IF(O90="Sí",COUNTIFS($D$2:D90,D90,$O$2:O90,"Sí"),"")</f>
      </c>
      <c r="AA90">
        <f>IF(Z90&lt;&gt;"",D90&amp;"|"&amp;Z90,"")</f>
      </c>
      <c r="AB90">
        <f>IF(AA90&lt;&gt;"",IF(K90&lt;&gt;"",K90&amp;" ("&amp;M90&amp;")",M90),"")</f>
      </c>
      <c r="AC90">
        <f>IF($B90="","fecha, ","")&amp;IF($C90="","quién lo introduce, ","")&amp;IF($I90="","motivo, ","")&amp;IF($K90="","docente, ","")&amp;IF($L90="","horario, ","")&amp;IF($N90="","duración, ","")&amp;IF($Q90="","estado, ","")&amp;IF(AND($I90="Otros",$J90=""),"detalle del motivo, ","")&amp;IF(AND($O90="Sí",$P90=""),"detalle del refuerzo, ","")&amp;IF(AND(OR($I90="Renuncia (hasta 30 nov)",$I90="Baja (desde 1 dic)",$I90="Renuncia excepcional (art. 25.3)",$I90="Traslado de expediente"),OR($E90="",$F90="",$G90="")),"quién deja la plaza, ","")&amp;IF(AND($Q90="No disponible",$R90=""),"vía de cobertura, ","")&amp;IF(AND(OR($R90="Lista de espera · propio centro",$R90="Traslado de expediente",$R90="Lista de espera · otro centro"),OR($S90="",$T90="",$U90="")),"quién ocupa la plaza, ","")</f>
      </c>
      <c r="AD90" s="24">
        <f>IF($D90="","",IF(AND(LEN($AC90)=0,LEN($AK90)=0),"Completa",IF(LEN($AC90)=0,"Revisar: "&amp;LEFT($AK90,LEN($AK90)-2),"Falta: "&amp;LEFT($AC90,LEN($AC90)-2)&amp;IF(LEN($AK90)&gt;0,"  ·  Revisar: "&amp;LEFT($AK90,LEN($AK90)-2),""))))</f>
      </c>
      <c r="AE90">
        <f>IF(AND($D90&lt;&gt;"",OR($I90="Renuncia (hasta 30 nov)",$I90="Baja (desde 1 dic)",$I90="Renuncia excepcional (art. 25.3)",$I90="Traslado de expediente")),COUNTIF($AE$1:AE89,"&gt;0")+1,"")</f>
      </c>
      <c r="AF90">
        <f>IF($Q90="Disponible",COUNTIF($AF$1:AF89,"&gt;0")+1,"")</f>
      </c>
      <c r="AG90">
        <f>IF($O90="Sí",COUNTIF($AG$1:AG89,"&gt;0")+1,"")</f>
      </c>
      <c r="AH90">
        <f>IF(AND($Q90="Disponible",$O90&lt;&gt;"Sí"),COUNTIF($AH$1:AH89,"&gt;0")+1,"")</f>
      </c>
      <c r="AI90">
        <f>IF(AND($Q90="Disponible",$K90&lt;&gt;""),COUNTIFS($K$2:K90,K90,$Q$2:Q90,"Disponible"),"")</f>
      </c>
      <c r="AJ90">
        <f>IF(AI90&lt;&gt;"",K90&amp;"|"&amp;AI90,"")</f>
      </c>
      <c r="AK90">
        <f>IF(AND($Q90="No disponible",OR($R90="Lista de espera · propio centro",$R90="Traslado de expediente",$R90="Lista de espera · otro centro"),$O90="Sí"),"la plaza ya tiene alumno y sigue marcada como refuerzo, ","")&amp;IF(AND($R90="Reconvertida en refuerzo",$O90&lt;&gt;"Sí"),"reconvertida en refuerzo pero sin marcar «En uso como refuerzo», ","")</f>
      </c>
    </row>
    <row r="91" spans="1:37">
      <c r="A91" s="20">
        <f>IF(D91&lt;&gt;"",ROW()-1,"")</f>
      </c>
      <c r="B91" s="55"/>
      <c r="C91" s="56"/>
      <c r="D91" s="56"/>
      <c r="E91" s="56"/>
      <c r="F91" s="56"/>
      <c r="G91" s="56"/>
      <c r="H91" s="56"/>
      <c r="I91" s="56"/>
      <c r="J91" s="57"/>
      <c r="K91" s="56"/>
      <c r="L91" s="58"/>
      <c r="M91" s="58">
        <f>IF(L91="","",L91)</f>
      </c>
      <c r="N91" s="56"/>
      <c r="O91" s="56"/>
      <c r="P91" s="57"/>
      <c r="Q91" s="56"/>
      <c r="R91" s="56"/>
      <c r="S91" s="56"/>
      <c r="T91" s="56"/>
      <c r="U91" s="56"/>
      <c r="V91" s="57"/>
      <c r="W91">
        <f>IF(Q91="Disponible",COUNTIFS($D$2:D91,D91,$Q$2:Q91,"Disponible"),"")</f>
      </c>
      <c r="X91">
        <f>IF(W91&lt;&gt;"",D91&amp;"|"&amp;W91,"")</f>
      </c>
      <c r="Y91">
        <f>IF(X91&lt;&gt;"",IF(K91&lt;&gt;"",K91&amp;" ("&amp;M91&amp;")",M91),"")</f>
      </c>
      <c r="Z91">
        <f>IF(O91="Sí",COUNTIFS($D$2:D91,D91,$O$2:O91,"Sí"),"")</f>
      </c>
      <c r="AA91">
        <f>IF(Z91&lt;&gt;"",D91&amp;"|"&amp;Z91,"")</f>
      </c>
      <c r="AB91">
        <f>IF(AA91&lt;&gt;"",IF(K91&lt;&gt;"",K91&amp;" ("&amp;M91&amp;")",M91),"")</f>
      </c>
      <c r="AC91">
        <f>IF($B91="","fecha, ","")&amp;IF($C91="","quién lo introduce, ","")&amp;IF($I91="","motivo, ","")&amp;IF($K91="","docente, ","")&amp;IF($L91="","horario, ","")&amp;IF($N91="","duración, ","")&amp;IF($Q91="","estado, ","")&amp;IF(AND($I91="Otros",$J91=""),"detalle del motivo, ","")&amp;IF(AND($O91="Sí",$P91=""),"detalle del refuerzo, ","")&amp;IF(AND(OR($I91="Renuncia (hasta 30 nov)",$I91="Baja (desde 1 dic)",$I91="Renuncia excepcional (art. 25.3)",$I91="Traslado de expediente"),OR($E91="",$F91="",$G91="")),"quién deja la plaza, ","")&amp;IF(AND($Q91="No disponible",$R91=""),"vía de cobertura, ","")&amp;IF(AND(OR($R91="Lista de espera · propio centro",$R91="Traslado de expediente",$R91="Lista de espera · otro centro"),OR($S91="",$T91="",$U91="")),"quién ocupa la plaza, ","")</f>
      </c>
      <c r="AD91" s="24">
        <f>IF($D91="","",IF(AND(LEN($AC91)=0,LEN($AK91)=0),"Completa",IF(LEN($AC91)=0,"Revisar: "&amp;LEFT($AK91,LEN($AK91)-2),"Falta: "&amp;LEFT($AC91,LEN($AC91)-2)&amp;IF(LEN($AK91)&gt;0,"  ·  Revisar: "&amp;LEFT($AK91,LEN($AK91)-2),""))))</f>
      </c>
      <c r="AE91">
        <f>IF(AND($D91&lt;&gt;"",OR($I91="Renuncia (hasta 30 nov)",$I91="Baja (desde 1 dic)",$I91="Renuncia excepcional (art. 25.3)",$I91="Traslado de expediente")),COUNTIF($AE$1:AE90,"&gt;0")+1,"")</f>
      </c>
      <c r="AF91">
        <f>IF($Q91="Disponible",COUNTIF($AF$1:AF90,"&gt;0")+1,"")</f>
      </c>
      <c r="AG91">
        <f>IF($O91="Sí",COUNTIF($AG$1:AG90,"&gt;0")+1,"")</f>
      </c>
      <c r="AH91">
        <f>IF(AND($Q91="Disponible",$O91&lt;&gt;"Sí"),COUNTIF($AH$1:AH90,"&gt;0")+1,"")</f>
      </c>
      <c r="AI91">
        <f>IF(AND($Q91="Disponible",$K91&lt;&gt;""),COUNTIFS($K$2:K91,K91,$Q$2:Q91,"Disponible"),"")</f>
      </c>
      <c r="AJ91">
        <f>IF(AI91&lt;&gt;"",K91&amp;"|"&amp;AI91,"")</f>
      </c>
      <c r="AK91">
        <f>IF(AND($Q91="No disponible",OR($R91="Lista de espera · propio centro",$R91="Traslado de expediente",$R91="Lista de espera · otro centro"),$O91="Sí"),"la plaza ya tiene alumno y sigue marcada como refuerzo, ","")&amp;IF(AND($R91="Reconvertida en refuerzo",$O91&lt;&gt;"Sí"),"reconvertida en refuerzo pero sin marcar «En uso como refuerzo», ","")</f>
      </c>
    </row>
    <row r="92" spans="1:37">
      <c r="A92" s="20">
        <f>IF(D92&lt;&gt;"",ROW()-1,"")</f>
      </c>
      <c r="B92" s="55"/>
      <c r="C92" s="56"/>
      <c r="D92" s="56"/>
      <c r="E92" s="56"/>
      <c r="F92" s="56"/>
      <c r="G92" s="56"/>
      <c r="H92" s="56"/>
      <c r="I92" s="56"/>
      <c r="J92" s="57"/>
      <c r="K92" s="56"/>
      <c r="L92" s="58"/>
      <c r="M92" s="58">
        <f>IF(L92="","",L92)</f>
      </c>
      <c r="N92" s="56"/>
      <c r="O92" s="56"/>
      <c r="P92" s="57"/>
      <c r="Q92" s="56"/>
      <c r="R92" s="56"/>
      <c r="S92" s="56"/>
      <c r="T92" s="56"/>
      <c r="U92" s="56"/>
      <c r="V92" s="57"/>
      <c r="W92">
        <f>IF(Q92="Disponible",COUNTIFS($D$2:D92,D92,$Q$2:Q92,"Disponible"),"")</f>
      </c>
      <c r="X92">
        <f>IF(W92&lt;&gt;"",D92&amp;"|"&amp;W92,"")</f>
      </c>
      <c r="Y92">
        <f>IF(X92&lt;&gt;"",IF(K92&lt;&gt;"",K92&amp;" ("&amp;M92&amp;")",M92),"")</f>
      </c>
      <c r="Z92">
        <f>IF(O92="Sí",COUNTIFS($D$2:D92,D92,$O$2:O92,"Sí"),"")</f>
      </c>
      <c r="AA92">
        <f>IF(Z92&lt;&gt;"",D92&amp;"|"&amp;Z92,"")</f>
      </c>
      <c r="AB92">
        <f>IF(AA92&lt;&gt;"",IF(K92&lt;&gt;"",K92&amp;" ("&amp;M92&amp;")",M92),"")</f>
      </c>
      <c r="AC92">
        <f>IF($B92="","fecha, ","")&amp;IF($C92="","quién lo introduce, ","")&amp;IF($I92="","motivo, ","")&amp;IF($K92="","docente, ","")&amp;IF($L92="","horario, ","")&amp;IF($N92="","duración, ","")&amp;IF($Q92="","estado, ","")&amp;IF(AND($I92="Otros",$J92=""),"detalle del motivo, ","")&amp;IF(AND($O92="Sí",$P92=""),"detalle del refuerzo, ","")&amp;IF(AND(OR($I92="Renuncia (hasta 30 nov)",$I92="Baja (desde 1 dic)",$I92="Renuncia excepcional (art. 25.3)",$I92="Traslado de expediente"),OR($E92="",$F92="",$G92="")),"quién deja la plaza, ","")&amp;IF(AND($Q92="No disponible",$R92=""),"vía de cobertura, ","")&amp;IF(AND(OR($R92="Lista de espera · propio centro",$R92="Traslado de expediente",$R92="Lista de espera · otro centro"),OR($S92="",$T92="",$U92="")),"quién ocupa la plaza, ","")</f>
      </c>
      <c r="AD92" s="24">
        <f>IF($D92="","",IF(AND(LEN($AC92)=0,LEN($AK92)=0),"Completa",IF(LEN($AC92)=0,"Revisar: "&amp;LEFT($AK92,LEN($AK92)-2),"Falta: "&amp;LEFT($AC92,LEN($AC92)-2)&amp;IF(LEN($AK92)&gt;0,"  ·  Revisar: "&amp;LEFT($AK92,LEN($AK92)-2),""))))</f>
      </c>
      <c r="AE92">
        <f>IF(AND($D92&lt;&gt;"",OR($I92="Renuncia (hasta 30 nov)",$I92="Baja (desde 1 dic)",$I92="Renuncia excepcional (art. 25.3)",$I92="Traslado de expediente")),COUNTIF($AE$1:AE91,"&gt;0")+1,"")</f>
      </c>
      <c r="AF92">
        <f>IF($Q92="Disponible",COUNTIF($AF$1:AF91,"&gt;0")+1,"")</f>
      </c>
      <c r="AG92">
        <f>IF($O92="Sí",COUNTIF($AG$1:AG91,"&gt;0")+1,"")</f>
      </c>
      <c r="AH92">
        <f>IF(AND($Q92="Disponible",$O92&lt;&gt;"Sí"),COUNTIF($AH$1:AH91,"&gt;0")+1,"")</f>
      </c>
      <c r="AI92">
        <f>IF(AND($Q92="Disponible",$K92&lt;&gt;""),COUNTIFS($K$2:K92,K92,$Q$2:Q92,"Disponible"),"")</f>
      </c>
      <c r="AJ92">
        <f>IF(AI92&lt;&gt;"",K92&amp;"|"&amp;AI92,"")</f>
      </c>
      <c r="AK92">
        <f>IF(AND($Q92="No disponible",OR($R92="Lista de espera · propio centro",$R92="Traslado de expediente",$R92="Lista de espera · otro centro"),$O92="Sí"),"la plaza ya tiene alumno y sigue marcada como refuerzo, ","")&amp;IF(AND($R92="Reconvertida en refuerzo",$O92&lt;&gt;"Sí"),"reconvertida en refuerzo pero sin marcar «En uso como refuerzo», ","")</f>
      </c>
    </row>
    <row r="93" spans="1:37">
      <c r="A93" s="20">
        <f>IF(D93&lt;&gt;"",ROW()-1,"")</f>
      </c>
      <c r="B93" s="55"/>
      <c r="C93" s="56"/>
      <c r="D93" s="56"/>
      <c r="E93" s="56"/>
      <c r="F93" s="56"/>
      <c r="G93" s="56"/>
      <c r="H93" s="56"/>
      <c r="I93" s="56"/>
      <c r="J93" s="57"/>
      <c r="K93" s="56"/>
      <c r="L93" s="58"/>
      <c r="M93" s="58">
        <f>IF(L93="","",L93)</f>
      </c>
      <c r="N93" s="56"/>
      <c r="O93" s="56"/>
      <c r="P93" s="57"/>
      <c r="Q93" s="56"/>
      <c r="R93" s="56"/>
      <c r="S93" s="56"/>
      <c r="T93" s="56"/>
      <c r="U93" s="56"/>
      <c r="V93" s="57"/>
      <c r="W93">
        <f>IF(Q93="Disponible",COUNTIFS($D$2:D93,D93,$Q$2:Q93,"Disponible"),"")</f>
      </c>
      <c r="X93">
        <f>IF(W93&lt;&gt;"",D93&amp;"|"&amp;W93,"")</f>
      </c>
      <c r="Y93">
        <f>IF(X93&lt;&gt;"",IF(K93&lt;&gt;"",K93&amp;" ("&amp;M93&amp;")",M93),"")</f>
      </c>
      <c r="Z93">
        <f>IF(O93="Sí",COUNTIFS($D$2:D93,D93,$O$2:O93,"Sí"),"")</f>
      </c>
      <c r="AA93">
        <f>IF(Z93&lt;&gt;"",D93&amp;"|"&amp;Z93,"")</f>
      </c>
      <c r="AB93">
        <f>IF(AA93&lt;&gt;"",IF(K93&lt;&gt;"",K93&amp;" ("&amp;M93&amp;")",M93),"")</f>
      </c>
      <c r="AC93">
        <f>IF($B93="","fecha, ","")&amp;IF($C93="","quién lo introduce, ","")&amp;IF($I93="","motivo, ","")&amp;IF($K93="","docente, ","")&amp;IF($L93="","horario, ","")&amp;IF($N93="","duración, ","")&amp;IF($Q93="","estado, ","")&amp;IF(AND($I93="Otros",$J93=""),"detalle del motivo, ","")&amp;IF(AND($O93="Sí",$P93=""),"detalle del refuerzo, ","")&amp;IF(AND(OR($I93="Renuncia (hasta 30 nov)",$I93="Baja (desde 1 dic)",$I93="Renuncia excepcional (art. 25.3)",$I93="Traslado de expediente"),OR($E93="",$F93="",$G93="")),"quién deja la plaza, ","")&amp;IF(AND($Q93="No disponible",$R93=""),"vía de cobertura, ","")&amp;IF(AND(OR($R93="Lista de espera · propio centro",$R93="Traslado de expediente",$R93="Lista de espera · otro centro"),OR($S93="",$T93="",$U93="")),"quién ocupa la plaza, ","")</f>
      </c>
      <c r="AD93" s="24">
        <f>IF($D93="","",IF(AND(LEN($AC93)=0,LEN($AK93)=0),"Completa",IF(LEN($AC93)=0,"Revisar: "&amp;LEFT($AK93,LEN($AK93)-2),"Falta: "&amp;LEFT($AC93,LEN($AC93)-2)&amp;IF(LEN($AK93)&gt;0,"  ·  Revisar: "&amp;LEFT($AK93,LEN($AK93)-2),""))))</f>
      </c>
      <c r="AE93">
        <f>IF(AND($D93&lt;&gt;"",OR($I93="Renuncia (hasta 30 nov)",$I93="Baja (desde 1 dic)",$I93="Renuncia excepcional (art. 25.3)",$I93="Traslado de expediente")),COUNTIF($AE$1:AE92,"&gt;0")+1,"")</f>
      </c>
      <c r="AF93">
        <f>IF($Q93="Disponible",COUNTIF($AF$1:AF92,"&gt;0")+1,"")</f>
      </c>
      <c r="AG93">
        <f>IF($O93="Sí",COUNTIF($AG$1:AG92,"&gt;0")+1,"")</f>
      </c>
      <c r="AH93">
        <f>IF(AND($Q93="Disponible",$O93&lt;&gt;"Sí"),COUNTIF($AH$1:AH92,"&gt;0")+1,"")</f>
      </c>
      <c r="AI93">
        <f>IF(AND($Q93="Disponible",$K93&lt;&gt;""),COUNTIFS($K$2:K93,K93,$Q$2:Q93,"Disponible"),"")</f>
      </c>
      <c r="AJ93">
        <f>IF(AI93&lt;&gt;"",K93&amp;"|"&amp;AI93,"")</f>
      </c>
      <c r="AK93">
        <f>IF(AND($Q93="No disponible",OR($R93="Lista de espera · propio centro",$R93="Traslado de expediente",$R93="Lista de espera · otro centro"),$O93="Sí"),"la plaza ya tiene alumno y sigue marcada como refuerzo, ","")&amp;IF(AND($R93="Reconvertida en refuerzo",$O93&lt;&gt;"Sí"),"reconvertida en refuerzo pero sin marcar «En uso como refuerzo», ","")</f>
      </c>
    </row>
    <row r="94" spans="1:37">
      <c r="A94" s="20">
        <f>IF(D94&lt;&gt;"",ROW()-1,"")</f>
      </c>
      <c r="B94" s="55"/>
      <c r="C94" s="56"/>
      <c r="D94" s="56"/>
      <c r="E94" s="56"/>
      <c r="F94" s="56"/>
      <c r="G94" s="56"/>
      <c r="H94" s="56"/>
      <c r="I94" s="56"/>
      <c r="J94" s="57"/>
      <c r="K94" s="56"/>
      <c r="L94" s="58"/>
      <c r="M94" s="58">
        <f>IF(L94="","",L94)</f>
      </c>
      <c r="N94" s="56"/>
      <c r="O94" s="56"/>
      <c r="P94" s="57"/>
      <c r="Q94" s="56"/>
      <c r="R94" s="56"/>
      <c r="S94" s="56"/>
      <c r="T94" s="56"/>
      <c r="U94" s="56"/>
      <c r="V94" s="57"/>
      <c r="W94">
        <f>IF(Q94="Disponible",COUNTIFS($D$2:D94,D94,$Q$2:Q94,"Disponible"),"")</f>
      </c>
      <c r="X94">
        <f>IF(W94&lt;&gt;"",D94&amp;"|"&amp;W94,"")</f>
      </c>
      <c r="Y94">
        <f>IF(X94&lt;&gt;"",IF(K94&lt;&gt;"",K94&amp;" ("&amp;M94&amp;")",M94),"")</f>
      </c>
      <c r="Z94">
        <f>IF(O94="Sí",COUNTIFS($D$2:D94,D94,$O$2:O94,"Sí"),"")</f>
      </c>
      <c r="AA94">
        <f>IF(Z94&lt;&gt;"",D94&amp;"|"&amp;Z94,"")</f>
      </c>
      <c r="AB94">
        <f>IF(AA94&lt;&gt;"",IF(K94&lt;&gt;"",K94&amp;" ("&amp;M94&amp;")",M94),"")</f>
      </c>
      <c r="AC94">
        <f>IF($B94="","fecha, ","")&amp;IF($C94="","quién lo introduce, ","")&amp;IF($I94="","motivo, ","")&amp;IF($K94="","docente, ","")&amp;IF($L94="","horario, ","")&amp;IF($N94="","duración, ","")&amp;IF($Q94="","estado, ","")&amp;IF(AND($I94="Otros",$J94=""),"detalle del motivo, ","")&amp;IF(AND($O94="Sí",$P94=""),"detalle del refuerzo, ","")&amp;IF(AND(OR($I94="Renuncia (hasta 30 nov)",$I94="Baja (desde 1 dic)",$I94="Renuncia excepcional (art. 25.3)",$I94="Traslado de expediente"),OR($E94="",$F94="",$G94="")),"quién deja la plaza, ","")&amp;IF(AND($Q94="No disponible",$R94=""),"vía de cobertura, ","")&amp;IF(AND(OR($R94="Lista de espera · propio centro",$R94="Traslado de expediente",$R94="Lista de espera · otro centro"),OR($S94="",$T94="",$U94="")),"quién ocupa la plaza, ","")</f>
      </c>
      <c r="AD94" s="24">
        <f>IF($D94="","",IF(AND(LEN($AC94)=0,LEN($AK94)=0),"Completa",IF(LEN($AC94)=0,"Revisar: "&amp;LEFT($AK94,LEN($AK94)-2),"Falta: "&amp;LEFT($AC94,LEN($AC94)-2)&amp;IF(LEN($AK94)&gt;0,"  ·  Revisar: "&amp;LEFT($AK94,LEN($AK94)-2),""))))</f>
      </c>
      <c r="AE94">
        <f>IF(AND($D94&lt;&gt;"",OR($I94="Renuncia (hasta 30 nov)",$I94="Baja (desde 1 dic)",$I94="Renuncia excepcional (art. 25.3)",$I94="Traslado de expediente")),COUNTIF($AE$1:AE93,"&gt;0")+1,"")</f>
      </c>
      <c r="AF94">
        <f>IF($Q94="Disponible",COUNTIF($AF$1:AF93,"&gt;0")+1,"")</f>
      </c>
      <c r="AG94">
        <f>IF($O94="Sí",COUNTIF($AG$1:AG93,"&gt;0")+1,"")</f>
      </c>
      <c r="AH94">
        <f>IF(AND($Q94="Disponible",$O94&lt;&gt;"Sí"),COUNTIF($AH$1:AH93,"&gt;0")+1,"")</f>
      </c>
      <c r="AI94">
        <f>IF(AND($Q94="Disponible",$K94&lt;&gt;""),COUNTIFS($K$2:K94,K94,$Q$2:Q94,"Disponible"),"")</f>
      </c>
      <c r="AJ94">
        <f>IF(AI94&lt;&gt;"",K94&amp;"|"&amp;AI94,"")</f>
      </c>
      <c r="AK94">
        <f>IF(AND($Q94="No disponible",OR($R94="Lista de espera · propio centro",$R94="Traslado de expediente",$R94="Lista de espera · otro centro"),$O94="Sí"),"la plaza ya tiene alumno y sigue marcada como refuerzo, ","")&amp;IF(AND($R94="Reconvertida en refuerzo",$O94&lt;&gt;"Sí"),"reconvertida en refuerzo pero sin marcar «En uso como refuerzo», ","")</f>
      </c>
    </row>
    <row r="95" spans="1:37">
      <c r="A95" s="20">
        <f>IF(D95&lt;&gt;"",ROW()-1,"")</f>
      </c>
      <c r="B95" s="55"/>
      <c r="C95" s="56"/>
      <c r="D95" s="56"/>
      <c r="E95" s="56"/>
      <c r="F95" s="56"/>
      <c r="G95" s="56"/>
      <c r="H95" s="56"/>
      <c r="I95" s="56"/>
      <c r="J95" s="57"/>
      <c r="K95" s="56"/>
      <c r="L95" s="58"/>
      <c r="M95" s="58">
        <f>IF(L95="","",L95)</f>
      </c>
      <c r="N95" s="56"/>
      <c r="O95" s="56"/>
      <c r="P95" s="57"/>
      <c r="Q95" s="56"/>
      <c r="R95" s="56"/>
      <c r="S95" s="56"/>
      <c r="T95" s="56"/>
      <c r="U95" s="56"/>
      <c r="V95" s="57"/>
      <c r="W95">
        <f>IF(Q95="Disponible",COUNTIFS($D$2:D95,D95,$Q$2:Q95,"Disponible"),"")</f>
      </c>
      <c r="X95">
        <f>IF(W95&lt;&gt;"",D95&amp;"|"&amp;W95,"")</f>
      </c>
      <c r="Y95">
        <f>IF(X95&lt;&gt;"",IF(K95&lt;&gt;"",K95&amp;" ("&amp;M95&amp;")",M95),"")</f>
      </c>
      <c r="Z95">
        <f>IF(O95="Sí",COUNTIFS($D$2:D95,D95,$O$2:O95,"Sí"),"")</f>
      </c>
      <c r="AA95">
        <f>IF(Z95&lt;&gt;"",D95&amp;"|"&amp;Z95,"")</f>
      </c>
      <c r="AB95">
        <f>IF(AA95&lt;&gt;"",IF(K95&lt;&gt;"",K95&amp;" ("&amp;M95&amp;")",M95),"")</f>
      </c>
      <c r="AC95">
        <f>IF($B95="","fecha, ","")&amp;IF($C95="","quién lo introduce, ","")&amp;IF($I95="","motivo, ","")&amp;IF($K95="","docente, ","")&amp;IF($L95="","horario, ","")&amp;IF($N95="","duración, ","")&amp;IF($Q95="","estado, ","")&amp;IF(AND($I95="Otros",$J95=""),"detalle del motivo, ","")&amp;IF(AND($O95="Sí",$P95=""),"detalle del refuerzo, ","")&amp;IF(AND(OR($I95="Renuncia (hasta 30 nov)",$I95="Baja (desde 1 dic)",$I95="Renuncia excepcional (art. 25.3)",$I95="Traslado de expediente"),OR($E95="",$F95="",$G95="")),"quién deja la plaza, ","")&amp;IF(AND($Q95="No disponible",$R95=""),"vía de cobertura, ","")&amp;IF(AND(OR($R95="Lista de espera · propio centro",$R95="Traslado de expediente",$R95="Lista de espera · otro centro"),OR($S95="",$T95="",$U95="")),"quién ocupa la plaza, ","")</f>
      </c>
      <c r="AD95" s="24">
        <f>IF($D95="","",IF(AND(LEN($AC95)=0,LEN($AK95)=0),"Completa",IF(LEN($AC95)=0,"Revisar: "&amp;LEFT($AK95,LEN($AK95)-2),"Falta: "&amp;LEFT($AC95,LEN($AC95)-2)&amp;IF(LEN($AK95)&gt;0,"  ·  Revisar: "&amp;LEFT($AK95,LEN($AK95)-2),""))))</f>
      </c>
      <c r="AE95">
        <f>IF(AND($D95&lt;&gt;"",OR($I95="Renuncia (hasta 30 nov)",$I95="Baja (desde 1 dic)",$I95="Renuncia excepcional (art. 25.3)",$I95="Traslado de expediente")),COUNTIF($AE$1:AE94,"&gt;0")+1,"")</f>
      </c>
      <c r="AF95">
        <f>IF($Q95="Disponible",COUNTIF($AF$1:AF94,"&gt;0")+1,"")</f>
      </c>
      <c r="AG95">
        <f>IF($O95="Sí",COUNTIF($AG$1:AG94,"&gt;0")+1,"")</f>
      </c>
      <c r="AH95">
        <f>IF(AND($Q95="Disponible",$O95&lt;&gt;"Sí"),COUNTIF($AH$1:AH94,"&gt;0")+1,"")</f>
      </c>
      <c r="AI95">
        <f>IF(AND($Q95="Disponible",$K95&lt;&gt;""),COUNTIFS($K$2:K95,K95,$Q$2:Q95,"Disponible"),"")</f>
      </c>
      <c r="AJ95">
        <f>IF(AI95&lt;&gt;"",K95&amp;"|"&amp;AI95,"")</f>
      </c>
      <c r="AK95">
        <f>IF(AND($Q95="No disponible",OR($R95="Lista de espera · propio centro",$R95="Traslado de expediente",$R95="Lista de espera · otro centro"),$O95="Sí"),"la plaza ya tiene alumno y sigue marcada como refuerzo, ","")&amp;IF(AND($R95="Reconvertida en refuerzo",$O95&lt;&gt;"Sí"),"reconvertida en refuerzo pero sin marcar «En uso como refuerzo», ","")</f>
      </c>
    </row>
    <row r="96" spans="1:37">
      <c r="A96" s="20">
        <f>IF(D96&lt;&gt;"",ROW()-1,"")</f>
      </c>
      <c r="B96" s="55"/>
      <c r="C96" s="56"/>
      <c r="D96" s="56"/>
      <c r="E96" s="56"/>
      <c r="F96" s="56"/>
      <c r="G96" s="56"/>
      <c r="H96" s="56"/>
      <c r="I96" s="56"/>
      <c r="J96" s="57"/>
      <c r="K96" s="56"/>
      <c r="L96" s="58"/>
      <c r="M96" s="58">
        <f>IF(L96="","",L96)</f>
      </c>
      <c r="N96" s="56"/>
      <c r="O96" s="56"/>
      <c r="P96" s="57"/>
      <c r="Q96" s="56"/>
      <c r="R96" s="56"/>
      <c r="S96" s="56"/>
      <c r="T96" s="56"/>
      <c r="U96" s="56"/>
      <c r="V96" s="57"/>
      <c r="W96">
        <f>IF(Q96="Disponible",COUNTIFS($D$2:D96,D96,$Q$2:Q96,"Disponible"),"")</f>
      </c>
      <c r="X96">
        <f>IF(W96&lt;&gt;"",D96&amp;"|"&amp;W96,"")</f>
      </c>
      <c r="Y96">
        <f>IF(X96&lt;&gt;"",IF(K96&lt;&gt;"",K96&amp;" ("&amp;M96&amp;")",M96),"")</f>
      </c>
      <c r="Z96">
        <f>IF(O96="Sí",COUNTIFS($D$2:D96,D96,$O$2:O96,"Sí"),"")</f>
      </c>
      <c r="AA96">
        <f>IF(Z96&lt;&gt;"",D96&amp;"|"&amp;Z96,"")</f>
      </c>
      <c r="AB96">
        <f>IF(AA96&lt;&gt;"",IF(K96&lt;&gt;"",K96&amp;" ("&amp;M96&amp;")",M96),"")</f>
      </c>
      <c r="AC96">
        <f>IF($B96="","fecha, ","")&amp;IF($C96="","quién lo introduce, ","")&amp;IF($I96="","motivo, ","")&amp;IF($K96="","docente, ","")&amp;IF($L96="","horario, ","")&amp;IF($N96="","duración, ","")&amp;IF($Q96="","estado, ","")&amp;IF(AND($I96="Otros",$J96=""),"detalle del motivo, ","")&amp;IF(AND($O96="Sí",$P96=""),"detalle del refuerzo, ","")&amp;IF(AND(OR($I96="Renuncia (hasta 30 nov)",$I96="Baja (desde 1 dic)",$I96="Renuncia excepcional (art. 25.3)",$I96="Traslado de expediente"),OR($E96="",$F96="",$G96="")),"quién deja la plaza, ","")&amp;IF(AND($Q96="No disponible",$R96=""),"vía de cobertura, ","")&amp;IF(AND(OR($R96="Lista de espera · propio centro",$R96="Traslado de expediente",$R96="Lista de espera · otro centro"),OR($S96="",$T96="",$U96="")),"quién ocupa la plaza, ","")</f>
      </c>
      <c r="AD96" s="24">
        <f>IF($D96="","",IF(AND(LEN($AC96)=0,LEN($AK96)=0),"Completa",IF(LEN($AC96)=0,"Revisar: "&amp;LEFT($AK96,LEN($AK96)-2),"Falta: "&amp;LEFT($AC96,LEN($AC96)-2)&amp;IF(LEN($AK96)&gt;0,"  ·  Revisar: "&amp;LEFT($AK96,LEN($AK96)-2),""))))</f>
      </c>
      <c r="AE96">
        <f>IF(AND($D96&lt;&gt;"",OR($I96="Renuncia (hasta 30 nov)",$I96="Baja (desde 1 dic)",$I96="Renuncia excepcional (art. 25.3)",$I96="Traslado de expediente")),COUNTIF($AE$1:AE95,"&gt;0")+1,"")</f>
      </c>
      <c r="AF96">
        <f>IF($Q96="Disponible",COUNTIF($AF$1:AF95,"&gt;0")+1,"")</f>
      </c>
      <c r="AG96">
        <f>IF($O96="Sí",COUNTIF($AG$1:AG95,"&gt;0")+1,"")</f>
      </c>
      <c r="AH96">
        <f>IF(AND($Q96="Disponible",$O96&lt;&gt;"Sí"),COUNTIF($AH$1:AH95,"&gt;0")+1,"")</f>
      </c>
      <c r="AI96">
        <f>IF(AND($Q96="Disponible",$K96&lt;&gt;""),COUNTIFS($K$2:K96,K96,$Q$2:Q96,"Disponible"),"")</f>
      </c>
      <c r="AJ96">
        <f>IF(AI96&lt;&gt;"",K96&amp;"|"&amp;AI96,"")</f>
      </c>
      <c r="AK96">
        <f>IF(AND($Q96="No disponible",OR($R96="Lista de espera · propio centro",$R96="Traslado de expediente",$R96="Lista de espera · otro centro"),$O96="Sí"),"la plaza ya tiene alumno y sigue marcada como refuerzo, ","")&amp;IF(AND($R96="Reconvertida en refuerzo",$O96&lt;&gt;"Sí"),"reconvertida en refuerzo pero sin marcar «En uso como refuerzo», ","")</f>
      </c>
    </row>
    <row r="97" spans="1:37">
      <c r="A97" s="20">
        <f>IF(D97&lt;&gt;"",ROW()-1,"")</f>
      </c>
      <c r="B97" s="55"/>
      <c r="C97" s="56"/>
      <c r="D97" s="56"/>
      <c r="E97" s="56"/>
      <c r="F97" s="56"/>
      <c r="G97" s="56"/>
      <c r="H97" s="56"/>
      <c r="I97" s="56"/>
      <c r="J97" s="57"/>
      <c r="K97" s="56"/>
      <c r="L97" s="58"/>
      <c r="M97" s="58">
        <f>IF(L97="","",L97)</f>
      </c>
      <c r="N97" s="56"/>
      <c r="O97" s="56"/>
      <c r="P97" s="57"/>
      <c r="Q97" s="56"/>
      <c r="R97" s="56"/>
      <c r="S97" s="56"/>
      <c r="T97" s="56"/>
      <c r="U97" s="56"/>
      <c r="V97" s="57"/>
      <c r="W97">
        <f>IF(Q97="Disponible",COUNTIFS($D$2:D97,D97,$Q$2:Q97,"Disponible"),"")</f>
      </c>
      <c r="X97">
        <f>IF(W97&lt;&gt;"",D97&amp;"|"&amp;W97,"")</f>
      </c>
      <c r="Y97">
        <f>IF(X97&lt;&gt;"",IF(K97&lt;&gt;"",K97&amp;" ("&amp;M97&amp;")",M97),"")</f>
      </c>
      <c r="Z97">
        <f>IF(O97="Sí",COUNTIFS($D$2:D97,D97,$O$2:O97,"Sí"),"")</f>
      </c>
      <c r="AA97">
        <f>IF(Z97&lt;&gt;"",D97&amp;"|"&amp;Z97,"")</f>
      </c>
      <c r="AB97">
        <f>IF(AA97&lt;&gt;"",IF(K97&lt;&gt;"",K97&amp;" ("&amp;M97&amp;")",M97),"")</f>
      </c>
      <c r="AC97">
        <f>IF($B97="","fecha, ","")&amp;IF($C97="","quién lo introduce, ","")&amp;IF($I97="","motivo, ","")&amp;IF($K97="","docente, ","")&amp;IF($L97="","horario, ","")&amp;IF($N97="","duración, ","")&amp;IF($Q97="","estado, ","")&amp;IF(AND($I97="Otros",$J97=""),"detalle del motivo, ","")&amp;IF(AND($O97="Sí",$P97=""),"detalle del refuerzo, ","")&amp;IF(AND(OR($I97="Renuncia (hasta 30 nov)",$I97="Baja (desde 1 dic)",$I97="Renuncia excepcional (art. 25.3)",$I97="Traslado de expediente"),OR($E97="",$F97="",$G97="")),"quién deja la plaza, ","")&amp;IF(AND($Q97="No disponible",$R97=""),"vía de cobertura, ","")&amp;IF(AND(OR($R97="Lista de espera · propio centro",$R97="Traslado de expediente",$R97="Lista de espera · otro centro"),OR($S97="",$T97="",$U97="")),"quién ocupa la plaza, ","")</f>
      </c>
      <c r="AD97" s="24">
        <f>IF($D97="","",IF(AND(LEN($AC97)=0,LEN($AK97)=0),"Completa",IF(LEN($AC97)=0,"Revisar: "&amp;LEFT($AK97,LEN($AK97)-2),"Falta: "&amp;LEFT($AC97,LEN($AC97)-2)&amp;IF(LEN($AK97)&gt;0,"  ·  Revisar: "&amp;LEFT($AK97,LEN($AK97)-2),""))))</f>
      </c>
      <c r="AE97">
        <f>IF(AND($D97&lt;&gt;"",OR($I97="Renuncia (hasta 30 nov)",$I97="Baja (desde 1 dic)",$I97="Renuncia excepcional (art. 25.3)",$I97="Traslado de expediente")),COUNTIF($AE$1:AE96,"&gt;0")+1,"")</f>
      </c>
      <c r="AF97">
        <f>IF($Q97="Disponible",COUNTIF($AF$1:AF96,"&gt;0")+1,"")</f>
      </c>
      <c r="AG97">
        <f>IF($O97="Sí",COUNTIF($AG$1:AG96,"&gt;0")+1,"")</f>
      </c>
      <c r="AH97">
        <f>IF(AND($Q97="Disponible",$O97&lt;&gt;"Sí"),COUNTIF($AH$1:AH96,"&gt;0")+1,"")</f>
      </c>
      <c r="AI97">
        <f>IF(AND($Q97="Disponible",$K97&lt;&gt;""),COUNTIFS($K$2:K97,K97,$Q$2:Q97,"Disponible"),"")</f>
      </c>
      <c r="AJ97">
        <f>IF(AI97&lt;&gt;"",K97&amp;"|"&amp;AI97,"")</f>
      </c>
      <c r="AK97">
        <f>IF(AND($Q97="No disponible",OR($R97="Lista de espera · propio centro",$R97="Traslado de expediente",$R97="Lista de espera · otro centro"),$O97="Sí"),"la plaza ya tiene alumno y sigue marcada como refuerzo, ","")&amp;IF(AND($R97="Reconvertida en refuerzo",$O97&lt;&gt;"Sí"),"reconvertida en refuerzo pero sin marcar «En uso como refuerzo», ","")</f>
      </c>
    </row>
    <row r="98" spans="1:37">
      <c r="A98" s="20">
        <f>IF(D98&lt;&gt;"",ROW()-1,"")</f>
      </c>
      <c r="B98" s="55"/>
      <c r="C98" s="56"/>
      <c r="D98" s="56"/>
      <c r="E98" s="56"/>
      <c r="F98" s="56"/>
      <c r="G98" s="56"/>
      <c r="H98" s="56"/>
      <c r="I98" s="56"/>
      <c r="J98" s="57"/>
      <c r="K98" s="56"/>
      <c r="L98" s="58"/>
      <c r="M98" s="58">
        <f>IF(L98="","",L98)</f>
      </c>
      <c r="N98" s="56"/>
      <c r="O98" s="56"/>
      <c r="P98" s="57"/>
      <c r="Q98" s="56"/>
      <c r="R98" s="56"/>
      <c r="S98" s="56"/>
      <c r="T98" s="56"/>
      <c r="U98" s="56"/>
      <c r="V98" s="57"/>
      <c r="W98">
        <f>IF(Q98="Disponible",COUNTIFS($D$2:D98,D98,$Q$2:Q98,"Disponible"),"")</f>
      </c>
      <c r="X98">
        <f>IF(W98&lt;&gt;"",D98&amp;"|"&amp;W98,"")</f>
      </c>
      <c r="Y98">
        <f>IF(X98&lt;&gt;"",IF(K98&lt;&gt;"",K98&amp;" ("&amp;M98&amp;")",M98),"")</f>
      </c>
      <c r="Z98">
        <f>IF(O98="Sí",COUNTIFS($D$2:D98,D98,$O$2:O98,"Sí"),"")</f>
      </c>
      <c r="AA98">
        <f>IF(Z98&lt;&gt;"",D98&amp;"|"&amp;Z98,"")</f>
      </c>
      <c r="AB98">
        <f>IF(AA98&lt;&gt;"",IF(K98&lt;&gt;"",K98&amp;" ("&amp;M98&amp;")",M98),"")</f>
      </c>
      <c r="AC98">
        <f>IF($B98="","fecha, ","")&amp;IF($C98="","quién lo introduce, ","")&amp;IF($I98="","motivo, ","")&amp;IF($K98="","docente, ","")&amp;IF($L98="","horario, ","")&amp;IF($N98="","duración, ","")&amp;IF($Q98="","estado, ","")&amp;IF(AND($I98="Otros",$J98=""),"detalle del motivo, ","")&amp;IF(AND($O98="Sí",$P98=""),"detalle del refuerzo, ","")&amp;IF(AND(OR($I98="Renuncia (hasta 30 nov)",$I98="Baja (desde 1 dic)",$I98="Renuncia excepcional (art. 25.3)",$I98="Traslado de expediente"),OR($E98="",$F98="",$G98="")),"quién deja la plaza, ","")&amp;IF(AND($Q98="No disponible",$R98=""),"vía de cobertura, ","")&amp;IF(AND(OR($R98="Lista de espera · propio centro",$R98="Traslado de expediente",$R98="Lista de espera · otro centro"),OR($S98="",$T98="",$U98="")),"quién ocupa la plaza, ","")</f>
      </c>
      <c r="AD98" s="24">
        <f>IF($D98="","",IF(AND(LEN($AC98)=0,LEN($AK98)=0),"Completa",IF(LEN($AC98)=0,"Revisar: "&amp;LEFT($AK98,LEN($AK98)-2),"Falta: "&amp;LEFT($AC98,LEN($AC98)-2)&amp;IF(LEN($AK98)&gt;0,"  ·  Revisar: "&amp;LEFT($AK98,LEN($AK98)-2),""))))</f>
      </c>
      <c r="AE98">
        <f>IF(AND($D98&lt;&gt;"",OR($I98="Renuncia (hasta 30 nov)",$I98="Baja (desde 1 dic)",$I98="Renuncia excepcional (art. 25.3)",$I98="Traslado de expediente")),COUNTIF($AE$1:AE97,"&gt;0")+1,"")</f>
      </c>
      <c r="AF98">
        <f>IF($Q98="Disponible",COUNTIF($AF$1:AF97,"&gt;0")+1,"")</f>
      </c>
      <c r="AG98">
        <f>IF($O98="Sí",COUNTIF($AG$1:AG97,"&gt;0")+1,"")</f>
      </c>
      <c r="AH98">
        <f>IF(AND($Q98="Disponible",$O98&lt;&gt;"Sí"),COUNTIF($AH$1:AH97,"&gt;0")+1,"")</f>
      </c>
      <c r="AI98">
        <f>IF(AND($Q98="Disponible",$K98&lt;&gt;""),COUNTIFS($K$2:K98,K98,$Q$2:Q98,"Disponible"),"")</f>
      </c>
      <c r="AJ98">
        <f>IF(AI98&lt;&gt;"",K98&amp;"|"&amp;AI98,"")</f>
      </c>
      <c r="AK98">
        <f>IF(AND($Q98="No disponible",OR($R98="Lista de espera · propio centro",$R98="Traslado de expediente",$R98="Lista de espera · otro centro"),$O98="Sí"),"la plaza ya tiene alumno y sigue marcada como refuerzo, ","")&amp;IF(AND($R98="Reconvertida en refuerzo",$O98&lt;&gt;"Sí"),"reconvertida en refuerzo pero sin marcar «En uso como refuerzo», ","")</f>
      </c>
    </row>
    <row r="99" spans="1:37">
      <c r="A99" s="20">
        <f>IF(D99&lt;&gt;"",ROW()-1,"")</f>
      </c>
      <c r="B99" s="55"/>
      <c r="C99" s="56"/>
      <c r="D99" s="56"/>
      <c r="E99" s="56"/>
      <c r="F99" s="56"/>
      <c r="G99" s="56"/>
      <c r="H99" s="56"/>
      <c r="I99" s="56"/>
      <c r="J99" s="57"/>
      <c r="K99" s="56"/>
      <c r="L99" s="58"/>
      <c r="M99" s="58">
        <f>IF(L99="","",L99)</f>
      </c>
      <c r="N99" s="56"/>
      <c r="O99" s="56"/>
      <c r="P99" s="57"/>
      <c r="Q99" s="56"/>
      <c r="R99" s="56"/>
      <c r="S99" s="56"/>
      <c r="T99" s="56"/>
      <c r="U99" s="56"/>
      <c r="V99" s="57"/>
      <c r="W99">
        <f>IF(Q99="Disponible",COUNTIFS($D$2:D99,D99,$Q$2:Q99,"Disponible"),"")</f>
      </c>
      <c r="X99">
        <f>IF(W99&lt;&gt;"",D99&amp;"|"&amp;W99,"")</f>
      </c>
      <c r="Y99">
        <f>IF(X99&lt;&gt;"",IF(K99&lt;&gt;"",K99&amp;" ("&amp;M99&amp;")",M99),"")</f>
      </c>
      <c r="Z99">
        <f>IF(O99="Sí",COUNTIFS($D$2:D99,D99,$O$2:O99,"Sí"),"")</f>
      </c>
      <c r="AA99">
        <f>IF(Z99&lt;&gt;"",D99&amp;"|"&amp;Z99,"")</f>
      </c>
      <c r="AB99">
        <f>IF(AA99&lt;&gt;"",IF(K99&lt;&gt;"",K99&amp;" ("&amp;M99&amp;")",M99),"")</f>
      </c>
      <c r="AC99">
        <f>IF($B99="","fecha, ","")&amp;IF($C99="","quién lo introduce, ","")&amp;IF($I99="","motivo, ","")&amp;IF($K99="","docente, ","")&amp;IF($L99="","horario, ","")&amp;IF($N99="","duración, ","")&amp;IF($Q99="","estado, ","")&amp;IF(AND($I99="Otros",$J99=""),"detalle del motivo, ","")&amp;IF(AND($O99="Sí",$P99=""),"detalle del refuerzo, ","")&amp;IF(AND(OR($I99="Renuncia (hasta 30 nov)",$I99="Baja (desde 1 dic)",$I99="Renuncia excepcional (art. 25.3)",$I99="Traslado de expediente"),OR($E99="",$F99="",$G99="")),"quién deja la plaza, ","")&amp;IF(AND($Q99="No disponible",$R99=""),"vía de cobertura, ","")&amp;IF(AND(OR($R99="Lista de espera · propio centro",$R99="Traslado de expediente",$R99="Lista de espera · otro centro"),OR($S99="",$T99="",$U99="")),"quién ocupa la plaza, ","")</f>
      </c>
      <c r="AD99" s="24">
        <f>IF($D99="","",IF(AND(LEN($AC99)=0,LEN($AK99)=0),"Completa",IF(LEN($AC99)=0,"Revisar: "&amp;LEFT($AK99,LEN($AK99)-2),"Falta: "&amp;LEFT($AC99,LEN($AC99)-2)&amp;IF(LEN($AK99)&gt;0,"  ·  Revisar: "&amp;LEFT($AK99,LEN($AK99)-2),""))))</f>
      </c>
      <c r="AE99">
        <f>IF(AND($D99&lt;&gt;"",OR($I99="Renuncia (hasta 30 nov)",$I99="Baja (desde 1 dic)",$I99="Renuncia excepcional (art. 25.3)",$I99="Traslado de expediente")),COUNTIF($AE$1:AE98,"&gt;0")+1,"")</f>
      </c>
      <c r="AF99">
        <f>IF($Q99="Disponible",COUNTIF($AF$1:AF98,"&gt;0")+1,"")</f>
      </c>
      <c r="AG99">
        <f>IF($O99="Sí",COUNTIF($AG$1:AG98,"&gt;0")+1,"")</f>
      </c>
      <c r="AH99">
        <f>IF(AND($Q99="Disponible",$O99&lt;&gt;"Sí"),COUNTIF($AH$1:AH98,"&gt;0")+1,"")</f>
      </c>
      <c r="AI99">
        <f>IF(AND($Q99="Disponible",$K99&lt;&gt;""),COUNTIFS($K$2:K99,K99,$Q$2:Q99,"Disponible"),"")</f>
      </c>
      <c r="AJ99">
        <f>IF(AI99&lt;&gt;"",K99&amp;"|"&amp;AI99,"")</f>
      </c>
      <c r="AK99">
        <f>IF(AND($Q99="No disponible",OR($R99="Lista de espera · propio centro",$R99="Traslado de expediente",$R99="Lista de espera · otro centro"),$O99="Sí"),"la plaza ya tiene alumno y sigue marcada como refuerzo, ","")&amp;IF(AND($R99="Reconvertida en refuerzo",$O99&lt;&gt;"Sí"),"reconvertida en refuerzo pero sin marcar «En uso como refuerzo», ","")</f>
      </c>
    </row>
    <row r="100" spans="1:37">
      <c r="A100" s="20">
        <f>IF(D100&lt;&gt;"",ROW()-1,"")</f>
      </c>
      <c r="B100" s="55"/>
      <c r="C100" s="56"/>
      <c r="D100" s="56"/>
      <c r="E100" s="56"/>
      <c r="F100" s="56"/>
      <c r="G100" s="56"/>
      <c r="H100" s="56"/>
      <c r="I100" s="56"/>
      <c r="J100" s="57"/>
      <c r="K100" s="56"/>
      <c r="L100" s="58"/>
      <c r="M100" s="58">
        <f>IF(L100="","",L100)</f>
      </c>
      <c r="N100" s="56"/>
      <c r="O100" s="56"/>
      <c r="P100" s="57"/>
      <c r="Q100" s="56"/>
      <c r="R100" s="56"/>
      <c r="S100" s="56"/>
      <c r="T100" s="56"/>
      <c r="U100" s="56"/>
      <c r="V100" s="57"/>
      <c r="W100">
        <f>IF(Q100="Disponible",COUNTIFS($D$2:D100,D100,$Q$2:Q100,"Disponible"),"")</f>
      </c>
      <c r="X100">
        <f>IF(W100&lt;&gt;"",D100&amp;"|"&amp;W100,"")</f>
      </c>
      <c r="Y100">
        <f>IF(X100&lt;&gt;"",IF(K100&lt;&gt;"",K100&amp;" ("&amp;M100&amp;")",M100),"")</f>
      </c>
      <c r="Z100">
        <f>IF(O100="Sí",COUNTIFS($D$2:D100,D100,$O$2:O100,"Sí"),"")</f>
      </c>
      <c r="AA100">
        <f>IF(Z100&lt;&gt;"",D100&amp;"|"&amp;Z100,"")</f>
      </c>
      <c r="AB100">
        <f>IF(AA100&lt;&gt;"",IF(K100&lt;&gt;"",K100&amp;" ("&amp;M100&amp;")",M100),"")</f>
      </c>
      <c r="AC100">
        <f>IF($B100="","fecha, ","")&amp;IF($C100="","quién lo introduce, ","")&amp;IF($I100="","motivo, ","")&amp;IF($K100="","docente, ","")&amp;IF($L100="","horario, ","")&amp;IF($N100="","duración, ","")&amp;IF($Q100="","estado, ","")&amp;IF(AND($I100="Otros",$J100=""),"detalle del motivo, ","")&amp;IF(AND($O100="Sí",$P100=""),"detalle del refuerzo, ","")&amp;IF(AND(OR($I100="Renuncia (hasta 30 nov)",$I100="Baja (desde 1 dic)",$I100="Renuncia excepcional (art. 25.3)",$I100="Traslado de expediente"),OR($E100="",$F100="",$G100="")),"quién deja la plaza, ","")&amp;IF(AND($Q100="No disponible",$R100=""),"vía de cobertura, ","")&amp;IF(AND(OR($R100="Lista de espera · propio centro",$R100="Traslado de expediente",$R100="Lista de espera · otro centro"),OR($S100="",$T100="",$U100="")),"quién ocupa la plaza, ","")</f>
      </c>
      <c r="AD100" s="24">
        <f>IF($D100="","",IF(AND(LEN($AC100)=0,LEN($AK100)=0),"Completa",IF(LEN($AC100)=0,"Revisar: "&amp;LEFT($AK100,LEN($AK100)-2),"Falta: "&amp;LEFT($AC100,LEN($AC100)-2)&amp;IF(LEN($AK100)&gt;0,"  ·  Revisar: "&amp;LEFT($AK100,LEN($AK100)-2),""))))</f>
      </c>
      <c r="AE100">
        <f>IF(AND($D100&lt;&gt;"",OR($I100="Renuncia (hasta 30 nov)",$I100="Baja (desde 1 dic)",$I100="Renuncia excepcional (art. 25.3)",$I100="Traslado de expediente")),COUNTIF($AE$1:AE99,"&gt;0")+1,"")</f>
      </c>
      <c r="AF100">
        <f>IF($Q100="Disponible",COUNTIF($AF$1:AF99,"&gt;0")+1,"")</f>
      </c>
      <c r="AG100">
        <f>IF($O100="Sí",COUNTIF($AG$1:AG99,"&gt;0")+1,"")</f>
      </c>
      <c r="AH100">
        <f>IF(AND($Q100="Disponible",$O100&lt;&gt;"Sí"),COUNTIF($AH$1:AH99,"&gt;0")+1,"")</f>
      </c>
      <c r="AI100">
        <f>IF(AND($Q100="Disponible",$K100&lt;&gt;""),COUNTIFS($K$2:K100,K100,$Q$2:Q100,"Disponible"),"")</f>
      </c>
      <c r="AJ100">
        <f>IF(AI100&lt;&gt;"",K100&amp;"|"&amp;AI100,"")</f>
      </c>
      <c r="AK100">
        <f>IF(AND($Q100="No disponible",OR($R100="Lista de espera · propio centro",$R100="Traslado de expediente",$R100="Lista de espera · otro centro"),$O100="Sí"),"la plaza ya tiene alumno y sigue marcada como refuerzo, ","")&amp;IF(AND($R100="Reconvertida en refuerzo",$O100&lt;&gt;"Sí"),"reconvertida en refuerzo pero sin marcar «En uso como refuerzo», ","")</f>
      </c>
    </row>
    <row r="101" spans="1:37">
      <c r="A101" s="20">
        <f>IF(D101&lt;&gt;"",ROW()-1,"")</f>
      </c>
      <c r="B101" s="55"/>
      <c r="C101" s="56"/>
      <c r="D101" s="56"/>
      <c r="E101" s="56"/>
      <c r="F101" s="56"/>
      <c r="G101" s="56"/>
      <c r="H101" s="56"/>
      <c r="I101" s="56"/>
      <c r="J101" s="57"/>
      <c r="K101" s="56"/>
      <c r="L101" s="58"/>
      <c r="M101" s="58">
        <f>IF(L101="","",L101)</f>
      </c>
      <c r="N101" s="56"/>
      <c r="O101" s="56"/>
      <c r="P101" s="57"/>
      <c r="Q101" s="56"/>
      <c r="R101" s="56"/>
      <c r="S101" s="56"/>
      <c r="T101" s="56"/>
      <c r="U101" s="56"/>
      <c r="V101" s="57"/>
      <c r="W101">
        <f>IF(Q101="Disponible",COUNTIFS($D$2:D101,D101,$Q$2:Q101,"Disponible"),"")</f>
      </c>
      <c r="X101">
        <f>IF(W101&lt;&gt;"",D101&amp;"|"&amp;W101,"")</f>
      </c>
      <c r="Y101">
        <f>IF(X101&lt;&gt;"",IF(K101&lt;&gt;"",K101&amp;" ("&amp;M101&amp;")",M101),"")</f>
      </c>
      <c r="Z101">
        <f>IF(O101="Sí",COUNTIFS($D$2:D101,D101,$O$2:O101,"Sí"),"")</f>
      </c>
      <c r="AA101">
        <f>IF(Z101&lt;&gt;"",D101&amp;"|"&amp;Z101,"")</f>
      </c>
      <c r="AB101">
        <f>IF(AA101&lt;&gt;"",IF(K101&lt;&gt;"",K101&amp;" ("&amp;M101&amp;")",M101),"")</f>
      </c>
      <c r="AC101">
        <f>IF($B101="","fecha, ","")&amp;IF($C101="","quién lo introduce, ","")&amp;IF($I101="","motivo, ","")&amp;IF($K101="","docente, ","")&amp;IF($L101="","horario, ","")&amp;IF($N101="","duración, ","")&amp;IF($Q101="","estado, ","")&amp;IF(AND($I101="Otros",$J101=""),"detalle del motivo, ","")&amp;IF(AND($O101="Sí",$P101=""),"detalle del refuerzo, ","")&amp;IF(AND(OR($I101="Renuncia (hasta 30 nov)",$I101="Baja (desde 1 dic)",$I101="Renuncia excepcional (art. 25.3)",$I101="Traslado de expediente"),OR($E101="",$F101="",$G101="")),"quién deja la plaza, ","")&amp;IF(AND($Q101="No disponible",$R101=""),"vía de cobertura, ","")&amp;IF(AND(OR($R101="Lista de espera · propio centro",$R101="Traslado de expediente",$R101="Lista de espera · otro centro"),OR($S101="",$T101="",$U101="")),"quién ocupa la plaza, ","")</f>
      </c>
      <c r="AD101" s="24">
        <f>IF($D101="","",IF(AND(LEN($AC101)=0,LEN($AK101)=0),"Completa",IF(LEN($AC101)=0,"Revisar: "&amp;LEFT($AK101,LEN($AK101)-2),"Falta: "&amp;LEFT($AC101,LEN($AC101)-2)&amp;IF(LEN($AK101)&gt;0,"  ·  Revisar: "&amp;LEFT($AK101,LEN($AK101)-2),""))))</f>
      </c>
      <c r="AE101">
        <f>IF(AND($D101&lt;&gt;"",OR($I101="Renuncia (hasta 30 nov)",$I101="Baja (desde 1 dic)",$I101="Renuncia excepcional (art. 25.3)",$I101="Traslado de expediente")),COUNTIF($AE$1:AE100,"&gt;0")+1,"")</f>
      </c>
      <c r="AF101">
        <f>IF($Q101="Disponible",COUNTIF($AF$1:AF100,"&gt;0")+1,"")</f>
      </c>
      <c r="AG101">
        <f>IF($O101="Sí",COUNTIF($AG$1:AG100,"&gt;0")+1,"")</f>
      </c>
      <c r="AH101">
        <f>IF(AND($Q101="Disponible",$O101&lt;&gt;"Sí"),COUNTIF($AH$1:AH100,"&gt;0")+1,"")</f>
      </c>
      <c r="AI101">
        <f>IF(AND($Q101="Disponible",$K101&lt;&gt;""),COUNTIFS($K$2:K101,K101,$Q$2:Q101,"Disponible"),"")</f>
      </c>
      <c r="AJ101">
        <f>IF(AI101&lt;&gt;"",K101&amp;"|"&amp;AI101,"")</f>
      </c>
      <c r="AK101">
        <f>IF(AND($Q101="No disponible",OR($R101="Lista de espera · propio centro",$R101="Traslado de expediente",$R101="Lista de espera · otro centro"),$O101="Sí"),"la plaza ya tiene alumno y sigue marcada como refuerzo, ","")&amp;IF(AND($R101="Reconvertida en refuerzo",$O101&lt;&gt;"Sí"),"reconvertida en refuerzo pero sin marcar «En uso como refuerzo», ","")</f>
      </c>
    </row>
    <row r="102" spans="1:37">
      <c r="A102" s="20">
        <f>IF(D102&lt;&gt;"",ROW()-1,"")</f>
      </c>
      <c r="B102" s="55"/>
      <c r="C102" s="56"/>
      <c r="D102" s="56"/>
      <c r="E102" s="56"/>
      <c r="F102" s="56"/>
      <c r="G102" s="56"/>
      <c r="H102" s="56"/>
      <c r="I102" s="56"/>
      <c r="J102" s="57"/>
      <c r="K102" s="56"/>
      <c r="L102" s="58"/>
      <c r="M102" s="58">
        <f>IF(L102="","",L102)</f>
      </c>
      <c r="N102" s="56"/>
      <c r="O102" s="56"/>
      <c r="P102" s="57"/>
      <c r="Q102" s="56"/>
      <c r="R102" s="56"/>
      <c r="S102" s="56"/>
      <c r="T102" s="56"/>
      <c r="U102" s="56"/>
      <c r="V102" s="57"/>
      <c r="W102">
        <f>IF(Q102="Disponible",COUNTIFS($D$2:D102,D102,$Q$2:Q102,"Disponible"),"")</f>
      </c>
      <c r="X102">
        <f>IF(W102&lt;&gt;"",D102&amp;"|"&amp;W102,"")</f>
      </c>
      <c r="Y102">
        <f>IF(X102&lt;&gt;"",IF(K102&lt;&gt;"",K102&amp;" ("&amp;M102&amp;")",M102),"")</f>
      </c>
      <c r="Z102">
        <f>IF(O102="Sí",COUNTIFS($D$2:D102,D102,$O$2:O102,"Sí"),"")</f>
      </c>
      <c r="AA102">
        <f>IF(Z102&lt;&gt;"",D102&amp;"|"&amp;Z102,"")</f>
      </c>
      <c r="AB102">
        <f>IF(AA102&lt;&gt;"",IF(K102&lt;&gt;"",K102&amp;" ("&amp;M102&amp;")",M102),"")</f>
      </c>
      <c r="AC102">
        <f>IF($B102="","fecha, ","")&amp;IF($C102="","quién lo introduce, ","")&amp;IF($I102="","motivo, ","")&amp;IF($K102="","docente, ","")&amp;IF($L102="","horario, ","")&amp;IF($N102="","duración, ","")&amp;IF($Q102="","estado, ","")&amp;IF(AND($I102="Otros",$J102=""),"detalle del motivo, ","")&amp;IF(AND($O102="Sí",$P102=""),"detalle del refuerzo, ","")&amp;IF(AND(OR($I102="Renuncia (hasta 30 nov)",$I102="Baja (desde 1 dic)",$I102="Renuncia excepcional (art. 25.3)",$I102="Traslado de expediente"),OR($E102="",$F102="",$G102="")),"quién deja la plaza, ","")&amp;IF(AND($Q102="No disponible",$R102=""),"vía de cobertura, ","")&amp;IF(AND(OR($R102="Lista de espera · propio centro",$R102="Traslado de expediente",$R102="Lista de espera · otro centro"),OR($S102="",$T102="",$U102="")),"quién ocupa la plaza, ","")</f>
      </c>
      <c r="AD102" s="24">
        <f>IF($D102="","",IF(AND(LEN($AC102)=0,LEN($AK102)=0),"Completa",IF(LEN($AC102)=0,"Revisar: "&amp;LEFT($AK102,LEN($AK102)-2),"Falta: "&amp;LEFT($AC102,LEN($AC102)-2)&amp;IF(LEN($AK102)&gt;0,"  ·  Revisar: "&amp;LEFT($AK102,LEN($AK102)-2),""))))</f>
      </c>
      <c r="AE102">
        <f>IF(AND($D102&lt;&gt;"",OR($I102="Renuncia (hasta 30 nov)",$I102="Baja (desde 1 dic)",$I102="Renuncia excepcional (art. 25.3)",$I102="Traslado de expediente")),COUNTIF($AE$1:AE101,"&gt;0")+1,"")</f>
      </c>
      <c r="AF102">
        <f>IF($Q102="Disponible",COUNTIF($AF$1:AF101,"&gt;0")+1,"")</f>
      </c>
      <c r="AG102">
        <f>IF($O102="Sí",COUNTIF($AG$1:AG101,"&gt;0")+1,"")</f>
      </c>
      <c r="AH102">
        <f>IF(AND($Q102="Disponible",$O102&lt;&gt;"Sí"),COUNTIF($AH$1:AH101,"&gt;0")+1,"")</f>
      </c>
      <c r="AI102">
        <f>IF(AND($Q102="Disponible",$K102&lt;&gt;""),COUNTIFS($K$2:K102,K102,$Q$2:Q102,"Disponible"),"")</f>
      </c>
      <c r="AJ102">
        <f>IF(AI102&lt;&gt;"",K102&amp;"|"&amp;AI102,"")</f>
      </c>
      <c r="AK102">
        <f>IF(AND($Q102="No disponible",OR($R102="Lista de espera · propio centro",$R102="Traslado de expediente",$R102="Lista de espera · otro centro"),$O102="Sí"),"la plaza ya tiene alumno y sigue marcada como refuerzo, ","")&amp;IF(AND($R102="Reconvertida en refuerzo",$O102&lt;&gt;"Sí"),"reconvertida en refuerzo pero sin marcar «En uso como refuerzo», ","")</f>
      </c>
    </row>
    <row r="103" spans="1:37">
      <c r="A103" s="20">
        <f>IF(D103&lt;&gt;"",ROW()-1,"")</f>
      </c>
      <c r="B103" s="55"/>
      <c r="C103" s="56"/>
      <c r="D103" s="56"/>
      <c r="E103" s="56"/>
      <c r="F103" s="56"/>
      <c r="G103" s="56"/>
      <c r="H103" s="56"/>
      <c r="I103" s="56"/>
      <c r="J103" s="57"/>
      <c r="K103" s="56"/>
      <c r="L103" s="58"/>
      <c r="M103" s="58">
        <f>IF(L103="","",L103)</f>
      </c>
      <c r="N103" s="56"/>
      <c r="O103" s="56"/>
      <c r="P103" s="57"/>
      <c r="Q103" s="56"/>
      <c r="R103" s="56"/>
      <c r="S103" s="56"/>
      <c r="T103" s="56"/>
      <c r="U103" s="56"/>
      <c r="V103" s="57"/>
      <c r="W103">
        <f>IF(Q103="Disponible",COUNTIFS($D$2:D103,D103,$Q$2:Q103,"Disponible"),"")</f>
      </c>
      <c r="X103">
        <f>IF(W103&lt;&gt;"",D103&amp;"|"&amp;W103,"")</f>
      </c>
      <c r="Y103">
        <f>IF(X103&lt;&gt;"",IF(K103&lt;&gt;"",K103&amp;" ("&amp;M103&amp;")",M103),"")</f>
      </c>
      <c r="Z103">
        <f>IF(O103="Sí",COUNTIFS($D$2:D103,D103,$O$2:O103,"Sí"),"")</f>
      </c>
      <c r="AA103">
        <f>IF(Z103&lt;&gt;"",D103&amp;"|"&amp;Z103,"")</f>
      </c>
      <c r="AB103">
        <f>IF(AA103&lt;&gt;"",IF(K103&lt;&gt;"",K103&amp;" ("&amp;M103&amp;")",M103),"")</f>
      </c>
      <c r="AC103">
        <f>IF($B103="","fecha, ","")&amp;IF($C103="","quién lo introduce, ","")&amp;IF($I103="","motivo, ","")&amp;IF($K103="","docente, ","")&amp;IF($L103="","horario, ","")&amp;IF($N103="","duración, ","")&amp;IF($Q103="","estado, ","")&amp;IF(AND($I103="Otros",$J103=""),"detalle del motivo, ","")&amp;IF(AND($O103="Sí",$P103=""),"detalle del refuerzo, ","")&amp;IF(AND(OR($I103="Renuncia (hasta 30 nov)",$I103="Baja (desde 1 dic)",$I103="Renuncia excepcional (art. 25.3)",$I103="Traslado de expediente"),OR($E103="",$F103="",$G103="")),"quién deja la plaza, ","")&amp;IF(AND($Q103="No disponible",$R103=""),"vía de cobertura, ","")&amp;IF(AND(OR($R103="Lista de espera · propio centro",$R103="Traslado de expediente",$R103="Lista de espera · otro centro"),OR($S103="",$T103="",$U103="")),"quién ocupa la plaza, ","")</f>
      </c>
      <c r="AD103" s="24">
        <f>IF($D103="","",IF(AND(LEN($AC103)=0,LEN($AK103)=0),"Completa",IF(LEN($AC103)=0,"Revisar: "&amp;LEFT($AK103,LEN($AK103)-2),"Falta: "&amp;LEFT($AC103,LEN($AC103)-2)&amp;IF(LEN($AK103)&gt;0,"  ·  Revisar: "&amp;LEFT($AK103,LEN($AK103)-2),""))))</f>
      </c>
      <c r="AE103">
        <f>IF(AND($D103&lt;&gt;"",OR($I103="Renuncia (hasta 30 nov)",$I103="Baja (desde 1 dic)",$I103="Renuncia excepcional (art. 25.3)",$I103="Traslado de expediente")),COUNTIF($AE$1:AE102,"&gt;0")+1,"")</f>
      </c>
      <c r="AF103">
        <f>IF($Q103="Disponible",COUNTIF($AF$1:AF102,"&gt;0")+1,"")</f>
      </c>
      <c r="AG103">
        <f>IF($O103="Sí",COUNTIF($AG$1:AG102,"&gt;0")+1,"")</f>
      </c>
      <c r="AH103">
        <f>IF(AND($Q103="Disponible",$O103&lt;&gt;"Sí"),COUNTIF($AH$1:AH102,"&gt;0")+1,"")</f>
      </c>
      <c r="AI103">
        <f>IF(AND($Q103="Disponible",$K103&lt;&gt;""),COUNTIFS($K$2:K103,K103,$Q$2:Q103,"Disponible"),"")</f>
      </c>
      <c r="AJ103">
        <f>IF(AI103&lt;&gt;"",K103&amp;"|"&amp;AI103,"")</f>
      </c>
      <c r="AK103">
        <f>IF(AND($Q103="No disponible",OR($R103="Lista de espera · propio centro",$R103="Traslado de expediente",$R103="Lista de espera · otro centro"),$O103="Sí"),"la plaza ya tiene alumno y sigue marcada como refuerzo, ","")&amp;IF(AND($R103="Reconvertida en refuerzo",$O103&lt;&gt;"Sí"),"reconvertida en refuerzo pero sin marcar «En uso como refuerzo», ","")</f>
      </c>
    </row>
    <row r="104" spans="1:37">
      <c r="A104" s="20">
        <f>IF(D104&lt;&gt;"",ROW()-1,"")</f>
      </c>
      <c r="B104" s="55"/>
      <c r="C104" s="56"/>
      <c r="D104" s="56"/>
      <c r="E104" s="56"/>
      <c r="F104" s="56"/>
      <c r="G104" s="56"/>
      <c r="H104" s="56"/>
      <c r="I104" s="56"/>
      <c r="J104" s="57"/>
      <c r="K104" s="56"/>
      <c r="L104" s="58"/>
      <c r="M104" s="58">
        <f>IF(L104="","",L104)</f>
      </c>
      <c r="N104" s="56"/>
      <c r="O104" s="56"/>
      <c r="P104" s="57"/>
      <c r="Q104" s="56"/>
      <c r="R104" s="56"/>
      <c r="S104" s="56"/>
      <c r="T104" s="56"/>
      <c r="U104" s="56"/>
      <c r="V104" s="57"/>
      <c r="W104">
        <f>IF(Q104="Disponible",COUNTIFS($D$2:D104,D104,$Q$2:Q104,"Disponible"),"")</f>
      </c>
      <c r="X104">
        <f>IF(W104&lt;&gt;"",D104&amp;"|"&amp;W104,"")</f>
      </c>
      <c r="Y104">
        <f>IF(X104&lt;&gt;"",IF(K104&lt;&gt;"",K104&amp;" ("&amp;M104&amp;")",M104),"")</f>
      </c>
      <c r="Z104">
        <f>IF(O104="Sí",COUNTIFS($D$2:D104,D104,$O$2:O104,"Sí"),"")</f>
      </c>
      <c r="AA104">
        <f>IF(Z104&lt;&gt;"",D104&amp;"|"&amp;Z104,"")</f>
      </c>
      <c r="AB104">
        <f>IF(AA104&lt;&gt;"",IF(K104&lt;&gt;"",K104&amp;" ("&amp;M104&amp;")",M104),"")</f>
      </c>
      <c r="AC104">
        <f>IF($B104="","fecha, ","")&amp;IF($C104="","quién lo introduce, ","")&amp;IF($I104="","motivo, ","")&amp;IF($K104="","docente, ","")&amp;IF($L104="","horario, ","")&amp;IF($N104="","duración, ","")&amp;IF($Q104="","estado, ","")&amp;IF(AND($I104="Otros",$J104=""),"detalle del motivo, ","")&amp;IF(AND($O104="Sí",$P104=""),"detalle del refuerzo, ","")&amp;IF(AND(OR($I104="Renuncia (hasta 30 nov)",$I104="Baja (desde 1 dic)",$I104="Renuncia excepcional (art. 25.3)",$I104="Traslado de expediente"),OR($E104="",$F104="",$G104="")),"quién deja la plaza, ","")&amp;IF(AND($Q104="No disponible",$R104=""),"vía de cobertura, ","")&amp;IF(AND(OR($R104="Lista de espera · propio centro",$R104="Traslado de expediente",$R104="Lista de espera · otro centro"),OR($S104="",$T104="",$U104="")),"quién ocupa la plaza, ","")</f>
      </c>
      <c r="AD104" s="24">
        <f>IF($D104="","",IF(AND(LEN($AC104)=0,LEN($AK104)=0),"Completa",IF(LEN($AC104)=0,"Revisar: "&amp;LEFT($AK104,LEN($AK104)-2),"Falta: "&amp;LEFT($AC104,LEN($AC104)-2)&amp;IF(LEN($AK104)&gt;0,"  ·  Revisar: "&amp;LEFT($AK104,LEN($AK104)-2),""))))</f>
      </c>
      <c r="AE104">
        <f>IF(AND($D104&lt;&gt;"",OR($I104="Renuncia (hasta 30 nov)",$I104="Baja (desde 1 dic)",$I104="Renuncia excepcional (art. 25.3)",$I104="Traslado de expediente")),COUNTIF($AE$1:AE103,"&gt;0")+1,"")</f>
      </c>
      <c r="AF104">
        <f>IF($Q104="Disponible",COUNTIF($AF$1:AF103,"&gt;0")+1,"")</f>
      </c>
      <c r="AG104">
        <f>IF($O104="Sí",COUNTIF($AG$1:AG103,"&gt;0")+1,"")</f>
      </c>
      <c r="AH104">
        <f>IF(AND($Q104="Disponible",$O104&lt;&gt;"Sí"),COUNTIF($AH$1:AH103,"&gt;0")+1,"")</f>
      </c>
      <c r="AI104">
        <f>IF(AND($Q104="Disponible",$K104&lt;&gt;""),COUNTIFS($K$2:K104,K104,$Q$2:Q104,"Disponible"),"")</f>
      </c>
      <c r="AJ104">
        <f>IF(AI104&lt;&gt;"",K104&amp;"|"&amp;AI104,"")</f>
      </c>
      <c r="AK104">
        <f>IF(AND($Q104="No disponible",OR($R104="Lista de espera · propio centro",$R104="Traslado de expediente",$R104="Lista de espera · otro centro"),$O104="Sí"),"la plaza ya tiene alumno y sigue marcada como refuerzo, ","")&amp;IF(AND($R104="Reconvertida en refuerzo",$O104&lt;&gt;"Sí"),"reconvertida en refuerzo pero sin marcar «En uso como refuerzo», ","")</f>
      </c>
    </row>
    <row r="105" spans="1:37">
      <c r="A105" s="20">
        <f>IF(D105&lt;&gt;"",ROW()-1,"")</f>
      </c>
      <c r="B105" s="55"/>
      <c r="C105" s="56"/>
      <c r="D105" s="56"/>
      <c r="E105" s="56"/>
      <c r="F105" s="56"/>
      <c r="G105" s="56"/>
      <c r="H105" s="56"/>
      <c r="I105" s="56"/>
      <c r="J105" s="57"/>
      <c r="K105" s="56"/>
      <c r="L105" s="58"/>
      <c r="M105" s="58">
        <f>IF(L105="","",L105)</f>
      </c>
      <c r="N105" s="56"/>
      <c r="O105" s="56"/>
      <c r="P105" s="57"/>
      <c r="Q105" s="56"/>
      <c r="R105" s="56"/>
      <c r="S105" s="56"/>
      <c r="T105" s="56"/>
      <c r="U105" s="56"/>
      <c r="V105" s="57"/>
      <c r="W105">
        <f>IF(Q105="Disponible",COUNTIFS($D$2:D105,D105,$Q$2:Q105,"Disponible"),"")</f>
      </c>
      <c r="X105">
        <f>IF(W105&lt;&gt;"",D105&amp;"|"&amp;W105,"")</f>
      </c>
      <c r="Y105">
        <f>IF(X105&lt;&gt;"",IF(K105&lt;&gt;"",K105&amp;" ("&amp;M105&amp;")",M105),"")</f>
      </c>
      <c r="Z105">
        <f>IF(O105="Sí",COUNTIFS($D$2:D105,D105,$O$2:O105,"Sí"),"")</f>
      </c>
      <c r="AA105">
        <f>IF(Z105&lt;&gt;"",D105&amp;"|"&amp;Z105,"")</f>
      </c>
      <c r="AB105">
        <f>IF(AA105&lt;&gt;"",IF(K105&lt;&gt;"",K105&amp;" ("&amp;M105&amp;")",M105),"")</f>
      </c>
      <c r="AC105">
        <f>IF($B105="","fecha, ","")&amp;IF($C105="","quién lo introduce, ","")&amp;IF($I105="","motivo, ","")&amp;IF($K105="","docente, ","")&amp;IF($L105="","horario, ","")&amp;IF($N105="","duración, ","")&amp;IF($Q105="","estado, ","")&amp;IF(AND($I105="Otros",$J105=""),"detalle del motivo, ","")&amp;IF(AND($O105="Sí",$P105=""),"detalle del refuerzo, ","")&amp;IF(AND(OR($I105="Renuncia (hasta 30 nov)",$I105="Baja (desde 1 dic)",$I105="Renuncia excepcional (art. 25.3)",$I105="Traslado de expediente"),OR($E105="",$F105="",$G105="")),"quién deja la plaza, ","")&amp;IF(AND($Q105="No disponible",$R105=""),"vía de cobertura, ","")&amp;IF(AND(OR($R105="Lista de espera · propio centro",$R105="Traslado de expediente",$R105="Lista de espera · otro centro"),OR($S105="",$T105="",$U105="")),"quién ocupa la plaza, ","")</f>
      </c>
      <c r="AD105" s="24">
        <f>IF($D105="","",IF(AND(LEN($AC105)=0,LEN($AK105)=0),"Completa",IF(LEN($AC105)=0,"Revisar: "&amp;LEFT($AK105,LEN($AK105)-2),"Falta: "&amp;LEFT($AC105,LEN($AC105)-2)&amp;IF(LEN($AK105)&gt;0,"  ·  Revisar: "&amp;LEFT($AK105,LEN($AK105)-2),""))))</f>
      </c>
      <c r="AE105">
        <f>IF(AND($D105&lt;&gt;"",OR($I105="Renuncia (hasta 30 nov)",$I105="Baja (desde 1 dic)",$I105="Renuncia excepcional (art. 25.3)",$I105="Traslado de expediente")),COUNTIF($AE$1:AE104,"&gt;0")+1,"")</f>
      </c>
      <c r="AF105">
        <f>IF($Q105="Disponible",COUNTIF($AF$1:AF104,"&gt;0")+1,"")</f>
      </c>
      <c r="AG105">
        <f>IF($O105="Sí",COUNTIF($AG$1:AG104,"&gt;0")+1,"")</f>
      </c>
      <c r="AH105">
        <f>IF(AND($Q105="Disponible",$O105&lt;&gt;"Sí"),COUNTIF($AH$1:AH104,"&gt;0")+1,"")</f>
      </c>
      <c r="AI105">
        <f>IF(AND($Q105="Disponible",$K105&lt;&gt;""),COUNTIFS($K$2:K105,K105,$Q$2:Q105,"Disponible"),"")</f>
      </c>
      <c r="AJ105">
        <f>IF(AI105&lt;&gt;"",K105&amp;"|"&amp;AI105,"")</f>
      </c>
      <c r="AK105">
        <f>IF(AND($Q105="No disponible",OR($R105="Lista de espera · propio centro",$R105="Traslado de expediente",$R105="Lista de espera · otro centro"),$O105="Sí"),"la plaza ya tiene alumno y sigue marcada como refuerzo, ","")&amp;IF(AND($R105="Reconvertida en refuerzo",$O105&lt;&gt;"Sí"),"reconvertida en refuerzo pero sin marcar «En uso como refuerzo», ","")</f>
      </c>
    </row>
    <row r="106" spans="1:37">
      <c r="A106" s="20">
        <f>IF(D106&lt;&gt;"",ROW()-1,"")</f>
      </c>
      <c r="B106" s="55"/>
      <c r="C106" s="56"/>
      <c r="D106" s="56"/>
      <c r="E106" s="56"/>
      <c r="F106" s="56"/>
      <c r="G106" s="56"/>
      <c r="H106" s="56"/>
      <c r="I106" s="56"/>
      <c r="J106" s="57"/>
      <c r="K106" s="56"/>
      <c r="L106" s="58"/>
      <c r="M106" s="58">
        <f>IF(L106="","",L106)</f>
      </c>
      <c r="N106" s="56"/>
      <c r="O106" s="56"/>
      <c r="P106" s="57"/>
      <c r="Q106" s="56"/>
      <c r="R106" s="56"/>
      <c r="S106" s="56"/>
      <c r="T106" s="56"/>
      <c r="U106" s="56"/>
      <c r="V106" s="57"/>
      <c r="W106">
        <f>IF(Q106="Disponible",COUNTIFS($D$2:D106,D106,$Q$2:Q106,"Disponible"),"")</f>
      </c>
      <c r="X106">
        <f>IF(W106&lt;&gt;"",D106&amp;"|"&amp;W106,"")</f>
      </c>
      <c r="Y106">
        <f>IF(X106&lt;&gt;"",IF(K106&lt;&gt;"",K106&amp;" ("&amp;M106&amp;")",M106),"")</f>
      </c>
      <c r="Z106">
        <f>IF(O106="Sí",COUNTIFS($D$2:D106,D106,$O$2:O106,"Sí"),"")</f>
      </c>
      <c r="AA106">
        <f>IF(Z106&lt;&gt;"",D106&amp;"|"&amp;Z106,"")</f>
      </c>
      <c r="AB106">
        <f>IF(AA106&lt;&gt;"",IF(K106&lt;&gt;"",K106&amp;" ("&amp;M106&amp;")",M106),"")</f>
      </c>
      <c r="AC106">
        <f>IF($B106="","fecha, ","")&amp;IF($C106="","quién lo introduce, ","")&amp;IF($I106="","motivo, ","")&amp;IF($K106="","docente, ","")&amp;IF($L106="","horario, ","")&amp;IF($N106="","duración, ","")&amp;IF($Q106="","estado, ","")&amp;IF(AND($I106="Otros",$J106=""),"detalle del motivo, ","")&amp;IF(AND($O106="Sí",$P106=""),"detalle del refuerzo, ","")&amp;IF(AND(OR($I106="Renuncia (hasta 30 nov)",$I106="Baja (desde 1 dic)",$I106="Renuncia excepcional (art. 25.3)",$I106="Traslado de expediente"),OR($E106="",$F106="",$G106="")),"quién deja la plaza, ","")&amp;IF(AND($Q106="No disponible",$R106=""),"vía de cobertura, ","")&amp;IF(AND(OR($R106="Lista de espera · propio centro",$R106="Traslado de expediente",$R106="Lista de espera · otro centro"),OR($S106="",$T106="",$U106="")),"quién ocupa la plaza, ","")</f>
      </c>
      <c r="AD106" s="24">
        <f>IF($D106="","",IF(AND(LEN($AC106)=0,LEN($AK106)=0),"Completa",IF(LEN($AC106)=0,"Revisar: "&amp;LEFT($AK106,LEN($AK106)-2),"Falta: "&amp;LEFT($AC106,LEN($AC106)-2)&amp;IF(LEN($AK106)&gt;0,"  ·  Revisar: "&amp;LEFT($AK106,LEN($AK106)-2),""))))</f>
      </c>
      <c r="AE106">
        <f>IF(AND($D106&lt;&gt;"",OR($I106="Renuncia (hasta 30 nov)",$I106="Baja (desde 1 dic)",$I106="Renuncia excepcional (art. 25.3)",$I106="Traslado de expediente")),COUNTIF($AE$1:AE105,"&gt;0")+1,"")</f>
      </c>
      <c r="AF106">
        <f>IF($Q106="Disponible",COUNTIF($AF$1:AF105,"&gt;0")+1,"")</f>
      </c>
      <c r="AG106">
        <f>IF($O106="Sí",COUNTIF($AG$1:AG105,"&gt;0")+1,"")</f>
      </c>
      <c r="AH106">
        <f>IF(AND($Q106="Disponible",$O106&lt;&gt;"Sí"),COUNTIF($AH$1:AH105,"&gt;0")+1,"")</f>
      </c>
      <c r="AI106">
        <f>IF(AND($Q106="Disponible",$K106&lt;&gt;""),COUNTIFS($K$2:K106,K106,$Q$2:Q106,"Disponible"),"")</f>
      </c>
      <c r="AJ106">
        <f>IF(AI106&lt;&gt;"",K106&amp;"|"&amp;AI106,"")</f>
      </c>
      <c r="AK106">
        <f>IF(AND($Q106="No disponible",OR($R106="Lista de espera · propio centro",$R106="Traslado de expediente",$R106="Lista de espera · otro centro"),$O106="Sí"),"la plaza ya tiene alumno y sigue marcada como refuerzo, ","")&amp;IF(AND($R106="Reconvertida en refuerzo",$O106&lt;&gt;"Sí"),"reconvertida en refuerzo pero sin marcar «En uso como refuerzo», ","")</f>
      </c>
    </row>
    <row r="107" spans="1:37">
      <c r="A107" s="20">
        <f>IF(D107&lt;&gt;"",ROW()-1,"")</f>
      </c>
      <c r="B107" s="55"/>
      <c r="C107" s="56"/>
      <c r="D107" s="56"/>
      <c r="E107" s="56"/>
      <c r="F107" s="56"/>
      <c r="G107" s="56"/>
      <c r="H107" s="56"/>
      <c r="I107" s="56"/>
      <c r="J107" s="57"/>
      <c r="K107" s="56"/>
      <c r="L107" s="58"/>
      <c r="M107" s="58">
        <f>IF(L107="","",L107)</f>
      </c>
      <c r="N107" s="56"/>
      <c r="O107" s="56"/>
      <c r="P107" s="57"/>
      <c r="Q107" s="56"/>
      <c r="R107" s="56"/>
      <c r="S107" s="56"/>
      <c r="T107" s="56"/>
      <c r="U107" s="56"/>
      <c r="V107" s="57"/>
      <c r="W107">
        <f>IF(Q107="Disponible",COUNTIFS($D$2:D107,D107,$Q$2:Q107,"Disponible"),"")</f>
      </c>
      <c r="X107">
        <f>IF(W107&lt;&gt;"",D107&amp;"|"&amp;W107,"")</f>
      </c>
      <c r="Y107">
        <f>IF(X107&lt;&gt;"",IF(K107&lt;&gt;"",K107&amp;" ("&amp;M107&amp;")",M107),"")</f>
      </c>
      <c r="Z107">
        <f>IF(O107="Sí",COUNTIFS($D$2:D107,D107,$O$2:O107,"Sí"),"")</f>
      </c>
      <c r="AA107">
        <f>IF(Z107&lt;&gt;"",D107&amp;"|"&amp;Z107,"")</f>
      </c>
      <c r="AB107">
        <f>IF(AA107&lt;&gt;"",IF(K107&lt;&gt;"",K107&amp;" ("&amp;M107&amp;")",M107),"")</f>
      </c>
      <c r="AC107">
        <f>IF($B107="","fecha, ","")&amp;IF($C107="","quién lo introduce, ","")&amp;IF($I107="","motivo, ","")&amp;IF($K107="","docente, ","")&amp;IF($L107="","horario, ","")&amp;IF($N107="","duración, ","")&amp;IF($Q107="","estado, ","")&amp;IF(AND($I107="Otros",$J107=""),"detalle del motivo, ","")&amp;IF(AND($O107="Sí",$P107=""),"detalle del refuerzo, ","")&amp;IF(AND(OR($I107="Renuncia (hasta 30 nov)",$I107="Baja (desde 1 dic)",$I107="Renuncia excepcional (art. 25.3)",$I107="Traslado de expediente"),OR($E107="",$F107="",$G107="")),"quién deja la plaza, ","")&amp;IF(AND($Q107="No disponible",$R107=""),"vía de cobertura, ","")&amp;IF(AND(OR($R107="Lista de espera · propio centro",$R107="Traslado de expediente",$R107="Lista de espera · otro centro"),OR($S107="",$T107="",$U107="")),"quién ocupa la plaza, ","")</f>
      </c>
      <c r="AD107" s="24">
        <f>IF($D107="","",IF(AND(LEN($AC107)=0,LEN($AK107)=0),"Completa",IF(LEN($AC107)=0,"Revisar: "&amp;LEFT($AK107,LEN($AK107)-2),"Falta: "&amp;LEFT($AC107,LEN($AC107)-2)&amp;IF(LEN($AK107)&gt;0,"  ·  Revisar: "&amp;LEFT($AK107,LEN($AK107)-2),""))))</f>
      </c>
      <c r="AE107">
        <f>IF(AND($D107&lt;&gt;"",OR($I107="Renuncia (hasta 30 nov)",$I107="Baja (desde 1 dic)",$I107="Renuncia excepcional (art. 25.3)",$I107="Traslado de expediente")),COUNTIF($AE$1:AE106,"&gt;0")+1,"")</f>
      </c>
      <c r="AF107">
        <f>IF($Q107="Disponible",COUNTIF($AF$1:AF106,"&gt;0")+1,"")</f>
      </c>
      <c r="AG107">
        <f>IF($O107="Sí",COUNTIF($AG$1:AG106,"&gt;0")+1,"")</f>
      </c>
      <c r="AH107">
        <f>IF(AND($Q107="Disponible",$O107&lt;&gt;"Sí"),COUNTIF($AH$1:AH106,"&gt;0")+1,"")</f>
      </c>
      <c r="AI107">
        <f>IF(AND($Q107="Disponible",$K107&lt;&gt;""),COUNTIFS($K$2:K107,K107,$Q$2:Q107,"Disponible"),"")</f>
      </c>
      <c r="AJ107">
        <f>IF(AI107&lt;&gt;"",K107&amp;"|"&amp;AI107,"")</f>
      </c>
      <c r="AK107">
        <f>IF(AND($Q107="No disponible",OR($R107="Lista de espera · propio centro",$R107="Traslado de expediente",$R107="Lista de espera · otro centro"),$O107="Sí"),"la plaza ya tiene alumno y sigue marcada como refuerzo, ","")&amp;IF(AND($R107="Reconvertida en refuerzo",$O107&lt;&gt;"Sí"),"reconvertida en refuerzo pero sin marcar «En uso como refuerzo», ","")</f>
      </c>
    </row>
    <row r="108" spans="1:37">
      <c r="A108" s="20">
        <f>IF(D108&lt;&gt;"",ROW()-1,"")</f>
      </c>
      <c r="B108" s="55"/>
      <c r="C108" s="56"/>
      <c r="D108" s="56"/>
      <c r="E108" s="56"/>
      <c r="F108" s="56"/>
      <c r="G108" s="56"/>
      <c r="H108" s="56"/>
      <c r="I108" s="56"/>
      <c r="J108" s="57"/>
      <c r="K108" s="56"/>
      <c r="L108" s="58"/>
      <c r="M108" s="58">
        <f>IF(L108="","",L108)</f>
      </c>
      <c r="N108" s="56"/>
      <c r="O108" s="56"/>
      <c r="P108" s="57"/>
      <c r="Q108" s="56"/>
      <c r="R108" s="56"/>
      <c r="S108" s="56"/>
      <c r="T108" s="56"/>
      <c r="U108" s="56"/>
      <c r="V108" s="57"/>
      <c r="W108">
        <f>IF(Q108="Disponible",COUNTIFS($D$2:D108,D108,$Q$2:Q108,"Disponible"),"")</f>
      </c>
      <c r="X108">
        <f>IF(W108&lt;&gt;"",D108&amp;"|"&amp;W108,"")</f>
      </c>
      <c r="Y108">
        <f>IF(X108&lt;&gt;"",IF(K108&lt;&gt;"",K108&amp;" ("&amp;M108&amp;")",M108),"")</f>
      </c>
      <c r="Z108">
        <f>IF(O108="Sí",COUNTIFS($D$2:D108,D108,$O$2:O108,"Sí"),"")</f>
      </c>
      <c r="AA108">
        <f>IF(Z108&lt;&gt;"",D108&amp;"|"&amp;Z108,"")</f>
      </c>
      <c r="AB108">
        <f>IF(AA108&lt;&gt;"",IF(K108&lt;&gt;"",K108&amp;" ("&amp;M108&amp;")",M108),"")</f>
      </c>
      <c r="AC108">
        <f>IF($B108="","fecha, ","")&amp;IF($C108="","quién lo introduce, ","")&amp;IF($I108="","motivo, ","")&amp;IF($K108="","docente, ","")&amp;IF($L108="","horario, ","")&amp;IF($N108="","duración, ","")&amp;IF($Q108="","estado, ","")&amp;IF(AND($I108="Otros",$J108=""),"detalle del motivo, ","")&amp;IF(AND($O108="Sí",$P108=""),"detalle del refuerzo, ","")&amp;IF(AND(OR($I108="Renuncia (hasta 30 nov)",$I108="Baja (desde 1 dic)",$I108="Renuncia excepcional (art. 25.3)",$I108="Traslado de expediente"),OR($E108="",$F108="",$G108="")),"quién deja la plaza, ","")&amp;IF(AND($Q108="No disponible",$R108=""),"vía de cobertura, ","")&amp;IF(AND(OR($R108="Lista de espera · propio centro",$R108="Traslado de expediente",$R108="Lista de espera · otro centro"),OR($S108="",$T108="",$U108="")),"quién ocupa la plaza, ","")</f>
      </c>
      <c r="AD108" s="24">
        <f>IF($D108="","",IF(AND(LEN($AC108)=0,LEN($AK108)=0),"Completa",IF(LEN($AC108)=0,"Revisar: "&amp;LEFT($AK108,LEN($AK108)-2),"Falta: "&amp;LEFT($AC108,LEN($AC108)-2)&amp;IF(LEN($AK108)&gt;0,"  ·  Revisar: "&amp;LEFT($AK108,LEN($AK108)-2),""))))</f>
      </c>
      <c r="AE108">
        <f>IF(AND($D108&lt;&gt;"",OR($I108="Renuncia (hasta 30 nov)",$I108="Baja (desde 1 dic)",$I108="Renuncia excepcional (art. 25.3)",$I108="Traslado de expediente")),COUNTIF($AE$1:AE107,"&gt;0")+1,"")</f>
      </c>
      <c r="AF108">
        <f>IF($Q108="Disponible",COUNTIF($AF$1:AF107,"&gt;0")+1,"")</f>
      </c>
      <c r="AG108">
        <f>IF($O108="Sí",COUNTIF($AG$1:AG107,"&gt;0")+1,"")</f>
      </c>
      <c r="AH108">
        <f>IF(AND($Q108="Disponible",$O108&lt;&gt;"Sí"),COUNTIF($AH$1:AH107,"&gt;0")+1,"")</f>
      </c>
      <c r="AI108">
        <f>IF(AND($Q108="Disponible",$K108&lt;&gt;""),COUNTIFS($K$2:K108,K108,$Q$2:Q108,"Disponible"),"")</f>
      </c>
      <c r="AJ108">
        <f>IF(AI108&lt;&gt;"",K108&amp;"|"&amp;AI108,"")</f>
      </c>
      <c r="AK108">
        <f>IF(AND($Q108="No disponible",OR($R108="Lista de espera · propio centro",$R108="Traslado de expediente",$R108="Lista de espera · otro centro"),$O108="Sí"),"la plaza ya tiene alumno y sigue marcada como refuerzo, ","")&amp;IF(AND($R108="Reconvertida en refuerzo",$O108&lt;&gt;"Sí"),"reconvertida en refuerzo pero sin marcar «En uso como refuerzo», ","")</f>
      </c>
    </row>
    <row r="109" spans="1:37">
      <c r="A109" s="20">
        <f>IF(D109&lt;&gt;"",ROW()-1,"")</f>
      </c>
      <c r="B109" s="55"/>
      <c r="C109" s="56"/>
      <c r="D109" s="56"/>
      <c r="E109" s="56"/>
      <c r="F109" s="56"/>
      <c r="G109" s="56"/>
      <c r="H109" s="56"/>
      <c r="I109" s="56"/>
      <c r="J109" s="57"/>
      <c r="K109" s="56"/>
      <c r="L109" s="58"/>
      <c r="M109" s="58">
        <f>IF(L109="","",L109)</f>
      </c>
      <c r="N109" s="56"/>
      <c r="O109" s="56"/>
      <c r="P109" s="57"/>
      <c r="Q109" s="56"/>
      <c r="R109" s="56"/>
      <c r="S109" s="56"/>
      <c r="T109" s="56"/>
      <c r="U109" s="56"/>
      <c r="V109" s="57"/>
      <c r="W109">
        <f>IF(Q109="Disponible",COUNTIFS($D$2:D109,D109,$Q$2:Q109,"Disponible"),"")</f>
      </c>
      <c r="X109">
        <f>IF(W109&lt;&gt;"",D109&amp;"|"&amp;W109,"")</f>
      </c>
      <c r="Y109">
        <f>IF(X109&lt;&gt;"",IF(K109&lt;&gt;"",K109&amp;" ("&amp;M109&amp;")",M109),"")</f>
      </c>
      <c r="Z109">
        <f>IF(O109="Sí",COUNTIFS($D$2:D109,D109,$O$2:O109,"Sí"),"")</f>
      </c>
      <c r="AA109">
        <f>IF(Z109&lt;&gt;"",D109&amp;"|"&amp;Z109,"")</f>
      </c>
      <c r="AB109">
        <f>IF(AA109&lt;&gt;"",IF(K109&lt;&gt;"",K109&amp;" ("&amp;M109&amp;")",M109),"")</f>
      </c>
      <c r="AC109">
        <f>IF($B109="","fecha, ","")&amp;IF($C109="","quién lo introduce, ","")&amp;IF($I109="","motivo, ","")&amp;IF($K109="","docente, ","")&amp;IF($L109="","horario, ","")&amp;IF($N109="","duración, ","")&amp;IF($Q109="","estado, ","")&amp;IF(AND($I109="Otros",$J109=""),"detalle del motivo, ","")&amp;IF(AND($O109="Sí",$P109=""),"detalle del refuerzo, ","")&amp;IF(AND(OR($I109="Renuncia (hasta 30 nov)",$I109="Baja (desde 1 dic)",$I109="Renuncia excepcional (art. 25.3)",$I109="Traslado de expediente"),OR($E109="",$F109="",$G109="")),"quién deja la plaza, ","")&amp;IF(AND($Q109="No disponible",$R109=""),"vía de cobertura, ","")&amp;IF(AND(OR($R109="Lista de espera · propio centro",$R109="Traslado de expediente",$R109="Lista de espera · otro centro"),OR($S109="",$T109="",$U109="")),"quién ocupa la plaza, ","")</f>
      </c>
      <c r="AD109" s="24">
        <f>IF($D109="","",IF(AND(LEN($AC109)=0,LEN($AK109)=0),"Completa",IF(LEN($AC109)=0,"Revisar: "&amp;LEFT($AK109,LEN($AK109)-2),"Falta: "&amp;LEFT($AC109,LEN($AC109)-2)&amp;IF(LEN($AK109)&gt;0,"  ·  Revisar: "&amp;LEFT($AK109,LEN($AK109)-2),""))))</f>
      </c>
      <c r="AE109">
        <f>IF(AND($D109&lt;&gt;"",OR($I109="Renuncia (hasta 30 nov)",$I109="Baja (desde 1 dic)",$I109="Renuncia excepcional (art. 25.3)",$I109="Traslado de expediente")),COUNTIF($AE$1:AE108,"&gt;0")+1,"")</f>
      </c>
      <c r="AF109">
        <f>IF($Q109="Disponible",COUNTIF($AF$1:AF108,"&gt;0")+1,"")</f>
      </c>
      <c r="AG109">
        <f>IF($O109="Sí",COUNTIF($AG$1:AG108,"&gt;0")+1,"")</f>
      </c>
      <c r="AH109">
        <f>IF(AND($Q109="Disponible",$O109&lt;&gt;"Sí"),COUNTIF($AH$1:AH108,"&gt;0")+1,"")</f>
      </c>
      <c r="AI109">
        <f>IF(AND($Q109="Disponible",$K109&lt;&gt;""),COUNTIFS($K$2:K109,K109,$Q$2:Q109,"Disponible"),"")</f>
      </c>
      <c r="AJ109">
        <f>IF(AI109&lt;&gt;"",K109&amp;"|"&amp;AI109,"")</f>
      </c>
      <c r="AK109">
        <f>IF(AND($Q109="No disponible",OR($R109="Lista de espera · propio centro",$R109="Traslado de expediente",$R109="Lista de espera · otro centro"),$O109="Sí"),"la plaza ya tiene alumno y sigue marcada como refuerzo, ","")&amp;IF(AND($R109="Reconvertida en refuerzo",$O109&lt;&gt;"Sí"),"reconvertida en refuerzo pero sin marcar «En uso como refuerzo», ","")</f>
      </c>
    </row>
    <row r="110" spans="1:37">
      <c r="A110" s="20">
        <f>IF(D110&lt;&gt;"",ROW()-1,"")</f>
      </c>
      <c r="B110" s="55"/>
      <c r="C110" s="56"/>
      <c r="D110" s="56"/>
      <c r="E110" s="56"/>
      <c r="F110" s="56"/>
      <c r="G110" s="56"/>
      <c r="H110" s="56"/>
      <c r="I110" s="56"/>
      <c r="J110" s="57"/>
      <c r="K110" s="56"/>
      <c r="L110" s="58"/>
      <c r="M110" s="58">
        <f>IF(L110="","",L110)</f>
      </c>
      <c r="N110" s="56"/>
      <c r="O110" s="56"/>
      <c r="P110" s="57"/>
      <c r="Q110" s="56"/>
      <c r="R110" s="56"/>
      <c r="S110" s="56"/>
      <c r="T110" s="56"/>
      <c r="U110" s="56"/>
      <c r="V110" s="57"/>
      <c r="W110">
        <f>IF(Q110="Disponible",COUNTIFS($D$2:D110,D110,$Q$2:Q110,"Disponible"),"")</f>
      </c>
      <c r="X110">
        <f>IF(W110&lt;&gt;"",D110&amp;"|"&amp;W110,"")</f>
      </c>
      <c r="Y110">
        <f>IF(X110&lt;&gt;"",IF(K110&lt;&gt;"",K110&amp;" ("&amp;M110&amp;")",M110),"")</f>
      </c>
      <c r="Z110">
        <f>IF(O110="Sí",COUNTIFS($D$2:D110,D110,$O$2:O110,"Sí"),"")</f>
      </c>
      <c r="AA110">
        <f>IF(Z110&lt;&gt;"",D110&amp;"|"&amp;Z110,"")</f>
      </c>
      <c r="AB110">
        <f>IF(AA110&lt;&gt;"",IF(K110&lt;&gt;"",K110&amp;" ("&amp;M110&amp;")",M110),"")</f>
      </c>
      <c r="AC110">
        <f>IF($B110="","fecha, ","")&amp;IF($C110="","quién lo introduce, ","")&amp;IF($I110="","motivo, ","")&amp;IF($K110="","docente, ","")&amp;IF($L110="","horario, ","")&amp;IF($N110="","duración, ","")&amp;IF($Q110="","estado, ","")&amp;IF(AND($I110="Otros",$J110=""),"detalle del motivo, ","")&amp;IF(AND($O110="Sí",$P110=""),"detalle del refuerzo, ","")&amp;IF(AND(OR($I110="Renuncia (hasta 30 nov)",$I110="Baja (desde 1 dic)",$I110="Renuncia excepcional (art. 25.3)",$I110="Traslado de expediente"),OR($E110="",$F110="",$G110="")),"quién deja la plaza, ","")&amp;IF(AND($Q110="No disponible",$R110=""),"vía de cobertura, ","")&amp;IF(AND(OR($R110="Lista de espera · propio centro",$R110="Traslado de expediente",$R110="Lista de espera · otro centro"),OR($S110="",$T110="",$U110="")),"quién ocupa la plaza, ","")</f>
      </c>
      <c r="AD110" s="24">
        <f>IF($D110="","",IF(AND(LEN($AC110)=0,LEN($AK110)=0),"Completa",IF(LEN($AC110)=0,"Revisar: "&amp;LEFT($AK110,LEN($AK110)-2),"Falta: "&amp;LEFT($AC110,LEN($AC110)-2)&amp;IF(LEN($AK110)&gt;0,"  ·  Revisar: "&amp;LEFT($AK110,LEN($AK110)-2),""))))</f>
      </c>
      <c r="AE110">
        <f>IF(AND($D110&lt;&gt;"",OR($I110="Renuncia (hasta 30 nov)",$I110="Baja (desde 1 dic)",$I110="Renuncia excepcional (art. 25.3)",$I110="Traslado de expediente")),COUNTIF($AE$1:AE109,"&gt;0")+1,"")</f>
      </c>
      <c r="AF110">
        <f>IF($Q110="Disponible",COUNTIF($AF$1:AF109,"&gt;0")+1,"")</f>
      </c>
      <c r="AG110">
        <f>IF($O110="Sí",COUNTIF($AG$1:AG109,"&gt;0")+1,"")</f>
      </c>
      <c r="AH110">
        <f>IF(AND($Q110="Disponible",$O110&lt;&gt;"Sí"),COUNTIF($AH$1:AH109,"&gt;0")+1,"")</f>
      </c>
      <c r="AI110">
        <f>IF(AND($Q110="Disponible",$K110&lt;&gt;""),COUNTIFS($K$2:K110,K110,$Q$2:Q110,"Disponible"),"")</f>
      </c>
      <c r="AJ110">
        <f>IF(AI110&lt;&gt;"",K110&amp;"|"&amp;AI110,"")</f>
      </c>
      <c r="AK110">
        <f>IF(AND($Q110="No disponible",OR($R110="Lista de espera · propio centro",$R110="Traslado de expediente",$R110="Lista de espera · otro centro"),$O110="Sí"),"la plaza ya tiene alumno y sigue marcada como refuerzo, ","")&amp;IF(AND($R110="Reconvertida en refuerzo",$O110&lt;&gt;"Sí"),"reconvertida en refuerzo pero sin marcar «En uso como refuerzo», ","")</f>
      </c>
    </row>
    <row r="111" spans="1:37">
      <c r="A111" s="20">
        <f>IF(D111&lt;&gt;"",ROW()-1,"")</f>
      </c>
      <c r="B111" s="55"/>
      <c r="C111" s="56"/>
      <c r="D111" s="56"/>
      <c r="E111" s="56"/>
      <c r="F111" s="56"/>
      <c r="G111" s="56"/>
      <c r="H111" s="56"/>
      <c r="I111" s="56"/>
      <c r="J111" s="57"/>
      <c r="K111" s="56"/>
      <c r="L111" s="58"/>
      <c r="M111" s="58">
        <f>IF(L111="","",L111)</f>
      </c>
      <c r="N111" s="56"/>
      <c r="O111" s="56"/>
      <c r="P111" s="57"/>
      <c r="Q111" s="56"/>
      <c r="R111" s="56"/>
      <c r="S111" s="56"/>
      <c r="T111" s="56"/>
      <c r="U111" s="56"/>
      <c r="V111" s="57"/>
      <c r="W111">
        <f>IF(Q111="Disponible",COUNTIFS($D$2:D111,D111,$Q$2:Q111,"Disponible"),"")</f>
      </c>
      <c r="X111">
        <f>IF(W111&lt;&gt;"",D111&amp;"|"&amp;W111,"")</f>
      </c>
      <c r="Y111">
        <f>IF(X111&lt;&gt;"",IF(K111&lt;&gt;"",K111&amp;" ("&amp;M111&amp;")",M111),"")</f>
      </c>
      <c r="Z111">
        <f>IF(O111="Sí",COUNTIFS($D$2:D111,D111,$O$2:O111,"Sí"),"")</f>
      </c>
      <c r="AA111">
        <f>IF(Z111&lt;&gt;"",D111&amp;"|"&amp;Z111,"")</f>
      </c>
      <c r="AB111">
        <f>IF(AA111&lt;&gt;"",IF(K111&lt;&gt;"",K111&amp;" ("&amp;M111&amp;")",M111),"")</f>
      </c>
      <c r="AC111">
        <f>IF($B111="","fecha, ","")&amp;IF($C111="","quién lo introduce, ","")&amp;IF($I111="","motivo, ","")&amp;IF($K111="","docente, ","")&amp;IF($L111="","horario, ","")&amp;IF($N111="","duración, ","")&amp;IF($Q111="","estado, ","")&amp;IF(AND($I111="Otros",$J111=""),"detalle del motivo, ","")&amp;IF(AND($O111="Sí",$P111=""),"detalle del refuerzo, ","")&amp;IF(AND(OR($I111="Renuncia (hasta 30 nov)",$I111="Baja (desde 1 dic)",$I111="Renuncia excepcional (art. 25.3)",$I111="Traslado de expediente"),OR($E111="",$F111="",$G111="")),"quién deja la plaza, ","")&amp;IF(AND($Q111="No disponible",$R111=""),"vía de cobertura, ","")&amp;IF(AND(OR($R111="Lista de espera · propio centro",$R111="Traslado de expediente",$R111="Lista de espera · otro centro"),OR($S111="",$T111="",$U111="")),"quién ocupa la plaza, ","")</f>
      </c>
      <c r="AD111" s="24">
        <f>IF($D111="","",IF(AND(LEN($AC111)=0,LEN($AK111)=0),"Completa",IF(LEN($AC111)=0,"Revisar: "&amp;LEFT($AK111,LEN($AK111)-2),"Falta: "&amp;LEFT($AC111,LEN($AC111)-2)&amp;IF(LEN($AK111)&gt;0,"  ·  Revisar: "&amp;LEFT($AK111,LEN($AK111)-2),""))))</f>
      </c>
      <c r="AE111">
        <f>IF(AND($D111&lt;&gt;"",OR($I111="Renuncia (hasta 30 nov)",$I111="Baja (desde 1 dic)",$I111="Renuncia excepcional (art. 25.3)",$I111="Traslado de expediente")),COUNTIF($AE$1:AE110,"&gt;0")+1,"")</f>
      </c>
      <c r="AF111">
        <f>IF($Q111="Disponible",COUNTIF($AF$1:AF110,"&gt;0")+1,"")</f>
      </c>
      <c r="AG111">
        <f>IF($O111="Sí",COUNTIF($AG$1:AG110,"&gt;0")+1,"")</f>
      </c>
      <c r="AH111">
        <f>IF(AND($Q111="Disponible",$O111&lt;&gt;"Sí"),COUNTIF($AH$1:AH110,"&gt;0")+1,"")</f>
      </c>
      <c r="AI111">
        <f>IF(AND($Q111="Disponible",$K111&lt;&gt;""),COUNTIFS($K$2:K111,K111,$Q$2:Q111,"Disponible"),"")</f>
      </c>
      <c r="AJ111">
        <f>IF(AI111&lt;&gt;"",K111&amp;"|"&amp;AI111,"")</f>
      </c>
      <c r="AK111">
        <f>IF(AND($Q111="No disponible",OR($R111="Lista de espera · propio centro",$R111="Traslado de expediente",$R111="Lista de espera · otro centro"),$O111="Sí"),"la plaza ya tiene alumno y sigue marcada como refuerzo, ","")&amp;IF(AND($R111="Reconvertida en refuerzo",$O111&lt;&gt;"Sí"),"reconvertida en refuerzo pero sin marcar «En uso como refuerzo», ","")</f>
      </c>
    </row>
    <row r="112" spans="1:37">
      <c r="A112" s="20">
        <f>IF(D112&lt;&gt;"",ROW()-1,"")</f>
      </c>
      <c r="B112" s="55"/>
      <c r="C112" s="56"/>
      <c r="D112" s="56"/>
      <c r="E112" s="56"/>
      <c r="F112" s="56"/>
      <c r="G112" s="56"/>
      <c r="H112" s="56"/>
      <c r="I112" s="56"/>
      <c r="J112" s="57"/>
      <c r="K112" s="56"/>
      <c r="L112" s="58"/>
      <c r="M112" s="58">
        <f>IF(L112="","",L112)</f>
      </c>
      <c r="N112" s="56"/>
      <c r="O112" s="56"/>
      <c r="P112" s="57"/>
      <c r="Q112" s="56"/>
      <c r="R112" s="56"/>
      <c r="S112" s="56"/>
      <c r="T112" s="56"/>
      <c r="U112" s="56"/>
      <c r="V112" s="57"/>
      <c r="W112">
        <f>IF(Q112="Disponible",COUNTIFS($D$2:D112,D112,$Q$2:Q112,"Disponible"),"")</f>
      </c>
      <c r="X112">
        <f>IF(W112&lt;&gt;"",D112&amp;"|"&amp;W112,"")</f>
      </c>
      <c r="Y112">
        <f>IF(X112&lt;&gt;"",IF(K112&lt;&gt;"",K112&amp;" ("&amp;M112&amp;")",M112),"")</f>
      </c>
      <c r="Z112">
        <f>IF(O112="Sí",COUNTIFS($D$2:D112,D112,$O$2:O112,"Sí"),"")</f>
      </c>
      <c r="AA112">
        <f>IF(Z112&lt;&gt;"",D112&amp;"|"&amp;Z112,"")</f>
      </c>
      <c r="AB112">
        <f>IF(AA112&lt;&gt;"",IF(K112&lt;&gt;"",K112&amp;" ("&amp;M112&amp;")",M112),"")</f>
      </c>
      <c r="AC112">
        <f>IF($B112="","fecha, ","")&amp;IF($C112="","quién lo introduce, ","")&amp;IF($I112="","motivo, ","")&amp;IF($K112="","docente, ","")&amp;IF($L112="","horario, ","")&amp;IF($N112="","duración, ","")&amp;IF($Q112="","estado, ","")&amp;IF(AND($I112="Otros",$J112=""),"detalle del motivo, ","")&amp;IF(AND($O112="Sí",$P112=""),"detalle del refuerzo, ","")&amp;IF(AND(OR($I112="Renuncia (hasta 30 nov)",$I112="Baja (desde 1 dic)",$I112="Renuncia excepcional (art. 25.3)",$I112="Traslado de expediente"),OR($E112="",$F112="",$G112="")),"quién deja la plaza, ","")&amp;IF(AND($Q112="No disponible",$R112=""),"vía de cobertura, ","")&amp;IF(AND(OR($R112="Lista de espera · propio centro",$R112="Traslado de expediente",$R112="Lista de espera · otro centro"),OR($S112="",$T112="",$U112="")),"quién ocupa la plaza, ","")</f>
      </c>
      <c r="AD112" s="24">
        <f>IF($D112="","",IF(AND(LEN($AC112)=0,LEN($AK112)=0),"Completa",IF(LEN($AC112)=0,"Revisar: "&amp;LEFT($AK112,LEN($AK112)-2),"Falta: "&amp;LEFT($AC112,LEN($AC112)-2)&amp;IF(LEN($AK112)&gt;0,"  ·  Revisar: "&amp;LEFT($AK112,LEN($AK112)-2),""))))</f>
      </c>
      <c r="AE112">
        <f>IF(AND($D112&lt;&gt;"",OR($I112="Renuncia (hasta 30 nov)",$I112="Baja (desde 1 dic)",$I112="Renuncia excepcional (art. 25.3)",$I112="Traslado de expediente")),COUNTIF($AE$1:AE111,"&gt;0")+1,"")</f>
      </c>
      <c r="AF112">
        <f>IF($Q112="Disponible",COUNTIF($AF$1:AF111,"&gt;0")+1,"")</f>
      </c>
      <c r="AG112">
        <f>IF($O112="Sí",COUNTIF($AG$1:AG111,"&gt;0")+1,"")</f>
      </c>
      <c r="AH112">
        <f>IF(AND($Q112="Disponible",$O112&lt;&gt;"Sí"),COUNTIF($AH$1:AH111,"&gt;0")+1,"")</f>
      </c>
      <c r="AI112">
        <f>IF(AND($Q112="Disponible",$K112&lt;&gt;""),COUNTIFS($K$2:K112,K112,$Q$2:Q112,"Disponible"),"")</f>
      </c>
      <c r="AJ112">
        <f>IF(AI112&lt;&gt;"",K112&amp;"|"&amp;AI112,"")</f>
      </c>
      <c r="AK112">
        <f>IF(AND($Q112="No disponible",OR($R112="Lista de espera · propio centro",$R112="Traslado de expediente",$R112="Lista de espera · otro centro"),$O112="Sí"),"la plaza ya tiene alumno y sigue marcada como refuerzo, ","")&amp;IF(AND($R112="Reconvertida en refuerzo",$O112&lt;&gt;"Sí"),"reconvertida en refuerzo pero sin marcar «En uso como refuerzo», ","")</f>
      </c>
    </row>
    <row r="113" spans="1:37">
      <c r="A113" s="20">
        <f>IF(D113&lt;&gt;"",ROW()-1,"")</f>
      </c>
      <c r="B113" s="55"/>
      <c r="C113" s="56"/>
      <c r="D113" s="56"/>
      <c r="E113" s="56"/>
      <c r="F113" s="56"/>
      <c r="G113" s="56"/>
      <c r="H113" s="56"/>
      <c r="I113" s="56"/>
      <c r="J113" s="57"/>
      <c r="K113" s="56"/>
      <c r="L113" s="58"/>
      <c r="M113" s="58">
        <f>IF(L113="","",L113)</f>
      </c>
      <c r="N113" s="56"/>
      <c r="O113" s="56"/>
      <c r="P113" s="57"/>
      <c r="Q113" s="56"/>
      <c r="R113" s="56"/>
      <c r="S113" s="56"/>
      <c r="T113" s="56"/>
      <c r="U113" s="56"/>
      <c r="V113" s="57"/>
      <c r="W113">
        <f>IF(Q113="Disponible",COUNTIFS($D$2:D113,D113,$Q$2:Q113,"Disponible"),"")</f>
      </c>
      <c r="X113">
        <f>IF(W113&lt;&gt;"",D113&amp;"|"&amp;W113,"")</f>
      </c>
      <c r="Y113">
        <f>IF(X113&lt;&gt;"",IF(K113&lt;&gt;"",K113&amp;" ("&amp;M113&amp;")",M113),"")</f>
      </c>
      <c r="Z113">
        <f>IF(O113="Sí",COUNTIFS($D$2:D113,D113,$O$2:O113,"Sí"),"")</f>
      </c>
      <c r="AA113">
        <f>IF(Z113&lt;&gt;"",D113&amp;"|"&amp;Z113,"")</f>
      </c>
      <c r="AB113">
        <f>IF(AA113&lt;&gt;"",IF(K113&lt;&gt;"",K113&amp;" ("&amp;M113&amp;")",M113),"")</f>
      </c>
      <c r="AC113">
        <f>IF($B113="","fecha, ","")&amp;IF($C113="","quién lo introduce, ","")&amp;IF($I113="","motivo, ","")&amp;IF($K113="","docente, ","")&amp;IF($L113="","horario, ","")&amp;IF($N113="","duración, ","")&amp;IF($Q113="","estado, ","")&amp;IF(AND($I113="Otros",$J113=""),"detalle del motivo, ","")&amp;IF(AND($O113="Sí",$P113=""),"detalle del refuerzo, ","")&amp;IF(AND(OR($I113="Renuncia (hasta 30 nov)",$I113="Baja (desde 1 dic)",$I113="Renuncia excepcional (art. 25.3)",$I113="Traslado de expediente"),OR($E113="",$F113="",$G113="")),"quién deja la plaza, ","")&amp;IF(AND($Q113="No disponible",$R113=""),"vía de cobertura, ","")&amp;IF(AND(OR($R113="Lista de espera · propio centro",$R113="Traslado de expediente",$R113="Lista de espera · otro centro"),OR($S113="",$T113="",$U113="")),"quién ocupa la plaza, ","")</f>
      </c>
      <c r="AD113" s="24">
        <f>IF($D113="","",IF(AND(LEN($AC113)=0,LEN($AK113)=0),"Completa",IF(LEN($AC113)=0,"Revisar: "&amp;LEFT($AK113,LEN($AK113)-2),"Falta: "&amp;LEFT($AC113,LEN($AC113)-2)&amp;IF(LEN($AK113)&gt;0,"  ·  Revisar: "&amp;LEFT($AK113,LEN($AK113)-2),""))))</f>
      </c>
      <c r="AE113">
        <f>IF(AND($D113&lt;&gt;"",OR($I113="Renuncia (hasta 30 nov)",$I113="Baja (desde 1 dic)",$I113="Renuncia excepcional (art. 25.3)",$I113="Traslado de expediente")),COUNTIF($AE$1:AE112,"&gt;0")+1,"")</f>
      </c>
      <c r="AF113">
        <f>IF($Q113="Disponible",COUNTIF($AF$1:AF112,"&gt;0")+1,"")</f>
      </c>
      <c r="AG113">
        <f>IF($O113="Sí",COUNTIF($AG$1:AG112,"&gt;0")+1,"")</f>
      </c>
      <c r="AH113">
        <f>IF(AND($Q113="Disponible",$O113&lt;&gt;"Sí"),COUNTIF($AH$1:AH112,"&gt;0")+1,"")</f>
      </c>
      <c r="AI113">
        <f>IF(AND($Q113="Disponible",$K113&lt;&gt;""),COUNTIFS($K$2:K113,K113,$Q$2:Q113,"Disponible"),"")</f>
      </c>
      <c r="AJ113">
        <f>IF(AI113&lt;&gt;"",K113&amp;"|"&amp;AI113,"")</f>
      </c>
      <c r="AK113">
        <f>IF(AND($Q113="No disponible",OR($R113="Lista de espera · propio centro",$R113="Traslado de expediente",$R113="Lista de espera · otro centro"),$O113="Sí"),"la plaza ya tiene alumno y sigue marcada como refuerzo, ","")&amp;IF(AND($R113="Reconvertida en refuerzo",$O113&lt;&gt;"Sí"),"reconvertida en refuerzo pero sin marcar «En uso como refuerzo», ","")</f>
      </c>
    </row>
    <row r="114" spans="1:37">
      <c r="A114" s="20">
        <f>IF(D114&lt;&gt;"",ROW()-1,"")</f>
      </c>
      <c r="B114" s="55"/>
      <c r="C114" s="56"/>
      <c r="D114" s="56"/>
      <c r="E114" s="56"/>
      <c r="F114" s="56"/>
      <c r="G114" s="56"/>
      <c r="H114" s="56"/>
      <c r="I114" s="56"/>
      <c r="J114" s="57"/>
      <c r="K114" s="56"/>
      <c r="L114" s="58"/>
      <c r="M114" s="58">
        <f>IF(L114="","",L114)</f>
      </c>
      <c r="N114" s="56"/>
      <c r="O114" s="56"/>
      <c r="P114" s="57"/>
      <c r="Q114" s="56"/>
      <c r="R114" s="56"/>
      <c r="S114" s="56"/>
      <c r="T114" s="56"/>
      <c r="U114" s="56"/>
      <c r="V114" s="57"/>
      <c r="W114">
        <f>IF(Q114="Disponible",COUNTIFS($D$2:D114,D114,$Q$2:Q114,"Disponible"),"")</f>
      </c>
      <c r="X114">
        <f>IF(W114&lt;&gt;"",D114&amp;"|"&amp;W114,"")</f>
      </c>
      <c r="Y114">
        <f>IF(X114&lt;&gt;"",IF(K114&lt;&gt;"",K114&amp;" ("&amp;M114&amp;")",M114),"")</f>
      </c>
      <c r="Z114">
        <f>IF(O114="Sí",COUNTIFS($D$2:D114,D114,$O$2:O114,"Sí"),"")</f>
      </c>
      <c r="AA114">
        <f>IF(Z114&lt;&gt;"",D114&amp;"|"&amp;Z114,"")</f>
      </c>
      <c r="AB114">
        <f>IF(AA114&lt;&gt;"",IF(K114&lt;&gt;"",K114&amp;" ("&amp;M114&amp;")",M114),"")</f>
      </c>
      <c r="AC114">
        <f>IF($B114="","fecha, ","")&amp;IF($C114="","quién lo introduce, ","")&amp;IF($I114="","motivo, ","")&amp;IF($K114="","docente, ","")&amp;IF($L114="","horario, ","")&amp;IF($N114="","duración, ","")&amp;IF($Q114="","estado, ","")&amp;IF(AND($I114="Otros",$J114=""),"detalle del motivo, ","")&amp;IF(AND($O114="Sí",$P114=""),"detalle del refuerzo, ","")&amp;IF(AND(OR($I114="Renuncia (hasta 30 nov)",$I114="Baja (desde 1 dic)",$I114="Renuncia excepcional (art. 25.3)",$I114="Traslado de expediente"),OR($E114="",$F114="",$G114="")),"quién deja la plaza, ","")&amp;IF(AND($Q114="No disponible",$R114=""),"vía de cobertura, ","")&amp;IF(AND(OR($R114="Lista de espera · propio centro",$R114="Traslado de expediente",$R114="Lista de espera · otro centro"),OR($S114="",$T114="",$U114="")),"quién ocupa la plaza, ","")</f>
      </c>
      <c r="AD114" s="24">
        <f>IF($D114="","",IF(AND(LEN($AC114)=0,LEN($AK114)=0),"Completa",IF(LEN($AC114)=0,"Revisar: "&amp;LEFT($AK114,LEN($AK114)-2),"Falta: "&amp;LEFT($AC114,LEN($AC114)-2)&amp;IF(LEN($AK114)&gt;0,"  ·  Revisar: "&amp;LEFT($AK114,LEN($AK114)-2),""))))</f>
      </c>
      <c r="AE114">
        <f>IF(AND($D114&lt;&gt;"",OR($I114="Renuncia (hasta 30 nov)",$I114="Baja (desde 1 dic)",$I114="Renuncia excepcional (art. 25.3)",$I114="Traslado de expediente")),COUNTIF($AE$1:AE113,"&gt;0")+1,"")</f>
      </c>
      <c r="AF114">
        <f>IF($Q114="Disponible",COUNTIF($AF$1:AF113,"&gt;0")+1,"")</f>
      </c>
      <c r="AG114">
        <f>IF($O114="Sí",COUNTIF($AG$1:AG113,"&gt;0")+1,"")</f>
      </c>
      <c r="AH114">
        <f>IF(AND($Q114="Disponible",$O114&lt;&gt;"Sí"),COUNTIF($AH$1:AH113,"&gt;0")+1,"")</f>
      </c>
      <c r="AI114">
        <f>IF(AND($Q114="Disponible",$K114&lt;&gt;""),COUNTIFS($K$2:K114,K114,$Q$2:Q114,"Disponible"),"")</f>
      </c>
      <c r="AJ114">
        <f>IF(AI114&lt;&gt;"",K114&amp;"|"&amp;AI114,"")</f>
      </c>
      <c r="AK114">
        <f>IF(AND($Q114="No disponible",OR($R114="Lista de espera · propio centro",$R114="Traslado de expediente",$R114="Lista de espera · otro centro"),$O114="Sí"),"la plaza ya tiene alumno y sigue marcada como refuerzo, ","")&amp;IF(AND($R114="Reconvertida en refuerzo",$O114&lt;&gt;"Sí"),"reconvertida en refuerzo pero sin marcar «En uso como refuerzo», ","")</f>
      </c>
    </row>
    <row r="115" spans="1:37">
      <c r="A115" s="20">
        <f>IF(D115&lt;&gt;"",ROW()-1,"")</f>
      </c>
      <c r="B115" s="55"/>
      <c r="C115" s="56"/>
      <c r="D115" s="56"/>
      <c r="E115" s="56"/>
      <c r="F115" s="56"/>
      <c r="G115" s="56"/>
      <c r="H115" s="56"/>
      <c r="I115" s="56"/>
      <c r="J115" s="57"/>
      <c r="K115" s="56"/>
      <c r="L115" s="58"/>
      <c r="M115" s="58">
        <f>IF(L115="","",L115)</f>
      </c>
      <c r="N115" s="56"/>
      <c r="O115" s="56"/>
      <c r="P115" s="57"/>
      <c r="Q115" s="56"/>
      <c r="R115" s="56"/>
      <c r="S115" s="56"/>
      <c r="T115" s="56"/>
      <c r="U115" s="56"/>
      <c r="V115" s="57"/>
      <c r="W115">
        <f>IF(Q115="Disponible",COUNTIFS($D$2:D115,D115,$Q$2:Q115,"Disponible"),"")</f>
      </c>
      <c r="X115">
        <f>IF(W115&lt;&gt;"",D115&amp;"|"&amp;W115,"")</f>
      </c>
      <c r="Y115">
        <f>IF(X115&lt;&gt;"",IF(K115&lt;&gt;"",K115&amp;" ("&amp;M115&amp;")",M115),"")</f>
      </c>
      <c r="Z115">
        <f>IF(O115="Sí",COUNTIFS($D$2:D115,D115,$O$2:O115,"Sí"),"")</f>
      </c>
      <c r="AA115">
        <f>IF(Z115&lt;&gt;"",D115&amp;"|"&amp;Z115,"")</f>
      </c>
      <c r="AB115">
        <f>IF(AA115&lt;&gt;"",IF(K115&lt;&gt;"",K115&amp;" ("&amp;M115&amp;")",M115),"")</f>
      </c>
      <c r="AC115">
        <f>IF($B115="","fecha, ","")&amp;IF($C115="","quién lo introduce, ","")&amp;IF($I115="","motivo, ","")&amp;IF($K115="","docente, ","")&amp;IF($L115="","horario, ","")&amp;IF($N115="","duración, ","")&amp;IF($Q115="","estado, ","")&amp;IF(AND($I115="Otros",$J115=""),"detalle del motivo, ","")&amp;IF(AND($O115="Sí",$P115=""),"detalle del refuerzo, ","")&amp;IF(AND(OR($I115="Renuncia (hasta 30 nov)",$I115="Baja (desde 1 dic)",$I115="Renuncia excepcional (art. 25.3)",$I115="Traslado de expediente"),OR($E115="",$F115="",$G115="")),"quién deja la plaza, ","")&amp;IF(AND($Q115="No disponible",$R115=""),"vía de cobertura, ","")&amp;IF(AND(OR($R115="Lista de espera · propio centro",$R115="Traslado de expediente",$R115="Lista de espera · otro centro"),OR($S115="",$T115="",$U115="")),"quién ocupa la plaza, ","")</f>
      </c>
      <c r="AD115" s="24">
        <f>IF($D115="","",IF(AND(LEN($AC115)=0,LEN($AK115)=0),"Completa",IF(LEN($AC115)=0,"Revisar: "&amp;LEFT($AK115,LEN($AK115)-2),"Falta: "&amp;LEFT($AC115,LEN($AC115)-2)&amp;IF(LEN($AK115)&gt;0,"  ·  Revisar: "&amp;LEFT($AK115,LEN($AK115)-2),""))))</f>
      </c>
      <c r="AE115">
        <f>IF(AND($D115&lt;&gt;"",OR($I115="Renuncia (hasta 30 nov)",$I115="Baja (desde 1 dic)",$I115="Renuncia excepcional (art. 25.3)",$I115="Traslado de expediente")),COUNTIF($AE$1:AE114,"&gt;0")+1,"")</f>
      </c>
      <c r="AF115">
        <f>IF($Q115="Disponible",COUNTIF($AF$1:AF114,"&gt;0")+1,"")</f>
      </c>
      <c r="AG115">
        <f>IF($O115="Sí",COUNTIF($AG$1:AG114,"&gt;0")+1,"")</f>
      </c>
      <c r="AH115">
        <f>IF(AND($Q115="Disponible",$O115&lt;&gt;"Sí"),COUNTIF($AH$1:AH114,"&gt;0")+1,"")</f>
      </c>
      <c r="AI115">
        <f>IF(AND($Q115="Disponible",$K115&lt;&gt;""),COUNTIFS($K$2:K115,K115,$Q$2:Q115,"Disponible"),"")</f>
      </c>
      <c r="AJ115">
        <f>IF(AI115&lt;&gt;"",K115&amp;"|"&amp;AI115,"")</f>
      </c>
      <c r="AK115">
        <f>IF(AND($Q115="No disponible",OR($R115="Lista de espera · propio centro",$R115="Traslado de expediente",$R115="Lista de espera · otro centro"),$O115="Sí"),"la plaza ya tiene alumno y sigue marcada como refuerzo, ","")&amp;IF(AND($R115="Reconvertida en refuerzo",$O115&lt;&gt;"Sí"),"reconvertida en refuerzo pero sin marcar «En uso como refuerzo», ","")</f>
      </c>
    </row>
    <row r="116" spans="1:37">
      <c r="A116" s="20">
        <f>IF(D116&lt;&gt;"",ROW()-1,"")</f>
      </c>
      <c r="B116" s="55"/>
      <c r="C116" s="56"/>
      <c r="D116" s="56"/>
      <c r="E116" s="56"/>
      <c r="F116" s="56"/>
      <c r="G116" s="56"/>
      <c r="H116" s="56"/>
      <c r="I116" s="56"/>
      <c r="J116" s="57"/>
      <c r="K116" s="56"/>
      <c r="L116" s="58"/>
      <c r="M116" s="58">
        <f>IF(L116="","",L116)</f>
      </c>
      <c r="N116" s="56"/>
      <c r="O116" s="56"/>
      <c r="P116" s="57"/>
      <c r="Q116" s="56"/>
      <c r="R116" s="56"/>
      <c r="S116" s="56"/>
      <c r="T116" s="56"/>
      <c r="U116" s="56"/>
      <c r="V116" s="57"/>
      <c r="W116">
        <f>IF(Q116="Disponible",COUNTIFS($D$2:D116,D116,$Q$2:Q116,"Disponible"),"")</f>
      </c>
      <c r="X116">
        <f>IF(W116&lt;&gt;"",D116&amp;"|"&amp;W116,"")</f>
      </c>
      <c r="Y116">
        <f>IF(X116&lt;&gt;"",IF(K116&lt;&gt;"",K116&amp;" ("&amp;M116&amp;")",M116),"")</f>
      </c>
      <c r="Z116">
        <f>IF(O116="Sí",COUNTIFS($D$2:D116,D116,$O$2:O116,"Sí"),"")</f>
      </c>
      <c r="AA116">
        <f>IF(Z116&lt;&gt;"",D116&amp;"|"&amp;Z116,"")</f>
      </c>
      <c r="AB116">
        <f>IF(AA116&lt;&gt;"",IF(K116&lt;&gt;"",K116&amp;" ("&amp;M116&amp;")",M116),"")</f>
      </c>
      <c r="AC116">
        <f>IF($B116="","fecha, ","")&amp;IF($C116="","quién lo introduce, ","")&amp;IF($I116="","motivo, ","")&amp;IF($K116="","docente, ","")&amp;IF($L116="","horario, ","")&amp;IF($N116="","duración, ","")&amp;IF($Q116="","estado, ","")&amp;IF(AND($I116="Otros",$J116=""),"detalle del motivo, ","")&amp;IF(AND($O116="Sí",$P116=""),"detalle del refuerzo, ","")&amp;IF(AND(OR($I116="Renuncia (hasta 30 nov)",$I116="Baja (desde 1 dic)",$I116="Renuncia excepcional (art. 25.3)",$I116="Traslado de expediente"),OR($E116="",$F116="",$G116="")),"quién deja la plaza, ","")&amp;IF(AND($Q116="No disponible",$R116=""),"vía de cobertura, ","")&amp;IF(AND(OR($R116="Lista de espera · propio centro",$R116="Traslado de expediente",$R116="Lista de espera · otro centro"),OR($S116="",$T116="",$U116="")),"quién ocupa la plaza, ","")</f>
      </c>
      <c r="AD116" s="24">
        <f>IF($D116="","",IF(AND(LEN($AC116)=0,LEN($AK116)=0),"Completa",IF(LEN($AC116)=0,"Revisar: "&amp;LEFT($AK116,LEN($AK116)-2),"Falta: "&amp;LEFT($AC116,LEN($AC116)-2)&amp;IF(LEN($AK116)&gt;0,"  ·  Revisar: "&amp;LEFT($AK116,LEN($AK116)-2),""))))</f>
      </c>
      <c r="AE116">
        <f>IF(AND($D116&lt;&gt;"",OR($I116="Renuncia (hasta 30 nov)",$I116="Baja (desde 1 dic)",$I116="Renuncia excepcional (art. 25.3)",$I116="Traslado de expediente")),COUNTIF($AE$1:AE115,"&gt;0")+1,"")</f>
      </c>
      <c r="AF116">
        <f>IF($Q116="Disponible",COUNTIF($AF$1:AF115,"&gt;0")+1,"")</f>
      </c>
      <c r="AG116">
        <f>IF($O116="Sí",COUNTIF($AG$1:AG115,"&gt;0")+1,"")</f>
      </c>
      <c r="AH116">
        <f>IF(AND($Q116="Disponible",$O116&lt;&gt;"Sí"),COUNTIF($AH$1:AH115,"&gt;0")+1,"")</f>
      </c>
      <c r="AI116">
        <f>IF(AND($Q116="Disponible",$K116&lt;&gt;""),COUNTIFS($K$2:K116,K116,$Q$2:Q116,"Disponible"),"")</f>
      </c>
      <c r="AJ116">
        <f>IF(AI116&lt;&gt;"",K116&amp;"|"&amp;AI116,"")</f>
      </c>
      <c r="AK116">
        <f>IF(AND($Q116="No disponible",OR($R116="Lista de espera · propio centro",$R116="Traslado de expediente",$R116="Lista de espera · otro centro"),$O116="Sí"),"la plaza ya tiene alumno y sigue marcada como refuerzo, ","")&amp;IF(AND($R116="Reconvertida en refuerzo",$O116&lt;&gt;"Sí"),"reconvertida en refuerzo pero sin marcar «En uso como refuerzo», ","")</f>
      </c>
    </row>
    <row r="117" spans="1:37">
      <c r="A117" s="20">
        <f>IF(D117&lt;&gt;"",ROW()-1,"")</f>
      </c>
      <c r="B117" s="55"/>
      <c r="C117" s="56"/>
      <c r="D117" s="56"/>
      <c r="E117" s="56"/>
      <c r="F117" s="56"/>
      <c r="G117" s="56"/>
      <c r="H117" s="56"/>
      <c r="I117" s="56"/>
      <c r="J117" s="57"/>
      <c r="K117" s="56"/>
      <c r="L117" s="58"/>
      <c r="M117" s="58">
        <f>IF(L117="","",L117)</f>
      </c>
      <c r="N117" s="56"/>
      <c r="O117" s="56"/>
      <c r="P117" s="57"/>
      <c r="Q117" s="56"/>
      <c r="R117" s="56"/>
      <c r="S117" s="56"/>
      <c r="T117" s="56"/>
      <c r="U117" s="56"/>
      <c r="V117" s="57"/>
      <c r="W117">
        <f>IF(Q117="Disponible",COUNTIFS($D$2:D117,D117,$Q$2:Q117,"Disponible"),"")</f>
      </c>
      <c r="X117">
        <f>IF(W117&lt;&gt;"",D117&amp;"|"&amp;W117,"")</f>
      </c>
      <c r="Y117">
        <f>IF(X117&lt;&gt;"",IF(K117&lt;&gt;"",K117&amp;" ("&amp;M117&amp;")",M117),"")</f>
      </c>
      <c r="Z117">
        <f>IF(O117="Sí",COUNTIFS($D$2:D117,D117,$O$2:O117,"Sí"),"")</f>
      </c>
      <c r="AA117">
        <f>IF(Z117&lt;&gt;"",D117&amp;"|"&amp;Z117,"")</f>
      </c>
      <c r="AB117">
        <f>IF(AA117&lt;&gt;"",IF(K117&lt;&gt;"",K117&amp;" ("&amp;M117&amp;")",M117),"")</f>
      </c>
      <c r="AC117">
        <f>IF($B117="","fecha, ","")&amp;IF($C117="","quién lo introduce, ","")&amp;IF($I117="","motivo, ","")&amp;IF($K117="","docente, ","")&amp;IF($L117="","horario, ","")&amp;IF($N117="","duración, ","")&amp;IF($Q117="","estado, ","")&amp;IF(AND($I117="Otros",$J117=""),"detalle del motivo, ","")&amp;IF(AND($O117="Sí",$P117=""),"detalle del refuerzo, ","")&amp;IF(AND(OR($I117="Renuncia (hasta 30 nov)",$I117="Baja (desde 1 dic)",$I117="Renuncia excepcional (art. 25.3)",$I117="Traslado de expediente"),OR($E117="",$F117="",$G117="")),"quién deja la plaza, ","")&amp;IF(AND($Q117="No disponible",$R117=""),"vía de cobertura, ","")&amp;IF(AND(OR($R117="Lista de espera · propio centro",$R117="Traslado de expediente",$R117="Lista de espera · otro centro"),OR($S117="",$T117="",$U117="")),"quién ocupa la plaza, ","")</f>
      </c>
      <c r="AD117" s="24">
        <f>IF($D117="","",IF(AND(LEN($AC117)=0,LEN($AK117)=0),"Completa",IF(LEN($AC117)=0,"Revisar: "&amp;LEFT($AK117,LEN($AK117)-2),"Falta: "&amp;LEFT($AC117,LEN($AC117)-2)&amp;IF(LEN($AK117)&gt;0,"  ·  Revisar: "&amp;LEFT($AK117,LEN($AK117)-2),""))))</f>
      </c>
      <c r="AE117">
        <f>IF(AND($D117&lt;&gt;"",OR($I117="Renuncia (hasta 30 nov)",$I117="Baja (desde 1 dic)",$I117="Renuncia excepcional (art. 25.3)",$I117="Traslado de expediente")),COUNTIF($AE$1:AE116,"&gt;0")+1,"")</f>
      </c>
      <c r="AF117">
        <f>IF($Q117="Disponible",COUNTIF($AF$1:AF116,"&gt;0")+1,"")</f>
      </c>
      <c r="AG117">
        <f>IF($O117="Sí",COUNTIF($AG$1:AG116,"&gt;0")+1,"")</f>
      </c>
      <c r="AH117">
        <f>IF(AND($Q117="Disponible",$O117&lt;&gt;"Sí"),COUNTIF($AH$1:AH116,"&gt;0")+1,"")</f>
      </c>
      <c r="AI117">
        <f>IF(AND($Q117="Disponible",$K117&lt;&gt;""),COUNTIFS($K$2:K117,K117,$Q$2:Q117,"Disponible"),"")</f>
      </c>
      <c r="AJ117">
        <f>IF(AI117&lt;&gt;"",K117&amp;"|"&amp;AI117,"")</f>
      </c>
      <c r="AK117">
        <f>IF(AND($Q117="No disponible",OR($R117="Lista de espera · propio centro",$R117="Traslado de expediente",$R117="Lista de espera · otro centro"),$O117="Sí"),"la plaza ya tiene alumno y sigue marcada como refuerzo, ","")&amp;IF(AND($R117="Reconvertida en refuerzo",$O117&lt;&gt;"Sí"),"reconvertida en refuerzo pero sin marcar «En uso como refuerzo», ","")</f>
      </c>
    </row>
    <row r="118" spans="1:37">
      <c r="A118" s="20">
        <f>IF(D118&lt;&gt;"",ROW()-1,"")</f>
      </c>
      <c r="B118" s="55"/>
      <c r="C118" s="56"/>
      <c r="D118" s="56"/>
      <c r="E118" s="56"/>
      <c r="F118" s="56"/>
      <c r="G118" s="56"/>
      <c r="H118" s="56"/>
      <c r="I118" s="56"/>
      <c r="J118" s="57"/>
      <c r="K118" s="56"/>
      <c r="L118" s="58"/>
      <c r="M118" s="58">
        <f>IF(L118="","",L118)</f>
      </c>
      <c r="N118" s="56"/>
      <c r="O118" s="56"/>
      <c r="P118" s="57"/>
      <c r="Q118" s="56"/>
      <c r="R118" s="56"/>
      <c r="S118" s="56"/>
      <c r="T118" s="56"/>
      <c r="U118" s="56"/>
      <c r="V118" s="57"/>
      <c r="W118">
        <f>IF(Q118="Disponible",COUNTIFS($D$2:D118,D118,$Q$2:Q118,"Disponible"),"")</f>
      </c>
      <c r="X118">
        <f>IF(W118&lt;&gt;"",D118&amp;"|"&amp;W118,"")</f>
      </c>
      <c r="Y118">
        <f>IF(X118&lt;&gt;"",IF(K118&lt;&gt;"",K118&amp;" ("&amp;M118&amp;")",M118),"")</f>
      </c>
      <c r="Z118">
        <f>IF(O118="Sí",COUNTIFS($D$2:D118,D118,$O$2:O118,"Sí"),"")</f>
      </c>
      <c r="AA118">
        <f>IF(Z118&lt;&gt;"",D118&amp;"|"&amp;Z118,"")</f>
      </c>
      <c r="AB118">
        <f>IF(AA118&lt;&gt;"",IF(K118&lt;&gt;"",K118&amp;" ("&amp;M118&amp;")",M118),"")</f>
      </c>
      <c r="AC118">
        <f>IF($B118="","fecha, ","")&amp;IF($C118="","quién lo introduce, ","")&amp;IF($I118="","motivo, ","")&amp;IF($K118="","docente, ","")&amp;IF($L118="","horario, ","")&amp;IF($N118="","duración, ","")&amp;IF($Q118="","estado, ","")&amp;IF(AND($I118="Otros",$J118=""),"detalle del motivo, ","")&amp;IF(AND($O118="Sí",$P118=""),"detalle del refuerzo, ","")&amp;IF(AND(OR($I118="Renuncia (hasta 30 nov)",$I118="Baja (desde 1 dic)",$I118="Renuncia excepcional (art. 25.3)",$I118="Traslado de expediente"),OR($E118="",$F118="",$G118="")),"quién deja la plaza, ","")&amp;IF(AND($Q118="No disponible",$R118=""),"vía de cobertura, ","")&amp;IF(AND(OR($R118="Lista de espera · propio centro",$R118="Traslado de expediente",$R118="Lista de espera · otro centro"),OR($S118="",$T118="",$U118="")),"quién ocupa la plaza, ","")</f>
      </c>
      <c r="AD118" s="24">
        <f>IF($D118="","",IF(AND(LEN($AC118)=0,LEN($AK118)=0),"Completa",IF(LEN($AC118)=0,"Revisar: "&amp;LEFT($AK118,LEN($AK118)-2),"Falta: "&amp;LEFT($AC118,LEN($AC118)-2)&amp;IF(LEN($AK118)&gt;0,"  ·  Revisar: "&amp;LEFT($AK118,LEN($AK118)-2),""))))</f>
      </c>
      <c r="AE118">
        <f>IF(AND($D118&lt;&gt;"",OR($I118="Renuncia (hasta 30 nov)",$I118="Baja (desde 1 dic)",$I118="Renuncia excepcional (art. 25.3)",$I118="Traslado de expediente")),COUNTIF($AE$1:AE117,"&gt;0")+1,"")</f>
      </c>
      <c r="AF118">
        <f>IF($Q118="Disponible",COUNTIF($AF$1:AF117,"&gt;0")+1,"")</f>
      </c>
      <c r="AG118">
        <f>IF($O118="Sí",COUNTIF($AG$1:AG117,"&gt;0")+1,"")</f>
      </c>
      <c r="AH118">
        <f>IF(AND($Q118="Disponible",$O118&lt;&gt;"Sí"),COUNTIF($AH$1:AH117,"&gt;0")+1,"")</f>
      </c>
      <c r="AI118">
        <f>IF(AND($Q118="Disponible",$K118&lt;&gt;""),COUNTIFS($K$2:K118,K118,$Q$2:Q118,"Disponible"),"")</f>
      </c>
      <c r="AJ118">
        <f>IF(AI118&lt;&gt;"",K118&amp;"|"&amp;AI118,"")</f>
      </c>
      <c r="AK118">
        <f>IF(AND($Q118="No disponible",OR($R118="Lista de espera · propio centro",$R118="Traslado de expediente",$R118="Lista de espera · otro centro"),$O118="Sí"),"la plaza ya tiene alumno y sigue marcada como refuerzo, ","")&amp;IF(AND($R118="Reconvertida en refuerzo",$O118&lt;&gt;"Sí"),"reconvertida en refuerzo pero sin marcar «En uso como refuerzo», ","")</f>
      </c>
    </row>
    <row r="119" spans="1:37">
      <c r="A119" s="20">
        <f>IF(D119&lt;&gt;"",ROW()-1,"")</f>
      </c>
      <c r="B119" s="55"/>
      <c r="C119" s="56"/>
      <c r="D119" s="56"/>
      <c r="E119" s="56"/>
      <c r="F119" s="56"/>
      <c r="G119" s="56"/>
      <c r="H119" s="56"/>
      <c r="I119" s="56"/>
      <c r="J119" s="57"/>
      <c r="K119" s="56"/>
      <c r="L119" s="58"/>
      <c r="M119" s="58">
        <f>IF(L119="","",L119)</f>
      </c>
      <c r="N119" s="56"/>
      <c r="O119" s="56"/>
      <c r="P119" s="57"/>
      <c r="Q119" s="56"/>
      <c r="R119" s="56"/>
      <c r="S119" s="56"/>
      <c r="T119" s="56"/>
      <c r="U119" s="56"/>
      <c r="V119" s="57"/>
      <c r="W119">
        <f>IF(Q119="Disponible",COUNTIFS($D$2:D119,D119,$Q$2:Q119,"Disponible"),"")</f>
      </c>
      <c r="X119">
        <f>IF(W119&lt;&gt;"",D119&amp;"|"&amp;W119,"")</f>
      </c>
      <c r="Y119">
        <f>IF(X119&lt;&gt;"",IF(K119&lt;&gt;"",K119&amp;" ("&amp;M119&amp;")",M119),"")</f>
      </c>
      <c r="Z119">
        <f>IF(O119="Sí",COUNTIFS($D$2:D119,D119,$O$2:O119,"Sí"),"")</f>
      </c>
      <c r="AA119">
        <f>IF(Z119&lt;&gt;"",D119&amp;"|"&amp;Z119,"")</f>
      </c>
      <c r="AB119">
        <f>IF(AA119&lt;&gt;"",IF(K119&lt;&gt;"",K119&amp;" ("&amp;M119&amp;")",M119),"")</f>
      </c>
      <c r="AC119">
        <f>IF($B119="","fecha, ","")&amp;IF($C119="","quién lo introduce, ","")&amp;IF($I119="","motivo, ","")&amp;IF($K119="","docente, ","")&amp;IF($L119="","horario, ","")&amp;IF($N119="","duración, ","")&amp;IF($Q119="","estado, ","")&amp;IF(AND($I119="Otros",$J119=""),"detalle del motivo, ","")&amp;IF(AND($O119="Sí",$P119=""),"detalle del refuerzo, ","")&amp;IF(AND(OR($I119="Renuncia (hasta 30 nov)",$I119="Baja (desde 1 dic)",$I119="Renuncia excepcional (art. 25.3)",$I119="Traslado de expediente"),OR($E119="",$F119="",$G119="")),"quién deja la plaza, ","")&amp;IF(AND($Q119="No disponible",$R119=""),"vía de cobertura, ","")&amp;IF(AND(OR($R119="Lista de espera · propio centro",$R119="Traslado de expediente",$R119="Lista de espera · otro centro"),OR($S119="",$T119="",$U119="")),"quién ocupa la plaza, ","")</f>
      </c>
      <c r="AD119" s="24">
        <f>IF($D119="","",IF(AND(LEN($AC119)=0,LEN($AK119)=0),"Completa",IF(LEN($AC119)=0,"Revisar: "&amp;LEFT($AK119,LEN($AK119)-2),"Falta: "&amp;LEFT($AC119,LEN($AC119)-2)&amp;IF(LEN($AK119)&gt;0,"  ·  Revisar: "&amp;LEFT($AK119,LEN($AK119)-2),""))))</f>
      </c>
      <c r="AE119">
        <f>IF(AND($D119&lt;&gt;"",OR($I119="Renuncia (hasta 30 nov)",$I119="Baja (desde 1 dic)",$I119="Renuncia excepcional (art. 25.3)",$I119="Traslado de expediente")),COUNTIF($AE$1:AE118,"&gt;0")+1,"")</f>
      </c>
      <c r="AF119">
        <f>IF($Q119="Disponible",COUNTIF($AF$1:AF118,"&gt;0")+1,"")</f>
      </c>
      <c r="AG119">
        <f>IF($O119="Sí",COUNTIF($AG$1:AG118,"&gt;0")+1,"")</f>
      </c>
      <c r="AH119">
        <f>IF(AND($Q119="Disponible",$O119&lt;&gt;"Sí"),COUNTIF($AH$1:AH118,"&gt;0")+1,"")</f>
      </c>
      <c r="AI119">
        <f>IF(AND($Q119="Disponible",$K119&lt;&gt;""),COUNTIFS($K$2:K119,K119,$Q$2:Q119,"Disponible"),"")</f>
      </c>
      <c r="AJ119">
        <f>IF(AI119&lt;&gt;"",K119&amp;"|"&amp;AI119,"")</f>
      </c>
      <c r="AK119">
        <f>IF(AND($Q119="No disponible",OR($R119="Lista de espera · propio centro",$R119="Traslado de expediente",$R119="Lista de espera · otro centro"),$O119="Sí"),"la plaza ya tiene alumno y sigue marcada como refuerzo, ","")&amp;IF(AND($R119="Reconvertida en refuerzo",$O119&lt;&gt;"Sí"),"reconvertida en refuerzo pero sin marcar «En uso como refuerzo», ","")</f>
      </c>
    </row>
    <row r="120" spans="1:37">
      <c r="A120" s="20">
        <f>IF(D120&lt;&gt;"",ROW()-1,"")</f>
      </c>
      <c r="B120" s="55"/>
      <c r="C120" s="56"/>
      <c r="D120" s="56"/>
      <c r="E120" s="56"/>
      <c r="F120" s="56"/>
      <c r="G120" s="56"/>
      <c r="H120" s="56"/>
      <c r="I120" s="56"/>
      <c r="J120" s="57"/>
      <c r="K120" s="56"/>
      <c r="L120" s="58"/>
      <c r="M120" s="58">
        <f>IF(L120="","",L120)</f>
      </c>
      <c r="N120" s="56"/>
      <c r="O120" s="56"/>
      <c r="P120" s="57"/>
      <c r="Q120" s="56"/>
      <c r="R120" s="56"/>
      <c r="S120" s="56"/>
      <c r="T120" s="56"/>
      <c r="U120" s="56"/>
      <c r="V120" s="57"/>
      <c r="W120">
        <f>IF(Q120="Disponible",COUNTIFS($D$2:D120,D120,$Q$2:Q120,"Disponible"),"")</f>
      </c>
      <c r="X120">
        <f>IF(W120&lt;&gt;"",D120&amp;"|"&amp;W120,"")</f>
      </c>
      <c r="Y120">
        <f>IF(X120&lt;&gt;"",IF(K120&lt;&gt;"",K120&amp;" ("&amp;M120&amp;")",M120),"")</f>
      </c>
      <c r="Z120">
        <f>IF(O120="Sí",COUNTIFS($D$2:D120,D120,$O$2:O120,"Sí"),"")</f>
      </c>
      <c r="AA120">
        <f>IF(Z120&lt;&gt;"",D120&amp;"|"&amp;Z120,"")</f>
      </c>
      <c r="AB120">
        <f>IF(AA120&lt;&gt;"",IF(K120&lt;&gt;"",K120&amp;" ("&amp;M120&amp;")",M120),"")</f>
      </c>
      <c r="AC120">
        <f>IF($B120="","fecha, ","")&amp;IF($C120="","quién lo introduce, ","")&amp;IF($I120="","motivo, ","")&amp;IF($K120="","docente, ","")&amp;IF($L120="","horario, ","")&amp;IF($N120="","duración, ","")&amp;IF($Q120="","estado, ","")&amp;IF(AND($I120="Otros",$J120=""),"detalle del motivo, ","")&amp;IF(AND($O120="Sí",$P120=""),"detalle del refuerzo, ","")&amp;IF(AND(OR($I120="Renuncia (hasta 30 nov)",$I120="Baja (desde 1 dic)",$I120="Renuncia excepcional (art. 25.3)",$I120="Traslado de expediente"),OR($E120="",$F120="",$G120="")),"quién deja la plaza, ","")&amp;IF(AND($Q120="No disponible",$R120=""),"vía de cobertura, ","")&amp;IF(AND(OR($R120="Lista de espera · propio centro",$R120="Traslado de expediente",$R120="Lista de espera · otro centro"),OR($S120="",$T120="",$U120="")),"quién ocupa la plaza, ","")</f>
      </c>
      <c r="AD120" s="24">
        <f>IF($D120="","",IF(AND(LEN($AC120)=0,LEN($AK120)=0),"Completa",IF(LEN($AC120)=0,"Revisar: "&amp;LEFT($AK120,LEN($AK120)-2),"Falta: "&amp;LEFT($AC120,LEN($AC120)-2)&amp;IF(LEN($AK120)&gt;0,"  ·  Revisar: "&amp;LEFT($AK120,LEN($AK120)-2),""))))</f>
      </c>
      <c r="AE120">
        <f>IF(AND($D120&lt;&gt;"",OR($I120="Renuncia (hasta 30 nov)",$I120="Baja (desde 1 dic)",$I120="Renuncia excepcional (art. 25.3)",$I120="Traslado de expediente")),COUNTIF($AE$1:AE119,"&gt;0")+1,"")</f>
      </c>
      <c r="AF120">
        <f>IF($Q120="Disponible",COUNTIF($AF$1:AF119,"&gt;0")+1,"")</f>
      </c>
      <c r="AG120">
        <f>IF($O120="Sí",COUNTIF($AG$1:AG119,"&gt;0")+1,"")</f>
      </c>
      <c r="AH120">
        <f>IF(AND($Q120="Disponible",$O120&lt;&gt;"Sí"),COUNTIF($AH$1:AH119,"&gt;0")+1,"")</f>
      </c>
      <c r="AI120">
        <f>IF(AND($Q120="Disponible",$K120&lt;&gt;""),COUNTIFS($K$2:K120,K120,$Q$2:Q120,"Disponible"),"")</f>
      </c>
      <c r="AJ120">
        <f>IF(AI120&lt;&gt;"",K120&amp;"|"&amp;AI120,"")</f>
      </c>
      <c r="AK120">
        <f>IF(AND($Q120="No disponible",OR($R120="Lista de espera · propio centro",$R120="Traslado de expediente",$R120="Lista de espera · otro centro"),$O120="Sí"),"la plaza ya tiene alumno y sigue marcada como refuerzo, ","")&amp;IF(AND($R120="Reconvertida en refuerzo",$O120&lt;&gt;"Sí"),"reconvertida en refuerzo pero sin marcar «En uso como refuerzo», ","")</f>
      </c>
    </row>
    <row r="121" spans="1:37">
      <c r="A121" s="20">
        <f>IF(D121&lt;&gt;"",ROW()-1,"")</f>
      </c>
      <c r="B121" s="55"/>
      <c r="C121" s="56"/>
      <c r="D121" s="56"/>
      <c r="E121" s="56"/>
      <c r="F121" s="56"/>
      <c r="G121" s="56"/>
      <c r="H121" s="56"/>
      <c r="I121" s="56"/>
      <c r="J121" s="57"/>
      <c r="K121" s="56"/>
      <c r="L121" s="58"/>
      <c r="M121" s="58">
        <f>IF(L121="","",L121)</f>
      </c>
      <c r="N121" s="56"/>
      <c r="O121" s="56"/>
      <c r="P121" s="57"/>
      <c r="Q121" s="56"/>
      <c r="R121" s="56"/>
      <c r="S121" s="56"/>
      <c r="T121" s="56"/>
      <c r="U121" s="56"/>
      <c r="V121" s="57"/>
      <c r="W121">
        <f>IF(Q121="Disponible",COUNTIFS($D$2:D121,D121,$Q$2:Q121,"Disponible"),"")</f>
      </c>
      <c r="X121">
        <f>IF(W121&lt;&gt;"",D121&amp;"|"&amp;W121,"")</f>
      </c>
      <c r="Y121">
        <f>IF(X121&lt;&gt;"",IF(K121&lt;&gt;"",K121&amp;" ("&amp;M121&amp;")",M121),"")</f>
      </c>
      <c r="Z121">
        <f>IF(O121="Sí",COUNTIFS($D$2:D121,D121,$O$2:O121,"Sí"),"")</f>
      </c>
      <c r="AA121">
        <f>IF(Z121&lt;&gt;"",D121&amp;"|"&amp;Z121,"")</f>
      </c>
      <c r="AB121">
        <f>IF(AA121&lt;&gt;"",IF(K121&lt;&gt;"",K121&amp;" ("&amp;M121&amp;")",M121),"")</f>
      </c>
      <c r="AC121">
        <f>IF($B121="","fecha, ","")&amp;IF($C121="","quién lo introduce, ","")&amp;IF($I121="","motivo, ","")&amp;IF($K121="","docente, ","")&amp;IF($L121="","horario, ","")&amp;IF($N121="","duración, ","")&amp;IF($Q121="","estado, ","")&amp;IF(AND($I121="Otros",$J121=""),"detalle del motivo, ","")&amp;IF(AND($O121="Sí",$P121=""),"detalle del refuerzo, ","")&amp;IF(AND(OR($I121="Renuncia (hasta 30 nov)",$I121="Baja (desde 1 dic)",$I121="Renuncia excepcional (art. 25.3)",$I121="Traslado de expediente"),OR($E121="",$F121="",$G121="")),"quién deja la plaza, ","")&amp;IF(AND($Q121="No disponible",$R121=""),"vía de cobertura, ","")&amp;IF(AND(OR($R121="Lista de espera · propio centro",$R121="Traslado de expediente",$R121="Lista de espera · otro centro"),OR($S121="",$T121="",$U121="")),"quién ocupa la plaza, ","")</f>
      </c>
      <c r="AD121" s="24">
        <f>IF($D121="","",IF(AND(LEN($AC121)=0,LEN($AK121)=0),"Completa",IF(LEN($AC121)=0,"Revisar: "&amp;LEFT($AK121,LEN($AK121)-2),"Falta: "&amp;LEFT($AC121,LEN($AC121)-2)&amp;IF(LEN($AK121)&gt;0,"  ·  Revisar: "&amp;LEFT($AK121,LEN($AK121)-2),""))))</f>
      </c>
      <c r="AE121">
        <f>IF(AND($D121&lt;&gt;"",OR($I121="Renuncia (hasta 30 nov)",$I121="Baja (desde 1 dic)",$I121="Renuncia excepcional (art. 25.3)",$I121="Traslado de expediente")),COUNTIF($AE$1:AE120,"&gt;0")+1,"")</f>
      </c>
      <c r="AF121">
        <f>IF($Q121="Disponible",COUNTIF($AF$1:AF120,"&gt;0")+1,"")</f>
      </c>
      <c r="AG121">
        <f>IF($O121="Sí",COUNTIF($AG$1:AG120,"&gt;0")+1,"")</f>
      </c>
      <c r="AH121">
        <f>IF(AND($Q121="Disponible",$O121&lt;&gt;"Sí"),COUNTIF($AH$1:AH120,"&gt;0")+1,"")</f>
      </c>
      <c r="AI121">
        <f>IF(AND($Q121="Disponible",$K121&lt;&gt;""),COUNTIFS($K$2:K121,K121,$Q$2:Q121,"Disponible"),"")</f>
      </c>
      <c r="AJ121">
        <f>IF(AI121&lt;&gt;"",K121&amp;"|"&amp;AI121,"")</f>
      </c>
      <c r="AK121">
        <f>IF(AND($Q121="No disponible",OR($R121="Lista de espera · propio centro",$R121="Traslado de expediente",$R121="Lista de espera · otro centro"),$O121="Sí"),"la plaza ya tiene alumno y sigue marcada como refuerzo, ","")&amp;IF(AND($R121="Reconvertida en refuerzo",$O121&lt;&gt;"Sí"),"reconvertida en refuerzo pero sin marcar «En uso como refuerzo», ","")</f>
      </c>
    </row>
    <row r="122" spans="1:37">
      <c r="A122" s="20">
        <f>IF(D122&lt;&gt;"",ROW()-1,"")</f>
      </c>
      <c r="B122" s="55"/>
      <c r="C122" s="56"/>
      <c r="D122" s="56"/>
      <c r="E122" s="56"/>
      <c r="F122" s="56"/>
      <c r="G122" s="56"/>
      <c r="H122" s="56"/>
      <c r="I122" s="56"/>
      <c r="J122" s="57"/>
      <c r="K122" s="56"/>
      <c r="L122" s="58"/>
      <c r="M122" s="58">
        <f>IF(L122="","",L122)</f>
      </c>
      <c r="N122" s="56"/>
      <c r="O122" s="56"/>
      <c r="P122" s="57"/>
      <c r="Q122" s="56"/>
      <c r="R122" s="56"/>
      <c r="S122" s="56"/>
      <c r="T122" s="56"/>
      <c r="U122" s="56"/>
      <c r="V122" s="57"/>
      <c r="W122">
        <f>IF(Q122="Disponible",COUNTIFS($D$2:D122,D122,$Q$2:Q122,"Disponible"),"")</f>
      </c>
      <c r="X122">
        <f>IF(W122&lt;&gt;"",D122&amp;"|"&amp;W122,"")</f>
      </c>
      <c r="Y122">
        <f>IF(X122&lt;&gt;"",IF(K122&lt;&gt;"",K122&amp;" ("&amp;M122&amp;")",M122),"")</f>
      </c>
      <c r="Z122">
        <f>IF(O122="Sí",COUNTIFS($D$2:D122,D122,$O$2:O122,"Sí"),"")</f>
      </c>
      <c r="AA122">
        <f>IF(Z122&lt;&gt;"",D122&amp;"|"&amp;Z122,"")</f>
      </c>
      <c r="AB122">
        <f>IF(AA122&lt;&gt;"",IF(K122&lt;&gt;"",K122&amp;" ("&amp;M122&amp;")",M122),"")</f>
      </c>
      <c r="AC122">
        <f>IF($B122="","fecha, ","")&amp;IF($C122="","quién lo introduce, ","")&amp;IF($I122="","motivo, ","")&amp;IF($K122="","docente, ","")&amp;IF($L122="","horario, ","")&amp;IF($N122="","duración, ","")&amp;IF($Q122="","estado, ","")&amp;IF(AND($I122="Otros",$J122=""),"detalle del motivo, ","")&amp;IF(AND($O122="Sí",$P122=""),"detalle del refuerzo, ","")&amp;IF(AND(OR($I122="Renuncia (hasta 30 nov)",$I122="Baja (desde 1 dic)",$I122="Renuncia excepcional (art. 25.3)",$I122="Traslado de expediente"),OR($E122="",$F122="",$G122="")),"quién deja la plaza, ","")&amp;IF(AND($Q122="No disponible",$R122=""),"vía de cobertura, ","")&amp;IF(AND(OR($R122="Lista de espera · propio centro",$R122="Traslado de expediente",$R122="Lista de espera · otro centro"),OR($S122="",$T122="",$U122="")),"quién ocupa la plaza, ","")</f>
      </c>
      <c r="AD122" s="24">
        <f>IF($D122="","",IF(AND(LEN($AC122)=0,LEN($AK122)=0),"Completa",IF(LEN($AC122)=0,"Revisar: "&amp;LEFT($AK122,LEN($AK122)-2),"Falta: "&amp;LEFT($AC122,LEN($AC122)-2)&amp;IF(LEN($AK122)&gt;0,"  ·  Revisar: "&amp;LEFT($AK122,LEN($AK122)-2),""))))</f>
      </c>
      <c r="AE122">
        <f>IF(AND($D122&lt;&gt;"",OR($I122="Renuncia (hasta 30 nov)",$I122="Baja (desde 1 dic)",$I122="Renuncia excepcional (art. 25.3)",$I122="Traslado de expediente")),COUNTIF($AE$1:AE121,"&gt;0")+1,"")</f>
      </c>
      <c r="AF122">
        <f>IF($Q122="Disponible",COUNTIF($AF$1:AF121,"&gt;0")+1,"")</f>
      </c>
      <c r="AG122">
        <f>IF($O122="Sí",COUNTIF($AG$1:AG121,"&gt;0")+1,"")</f>
      </c>
      <c r="AH122">
        <f>IF(AND($Q122="Disponible",$O122&lt;&gt;"Sí"),COUNTIF($AH$1:AH121,"&gt;0")+1,"")</f>
      </c>
      <c r="AI122">
        <f>IF(AND($Q122="Disponible",$K122&lt;&gt;""),COUNTIFS($K$2:K122,K122,$Q$2:Q122,"Disponible"),"")</f>
      </c>
      <c r="AJ122">
        <f>IF(AI122&lt;&gt;"",K122&amp;"|"&amp;AI122,"")</f>
      </c>
      <c r="AK122">
        <f>IF(AND($Q122="No disponible",OR($R122="Lista de espera · propio centro",$R122="Traslado de expediente",$R122="Lista de espera · otro centro"),$O122="Sí"),"la plaza ya tiene alumno y sigue marcada como refuerzo, ","")&amp;IF(AND($R122="Reconvertida en refuerzo",$O122&lt;&gt;"Sí"),"reconvertida en refuerzo pero sin marcar «En uso como refuerzo», ","")</f>
      </c>
    </row>
    <row r="123" spans="1:37">
      <c r="A123" s="20">
        <f>IF(D123&lt;&gt;"",ROW()-1,"")</f>
      </c>
      <c r="B123" s="55"/>
      <c r="C123" s="56"/>
      <c r="D123" s="56"/>
      <c r="E123" s="56"/>
      <c r="F123" s="56"/>
      <c r="G123" s="56"/>
      <c r="H123" s="56"/>
      <c r="I123" s="56"/>
      <c r="J123" s="57"/>
      <c r="K123" s="56"/>
      <c r="L123" s="58"/>
      <c r="M123" s="58">
        <f>IF(L123="","",L123)</f>
      </c>
      <c r="N123" s="56"/>
      <c r="O123" s="56"/>
      <c r="P123" s="57"/>
      <c r="Q123" s="56"/>
      <c r="R123" s="56"/>
      <c r="S123" s="56"/>
      <c r="T123" s="56"/>
      <c r="U123" s="56"/>
      <c r="V123" s="57"/>
      <c r="W123">
        <f>IF(Q123="Disponible",COUNTIFS($D$2:D123,D123,$Q$2:Q123,"Disponible"),"")</f>
      </c>
      <c r="X123">
        <f>IF(W123&lt;&gt;"",D123&amp;"|"&amp;W123,"")</f>
      </c>
      <c r="Y123">
        <f>IF(X123&lt;&gt;"",IF(K123&lt;&gt;"",K123&amp;" ("&amp;M123&amp;")",M123),"")</f>
      </c>
      <c r="Z123">
        <f>IF(O123="Sí",COUNTIFS($D$2:D123,D123,$O$2:O123,"Sí"),"")</f>
      </c>
      <c r="AA123">
        <f>IF(Z123&lt;&gt;"",D123&amp;"|"&amp;Z123,"")</f>
      </c>
      <c r="AB123">
        <f>IF(AA123&lt;&gt;"",IF(K123&lt;&gt;"",K123&amp;" ("&amp;M123&amp;")",M123),"")</f>
      </c>
      <c r="AC123">
        <f>IF($B123="","fecha, ","")&amp;IF($C123="","quién lo introduce, ","")&amp;IF($I123="","motivo, ","")&amp;IF($K123="","docente, ","")&amp;IF($L123="","horario, ","")&amp;IF($N123="","duración, ","")&amp;IF($Q123="","estado, ","")&amp;IF(AND($I123="Otros",$J123=""),"detalle del motivo, ","")&amp;IF(AND($O123="Sí",$P123=""),"detalle del refuerzo, ","")&amp;IF(AND(OR($I123="Renuncia (hasta 30 nov)",$I123="Baja (desde 1 dic)",$I123="Renuncia excepcional (art. 25.3)",$I123="Traslado de expediente"),OR($E123="",$F123="",$G123="")),"quién deja la plaza, ","")&amp;IF(AND($Q123="No disponible",$R123=""),"vía de cobertura, ","")&amp;IF(AND(OR($R123="Lista de espera · propio centro",$R123="Traslado de expediente",$R123="Lista de espera · otro centro"),OR($S123="",$T123="",$U123="")),"quién ocupa la plaza, ","")</f>
      </c>
      <c r="AD123" s="24">
        <f>IF($D123="","",IF(AND(LEN($AC123)=0,LEN($AK123)=0),"Completa",IF(LEN($AC123)=0,"Revisar: "&amp;LEFT($AK123,LEN($AK123)-2),"Falta: "&amp;LEFT($AC123,LEN($AC123)-2)&amp;IF(LEN($AK123)&gt;0,"  ·  Revisar: "&amp;LEFT($AK123,LEN($AK123)-2),""))))</f>
      </c>
      <c r="AE123">
        <f>IF(AND($D123&lt;&gt;"",OR($I123="Renuncia (hasta 30 nov)",$I123="Baja (desde 1 dic)",$I123="Renuncia excepcional (art. 25.3)",$I123="Traslado de expediente")),COUNTIF($AE$1:AE122,"&gt;0")+1,"")</f>
      </c>
      <c r="AF123">
        <f>IF($Q123="Disponible",COUNTIF($AF$1:AF122,"&gt;0")+1,"")</f>
      </c>
      <c r="AG123">
        <f>IF($O123="Sí",COUNTIF($AG$1:AG122,"&gt;0")+1,"")</f>
      </c>
      <c r="AH123">
        <f>IF(AND($Q123="Disponible",$O123&lt;&gt;"Sí"),COUNTIF($AH$1:AH122,"&gt;0")+1,"")</f>
      </c>
      <c r="AI123">
        <f>IF(AND($Q123="Disponible",$K123&lt;&gt;""),COUNTIFS($K$2:K123,K123,$Q$2:Q123,"Disponible"),"")</f>
      </c>
      <c r="AJ123">
        <f>IF(AI123&lt;&gt;"",K123&amp;"|"&amp;AI123,"")</f>
      </c>
      <c r="AK123">
        <f>IF(AND($Q123="No disponible",OR($R123="Lista de espera · propio centro",$R123="Traslado de expediente",$R123="Lista de espera · otro centro"),$O123="Sí"),"la plaza ya tiene alumno y sigue marcada como refuerzo, ","")&amp;IF(AND($R123="Reconvertida en refuerzo",$O123&lt;&gt;"Sí"),"reconvertida en refuerzo pero sin marcar «En uso como refuerzo», ","")</f>
      </c>
    </row>
    <row r="124" spans="1:37">
      <c r="A124" s="20">
        <f>IF(D124&lt;&gt;"",ROW()-1,"")</f>
      </c>
      <c r="B124" s="55"/>
      <c r="C124" s="56"/>
      <c r="D124" s="56"/>
      <c r="E124" s="56"/>
      <c r="F124" s="56"/>
      <c r="G124" s="56"/>
      <c r="H124" s="56"/>
      <c r="I124" s="56"/>
      <c r="J124" s="57"/>
      <c r="K124" s="56"/>
      <c r="L124" s="58"/>
      <c r="M124" s="58">
        <f>IF(L124="","",L124)</f>
      </c>
      <c r="N124" s="56"/>
      <c r="O124" s="56"/>
      <c r="P124" s="57"/>
      <c r="Q124" s="56"/>
      <c r="R124" s="56"/>
      <c r="S124" s="56"/>
      <c r="T124" s="56"/>
      <c r="U124" s="56"/>
      <c r="V124" s="57"/>
      <c r="W124">
        <f>IF(Q124="Disponible",COUNTIFS($D$2:D124,D124,$Q$2:Q124,"Disponible"),"")</f>
      </c>
      <c r="X124">
        <f>IF(W124&lt;&gt;"",D124&amp;"|"&amp;W124,"")</f>
      </c>
      <c r="Y124">
        <f>IF(X124&lt;&gt;"",IF(K124&lt;&gt;"",K124&amp;" ("&amp;M124&amp;")",M124),"")</f>
      </c>
      <c r="Z124">
        <f>IF(O124="Sí",COUNTIFS($D$2:D124,D124,$O$2:O124,"Sí"),"")</f>
      </c>
      <c r="AA124">
        <f>IF(Z124&lt;&gt;"",D124&amp;"|"&amp;Z124,"")</f>
      </c>
      <c r="AB124">
        <f>IF(AA124&lt;&gt;"",IF(K124&lt;&gt;"",K124&amp;" ("&amp;M124&amp;")",M124),"")</f>
      </c>
      <c r="AC124">
        <f>IF($B124="","fecha, ","")&amp;IF($C124="","quién lo introduce, ","")&amp;IF($I124="","motivo, ","")&amp;IF($K124="","docente, ","")&amp;IF($L124="","horario, ","")&amp;IF($N124="","duración, ","")&amp;IF($Q124="","estado, ","")&amp;IF(AND($I124="Otros",$J124=""),"detalle del motivo, ","")&amp;IF(AND($O124="Sí",$P124=""),"detalle del refuerzo, ","")&amp;IF(AND(OR($I124="Renuncia (hasta 30 nov)",$I124="Baja (desde 1 dic)",$I124="Renuncia excepcional (art. 25.3)",$I124="Traslado de expediente"),OR($E124="",$F124="",$G124="")),"quién deja la plaza, ","")&amp;IF(AND($Q124="No disponible",$R124=""),"vía de cobertura, ","")&amp;IF(AND(OR($R124="Lista de espera · propio centro",$R124="Traslado de expediente",$R124="Lista de espera · otro centro"),OR($S124="",$T124="",$U124="")),"quién ocupa la plaza, ","")</f>
      </c>
      <c r="AD124" s="24">
        <f>IF($D124="","",IF(AND(LEN($AC124)=0,LEN($AK124)=0),"Completa",IF(LEN($AC124)=0,"Revisar: "&amp;LEFT($AK124,LEN($AK124)-2),"Falta: "&amp;LEFT($AC124,LEN($AC124)-2)&amp;IF(LEN($AK124)&gt;0,"  ·  Revisar: "&amp;LEFT($AK124,LEN($AK124)-2),""))))</f>
      </c>
      <c r="AE124">
        <f>IF(AND($D124&lt;&gt;"",OR($I124="Renuncia (hasta 30 nov)",$I124="Baja (desde 1 dic)",$I124="Renuncia excepcional (art. 25.3)",$I124="Traslado de expediente")),COUNTIF($AE$1:AE123,"&gt;0")+1,"")</f>
      </c>
      <c r="AF124">
        <f>IF($Q124="Disponible",COUNTIF($AF$1:AF123,"&gt;0")+1,"")</f>
      </c>
      <c r="AG124">
        <f>IF($O124="Sí",COUNTIF($AG$1:AG123,"&gt;0")+1,"")</f>
      </c>
      <c r="AH124">
        <f>IF(AND($Q124="Disponible",$O124&lt;&gt;"Sí"),COUNTIF($AH$1:AH123,"&gt;0")+1,"")</f>
      </c>
      <c r="AI124">
        <f>IF(AND($Q124="Disponible",$K124&lt;&gt;""),COUNTIFS($K$2:K124,K124,$Q$2:Q124,"Disponible"),"")</f>
      </c>
      <c r="AJ124">
        <f>IF(AI124&lt;&gt;"",K124&amp;"|"&amp;AI124,"")</f>
      </c>
      <c r="AK124">
        <f>IF(AND($Q124="No disponible",OR($R124="Lista de espera · propio centro",$R124="Traslado de expediente",$R124="Lista de espera · otro centro"),$O124="Sí"),"la plaza ya tiene alumno y sigue marcada como refuerzo, ","")&amp;IF(AND($R124="Reconvertida en refuerzo",$O124&lt;&gt;"Sí"),"reconvertida en refuerzo pero sin marcar «En uso como refuerzo», ","")</f>
      </c>
    </row>
    <row r="125" spans="1:37">
      <c r="A125" s="20">
        <f>IF(D125&lt;&gt;"",ROW()-1,"")</f>
      </c>
      <c r="B125" s="55"/>
      <c r="C125" s="56"/>
      <c r="D125" s="56"/>
      <c r="E125" s="56"/>
      <c r="F125" s="56"/>
      <c r="G125" s="56"/>
      <c r="H125" s="56"/>
      <c r="I125" s="56"/>
      <c r="J125" s="57"/>
      <c r="K125" s="56"/>
      <c r="L125" s="58"/>
      <c r="M125" s="58">
        <f>IF(L125="","",L125)</f>
      </c>
      <c r="N125" s="56"/>
      <c r="O125" s="56"/>
      <c r="P125" s="57"/>
      <c r="Q125" s="56"/>
      <c r="R125" s="56"/>
      <c r="S125" s="56"/>
      <c r="T125" s="56"/>
      <c r="U125" s="56"/>
      <c r="V125" s="57"/>
      <c r="W125">
        <f>IF(Q125="Disponible",COUNTIFS($D$2:D125,D125,$Q$2:Q125,"Disponible"),"")</f>
      </c>
      <c r="X125">
        <f>IF(W125&lt;&gt;"",D125&amp;"|"&amp;W125,"")</f>
      </c>
      <c r="Y125">
        <f>IF(X125&lt;&gt;"",IF(K125&lt;&gt;"",K125&amp;" ("&amp;M125&amp;")",M125),"")</f>
      </c>
      <c r="Z125">
        <f>IF(O125="Sí",COUNTIFS($D$2:D125,D125,$O$2:O125,"Sí"),"")</f>
      </c>
      <c r="AA125">
        <f>IF(Z125&lt;&gt;"",D125&amp;"|"&amp;Z125,"")</f>
      </c>
      <c r="AB125">
        <f>IF(AA125&lt;&gt;"",IF(K125&lt;&gt;"",K125&amp;" ("&amp;M125&amp;")",M125),"")</f>
      </c>
      <c r="AC125">
        <f>IF($B125="","fecha, ","")&amp;IF($C125="","quién lo introduce, ","")&amp;IF($I125="","motivo, ","")&amp;IF($K125="","docente, ","")&amp;IF($L125="","horario, ","")&amp;IF($N125="","duración, ","")&amp;IF($Q125="","estado, ","")&amp;IF(AND($I125="Otros",$J125=""),"detalle del motivo, ","")&amp;IF(AND($O125="Sí",$P125=""),"detalle del refuerzo, ","")&amp;IF(AND(OR($I125="Renuncia (hasta 30 nov)",$I125="Baja (desde 1 dic)",$I125="Renuncia excepcional (art. 25.3)",$I125="Traslado de expediente"),OR($E125="",$F125="",$G125="")),"quién deja la plaza, ","")&amp;IF(AND($Q125="No disponible",$R125=""),"vía de cobertura, ","")&amp;IF(AND(OR($R125="Lista de espera · propio centro",$R125="Traslado de expediente",$R125="Lista de espera · otro centro"),OR($S125="",$T125="",$U125="")),"quién ocupa la plaza, ","")</f>
      </c>
      <c r="AD125" s="24">
        <f>IF($D125="","",IF(AND(LEN($AC125)=0,LEN($AK125)=0),"Completa",IF(LEN($AC125)=0,"Revisar: "&amp;LEFT($AK125,LEN($AK125)-2),"Falta: "&amp;LEFT($AC125,LEN($AC125)-2)&amp;IF(LEN($AK125)&gt;0,"  ·  Revisar: "&amp;LEFT($AK125,LEN($AK125)-2),""))))</f>
      </c>
      <c r="AE125">
        <f>IF(AND($D125&lt;&gt;"",OR($I125="Renuncia (hasta 30 nov)",$I125="Baja (desde 1 dic)",$I125="Renuncia excepcional (art. 25.3)",$I125="Traslado de expediente")),COUNTIF($AE$1:AE124,"&gt;0")+1,"")</f>
      </c>
      <c r="AF125">
        <f>IF($Q125="Disponible",COUNTIF($AF$1:AF124,"&gt;0")+1,"")</f>
      </c>
      <c r="AG125">
        <f>IF($O125="Sí",COUNTIF($AG$1:AG124,"&gt;0")+1,"")</f>
      </c>
      <c r="AH125">
        <f>IF(AND($Q125="Disponible",$O125&lt;&gt;"Sí"),COUNTIF($AH$1:AH124,"&gt;0")+1,"")</f>
      </c>
      <c r="AI125">
        <f>IF(AND($Q125="Disponible",$K125&lt;&gt;""),COUNTIFS($K$2:K125,K125,$Q$2:Q125,"Disponible"),"")</f>
      </c>
      <c r="AJ125">
        <f>IF(AI125&lt;&gt;"",K125&amp;"|"&amp;AI125,"")</f>
      </c>
      <c r="AK125">
        <f>IF(AND($Q125="No disponible",OR($R125="Lista de espera · propio centro",$R125="Traslado de expediente",$R125="Lista de espera · otro centro"),$O125="Sí"),"la plaza ya tiene alumno y sigue marcada como refuerzo, ","")&amp;IF(AND($R125="Reconvertida en refuerzo",$O125&lt;&gt;"Sí"),"reconvertida en refuerzo pero sin marcar «En uso como refuerzo», ","")</f>
      </c>
    </row>
    <row r="126" spans="1:37">
      <c r="A126" s="20">
        <f>IF(D126&lt;&gt;"",ROW()-1,"")</f>
      </c>
      <c r="B126" s="55"/>
      <c r="C126" s="56"/>
      <c r="D126" s="56"/>
      <c r="E126" s="56"/>
      <c r="F126" s="56"/>
      <c r="G126" s="56"/>
      <c r="H126" s="56"/>
      <c r="I126" s="56"/>
      <c r="J126" s="57"/>
      <c r="K126" s="56"/>
      <c r="L126" s="58"/>
      <c r="M126" s="58">
        <f>IF(L126="","",L126)</f>
      </c>
      <c r="N126" s="56"/>
      <c r="O126" s="56"/>
      <c r="P126" s="57"/>
      <c r="Q126" s="56"/>
      <c r="R126" s="56"/>
      <c r="S126" s="56"/>
      <c r="T126" s="56"/>
      <c r="U126" s="56"/>
      <c r="V126" s="57"/>
      <c r="W126">
        <f>IF(Q126="Disponible",COUNTIFS($D$2:D126,D126,$Q$2:Q126,"Disponible"),"")</f>
      </c>
      <c r="X126">
        <f>IF(W126&lt;&gt;"",D126&amp;"|"&amp;W126,"")</f>
      </c>
      <c r="Y126">
        <f>IF(X126&lt;&gt;"",IF(K126&lt;&gt;"",K126&amp;" ("&amp;M126&amp;")",M126),"")</f>
      </c>
      <c r="Z126">
        <f>IF(O126="Sí",COUNTIFS($D$2:D126,D126,$O$2:O126,"Sí"),"")</f>
      </c>
      <c r="AA126">
        <f>IF(Z126&lt;&gt;"",D126&amp;"|"&amp;Z126,"")</f>
      </c>
      <c r="AB126">
        <f>IF(AA126&lt;&gt;"",IF(K126&lt;&gt;"",K126&amp;" ("&amp;M126&amp;")",M126),"")</f>
      </c>
      <c r="AC126">
        <f>IF($B126="","fecha, ","")&amp;IF($C126="","quién lo introduce, ","")&amp;IF($I126="","motivo, ","")&amp;IF($K126="","docente, ","")&amp;IF($L126="","horario, ","")&amp;IF($N126="","duración, ","")&amp;IF($Q126="","estado, ","")&amp;IF(AND($I126="Otros",$J126=""),"detalle del motivo, ","")&amp;IF(AND($O126="Sí",$P126=""),"detalle del refuerzo, ","")&amp;IF(AND(OR($I126="Renuncia (hasta 30 nov)",$I126="Baja (desde 1 dic)",$I126="Renuncia excepcional (art. 25.3)",$I126="Traslado de expediente"),OR($E126="",$F126="",$G126="")),"quién deja la plaza, ","")&amp;IF(AND($Q126="No disponible",$R126=""),"vía de cobertura, ","")&amp;IF(AND(OR($R126="Lista de espera · propio centro",$R126="Traslado de expediente",$R126="Lista de espera · otro centro"),OR($S126="",$T126="",$U126="")),"quién ocupa la plaza, ","")</f>
      </c>
      <c r="AD126" s="24">
        <f>IF($D126="","",IF(AND(LEN($AC126)=0,LEN($AK126)=0),"Completa",IF(LEN($AC126)=0,"Revisar: "&amp;LEFT($AK126,LEN($AK126)-2),"Falta: "&amp;LEFT($AC126,LEN($AC126)-2)&amp;IF(LEN($AK126)&gt;0,"  ·  Revisar: "&amp;LEFT($AK126,LEN($AK126)-2),""))))</f>
      </c>
      <c r="AE126">
        <f>IF(AND($D126&lt;&gt;"",OR($I126="Renuncia (hasta 30 nov)",$I126="Baja (desde 1 dic)",$I126="Renuncia excepcional (art. 25.3)",$I126="Traslado de expediente")),COUNTIF($AE$1:AE125,"&gt;0")+1,"")</f>
      </c>
      <c r="AF126">
        <f>IF($Q126="Disponible",COUNTIF($AF$1:AF125,"&gt;0")+1,"")</f>
      </c>
      <c r="AG126">
        <f>IF($O126="Sí",COUNTIF($AG$1:AG125,"&gt;0")+1,"")</f>
      </c>
      <c r="AH126">
        <f>IF(AND($Q126="Disponible",$O126&lt;&gt;"Sí"),COUNTIF($AH$1:AH125,"&gt;0")+1,"")</f>
      </c>
      <c r="AI126">
        <f>IF(AND($Q126="Disponible",$K126&lt;&gt;""),COUNTIFS($K$2:K126,K126,$Q$2:Q126,"Disponible"),"")</f>
      </c>
      <c r="AJ126">
        <f>IF(AI126&lt;&gt;"",K126&amp;"|"&amp;AI126,"")</f>
      </c>
      <c r="AK126">
        <f>IF(AND($Q126="No disponible",OR($R126="Lista de espera · propio centro",$R126="Traslado de expediente",$R126="Lista de espera · otro centro"),$O126="Sí"),"la plaza ya tiene alumno y sigue marcada como refuerzo, ","")&amp;IF(AND($R126="Reconvertida en refuerzo",$O126&lt;&gt;"Sí"),"reconvertida en refuerzo pero sin marcar «En uso como refuerzo», ","")</f>
      </c>
    </row>
    <row r="127" spans="1:37">
      <c r="A127" s="20">
        <f>IF(D127&lt;&gt;"",ROW()-1,"")</f>
      </c>
      <c r="B127" s="55"/>
      <c r="C127" s="56"/>
      <c r="D127" s="56"/>
      <c r="E127" s="56"/>
      <c r="F127" s="56"/>
      <c r="G127" s="56"/>
      <c r="H127" s="56"/>
      <c r="I127" s="56"/>
      <c r="J127" s="57"/>
      <c r="K127" s="56"/>
      <c r="L127" s="58"/>
      <c r="M127" s="58">
        <f>IF(L127="","",L127)</f>
      </c>
      <c r="N127" s="56"/>
      <c r="O127" s="56"/>
      <c r="P127" s="57"/>
      <c r="Q127" s="56"/>
      <c r="R127" s="56"/>
      <c r="S127" s="56"/>
      <c r="T127" s="56"/>
      <c r="U127" s="56"/>
      <c r="V127" s="57"/>
      <c r="W127">
        <f>IF(Q127="Disponible",COUNTIFS($D$2:D127,D127,$Q$2:Q127,"Disponible"),"")</f>
      </c>
      <c r="X127">
        <f>IF(W127&lt;&gt;"",D127&amp;"|"&amp;W127,"")</f>
      </c>
      <c r="Y127">
        <f>IF(X127&lt;&gt;"",IF(K127&lt;&gt;"",K127&amp;" ("&amp;M127&amp;")",M127),"")</f>
      </c>
      <c r="Z127">
        <f>IF(O127="Sí",COUNTIFS($D$2:D127,D127,$O$2:O127,"Sí"),"")</f>
      </c>
      <c r="AA127">
        <f>IF(Z127&lt;&gt;"",D127&amp;"|"&amp;Z127,"")</f>
      </c>
      <c r="AB127">
        <f>IF(AA127&lt;&gt;"",IF(K127&lt;&gt;"",K127&amp;" ("&amp;M127&amp;")",M127),"")</f>
      </c>
      <c r="AC127">
        <f>IF($B127="","fecha, ","")&amp;IF($C127="","quién lo introduce, ","")&amp;IF($I127="","motivo, ","")&amp;IF($K127="","docente, ","")&amp;IF($L127="","horario, ","")&amp;IF($N127="","duración, ","")&amp;IF($Q127="","estado, ","")&amp;IF(AND($I127="Otros",$J127=""),"detalle del motivo, ","")&amp;IF(AND($O127="Sí",$P127=""),"detalle del refuerzo, ","")&amp;IF(AND(OR($I127="Renuncia (hasta 30 nov)",$I127="Baja (desde 1 dic)",$I127="Renuncia excepcional (art. 25.3)",$I127="Traslado de expediente"),OR($E127="",$F127="",$G127="")),"quién deja la plaza, ","")&amp;IF(AND($Q127="No disponible",$R127=""),"vía de cobertura, ","")&amp;IF(AND(OR($R127="Lista de espera · propio centro",$R127="Traslado de expediente",$R127="Lista de espera · otro centro"),OR($S127="",$T127="",$U127="")),"quién ocupa la plaza, ","")</f>
      </c>
      <c r="AD127" s="24">
        <f>IF($D127="","",IF(AND(LEN($AC127)=0,LEN($AK127)=0),"Completa",IF(LEN($AC127)=0,"Revisar: "&amp;LEFT($AK127,LEN($AK127)-2),"Falta: "&amp;LEFT($AC127,LEN($AC127)-2)&amp;IF(LEN($AK127)&gt;0,"  ·  Revisar: "&amp;LEFT($AK127,LEN($AK127)-2),""))))</f>
      </c>
      <c r="AE127">
        <f>IF(AND($D127&lt;&gt;"",OR($I127="Renuncia (hasta 30 nov)",$I127="Baja (desde 1 dic)",$I127="Renuncia excepcional (art. 25.3)",$I127="Traslado de expediente")),COUNTIF($AE$1:AE126,"&gt;0")+1,"")</f>
      </c>
      <c r="AF127">
        <f>IF($Q127="Disponible",COUNTIF($AF$1:AF126,"&gt;0")+1,"")</f>
      </c>
      <c r="AG127">
        <f>IF($O127="Sí",COUNTIF($AG$1:AG126,"&gt;0")+1,"")</f>
      </c>
      <c r="AH127">
        <f>IF(AND($Q127="Disponible",$O127&lt;&gt;"Sí"),COUNTIF($AH$1:AH126,"&gt;0")+1,"")</f>
      </c>
      <c r="AI127">
        <f>IF(AND($Q127="Disponible",$K127&lt;&gt;""),COUNTIFS($K$2:K127,K127,$Q$2:Q127,"Disponible"),"")</f>
      </c>
      <c r="AJ127">
        <f>IF(AI127&lt;&gt;"",K127&amp;"|"&amp;AI127,"")</f>
      </c>
      <c r="AK127">
        <f>IF(AND($Q127="No disponible",OR($R127="Lista de espera · propio centro",$R127="Traslado de expediente",$R127="Lista de espera · otro centro"),$O127="Sí"),"la plaza ya tiene alumno y sigue marcada como refuerzo, ","")&amp;IF(AND($R127="Reconvertida en refuerzo",$O127&lt;&gt;"Sí"),"reconvertida en refuerzo pero sin marcar «En uso como refuerzo», ","")</f>
      </c>
    </row>
    <row r="128" spans="1:37">
      <c r="A128" s="20">
        <f>IF(D128&lt;&gt;"",ROW()-1,"")</f>
      </c>
      <c r="B128" s="55"/>
      <c r="C128" s="56"/>
      <c r="D128" s="56"/>
      <c r="E128" s="56"/>
      <c r="F128" s="56"/>
      <c r="G128" s="56"/>
      <c r="H128" s="56"/>
      <c r="I128" s="56"/>
      <c r="J128" s="57"/>
      <c r="K128" s="56"/>
      <c r="L128" s="58"/>
      <c r="M128" s="58">
        <f>IF(L128="","",L128)</f>
      </c>
      <c r="N128" s="56"/>
      <c r="O128" s="56"/>
      <c r="P128" s="57"/>
      <c r="Q128" s="56"/>
      <c r="R128" s="56"/>
      <c r="S128" s="56"/>
      <c r="T128" s="56"/>
      <c r="U128" s="56"/>
      <c r="V128" s="57"/>
      <c r="W128">
        <f>IF(Q128="Disponible",COUNTIFS($D$2:D128,D128,$Q$2:Q128,"Disponible"),"")</f>
      </c>
      <c r="X128">
        <f>IF(W128&lt;&gt;"",D128&amp;"|"&amp;W128,"")</f>
      </c>
      <c r="Y128">
        <f>IF(X128&lt;&gt;"",IF(K128&lt;&gt;"",K128&amp;" ("&amp;M128&amp;")",M128),"")</f>
      </c>
      <c r="Z128">
        <f>IF(O128="Sí",COUNTIFS($D$2:D128,D128,$O$2:O128,"Sí"),"")</f>
      </c>
      <c r="AA128">
        <f>IF(Z128&lt;&gt;"",D128&amp;"|"&amp;Z128,"")</f>
      </c>
      <c r="AB128">
        <f>IF(AA128&lt;&gt;"",IF(K128&lt;&gt;"",K128&amp;" ("&amp;M128&amp;")",M128),"")</f>
      </c>
      <c r="AC128">
        <f>IF($B128="","fecha, ","")&amp;IF($C128="","quién lo introduce, ","")&amp;IF($I128="","motivo, ","")&amp;IF($K128="","docente, ","")&amp;IF($L128="","horario, ","")&amp;IF($N128="","duración, ","")&amp;IF($Q128="","estado, ","")&amp;IF(AND($I128="Otros",$J128=""),"detalle del motivo, ","")&amp;IF(AND($O128="Sí",$P128=""),"detalle del refuerzo, ","")&amp;IF(AND(OR($I128="Renuncia (hasta 30 nov)",$I128="Baja (desde 1 dic)",$I128="Renuncia excepcional (art. 25.3)",$I128="Traslado de expediente"),OR($E128="",$F128="",$G128="")),"quién deja la plaza, ","")&amp;IF(AND($Q128="No disponible",$R128=""),"vía de cobertura, ","")&amp;IF(AND(OR($R128="Lista de espera · propio centro",$R128="Traslado de expediente",$R128="Lista de espera · otro centro"),OR($S128="",$T128="",$U128="")),"quién ocupa la plaza, ","")</f>
      </c>
      <c r="AD128" s="24">
        <f>IF($D128="","",IF(AND(LEN($AC128)=0,LEN($AK128)=0),"Completa",IF(LEN($AC128)=0,"Revisar: "&amp;LEFT($AK128,LEN($AK128)-2),"Falta: "&amp;LEFT($AC128,LEN($AC128)-2)&amp;IF(LEN($AK128)&gt;0,"  ·  Revisar: "&amp;LEFT($AK128,LEN($AK128)-2),""))))</f>
      </c>
      <c r="AE128">
        <f>IF(AND($D128&lt;&gt;"",OR($I128="Renuncia (hasta 30 nov)",$I128="Baja (desde 1 dic)",$I128="Renuncia excepcional (art. 25.3)",$I128="Traslado de expediente")),COUNTIF($AE$1:AE127,"&gt;0")+1,"")</f>
      </c>
      <c r="AF128">
        <f>IF($Q128="Disponible",COUNTIF($AF$1:AF127,"&gt;0")+1,"")</f>
      </c>
      <c r="AG128">
        <f>IF($O128="Sí",COUNTIF($AG$1:AG127,"&gt;0")+1,"")</f>
      </c>
      <c r="AH128">
        <f>IF(AND($Q128="Disponible",$O128&lt;&gt;"Sí"),COUNTIF($AH$1:AH127,"&gt;0")+1,"")</f>
      </c>
      <c r="AI128">
        <f>IF(AND($Q128="Disponible",$K128&lt;&gt;""),COUNTIFS($K$2:K128,K128,$Q$2:Q128,"Disponible"),"")</f>
      </c>
      <c r="AJ128">
        <f>IF(AI128&lt;&gt;"",K128&amp;"|"&amp;AI128,"")</f>
      </c>
      <c r="AK128">
        <f>IF(AND($Q128="No disponible",OR($R128="Lista de espera · propio centro",$R128="Traslado de expediente",$R128="Lista de espera · otro centro"),$O128="Sí"),"la plaza ya tiene alumno y sigue marcada como refuerzo, ","")&amp;IF(AND($R128="Reconvertida en refuerzo",$O128&lt;&gt;"Sí"),"reconvertida en refuerzo pero sin marcar «En uso como refuerzo», ","")</f>
      </c>
    </row>
    <row r="129" spans="1:37">
      <c r="A129" s="20">
        <f>IF(D129&lt;&gt;"",ROW()-1,"")</f>
      </c>
      <c r="B129" s="55"/>
      <c r="C129" s="56"/>
      <c r="D129" s="56"/>
      <c r="E129" s="56"/>
      <c r="F129" s="56"/>
      <c r="G129" s="56"/>
      <c r="H129" s="56"/>
      <c r="I129" s="56"/>
      <c r="J129" s="57"/>
      <c r="K129" s="56"/>
      <c r="L129" s="58"/>
      <c r="M129" s="58">
        <f>IF(L129="","",L129)</f>
      </c>
      <c r="N129" s="56"/>
      <c r="O129" s="56"/>
      <c r="P129" s="57"/>
      <c r="Q129" s="56"/>
      <c r="R129" s="56"/>
      <c r="S129" s="56"/>
      <c r="T129" s="56"/>
      <c r="U129" s="56"/>
      <c r="V129" s="57"/>
      <c r="W129">
        <f>IF(Q129="Disponible",COUNTIFS($D$2:D129,D129,$Q$2:Q129,"Disponible"),"")</f>
      </c>
      <c r="X129">
        <f>IF(W129&lt;&gt;"",D129&amp;"|"&amp;W129,"")</f>
      </c>
      <c r="Y129">
        <f>IF(X129&lt;&gt;"",IF(K129&lt;&gt;"",K129&amp;" ("&amp;M129&amp;")",M129),"")</f>
      </c>
      <c r="Z129">
        <f>IF(O129="Sí",COUNTIFS($D$2:D129,D129,$O$2:O129,"Sí"),"")</f>
      </c>
      <c r="AA129">
        <f>IF(Z129&lt;&gt;"",D129&amp;"|"&amp;Z129,"")</f>
      </c>
      <c r="AB129">
        <f>IF(AA129&lt;&gt;"",IF(K129&lt;&gt;"",K129&amp;" ("&amp;M129&amp;")",M129),"")</f>
      </c>
      <c r="AC129">
        <f>IF($B129="","fecha, ","")&amp;IF($C129="","quién lo introduce, ","")&amp;IF($I129="","motivo, ","")&amp;IF($K129="","docente, ","")&amp;IF($L129="","horario, ","")&amp;IF($N129="","duración, ","")&amp;IF($Q129="","estado, ","")&amp;IF(AND($I129="Otros",$J129=""),"detalle del motivo, ","")&amp;IF(AND($O129="Sí",$P129=""),"detalle del refuerzo, ","")&amp;IF(AND(OR($I129="Renuncia (hasta 30 nov)",$I129="Baja (desde 1 dic)",$I129="Renuncia excepcional (art. 25.3)",$I129="Traslado de expediente"),OR($E129="",$F129="",$G129="")),"quién deja la plaza, ","")&amp;IF(AND($Q129="No disponible",$R129=""),"vía de cobertura, ","")&amp;IF(AND(OR($R129="Lista de espera · propio centro",$R129="Traslado de expediente",$R129="Lista de espera · otro centro"),OR($S129="",$T129="",$U129="")),"quién ocupa la plaza, ","")</f>
      </c>
      <c r="AD129" s="24">
        <f>IF($D129="","",IF(AND(LEN($AC129)=0,LEN($AK129)=0),"Completa",IF(LEN($AC129)=0,"Revisar: "&amp;LEFT($AK129,LEN($AK129)-2),"Falta: "&amp;LEFT($AC129,LEN($AC129)-2)&amp;IF(LEN($AK129)&gt;0,"  ·  Revisar: "&amp;LEFT($AK129,LEN($AK129)-2),""))))</f>
      </c>
      <c r="AE129">
        <f>IF(AND($D129&lt;&gt;"",OR($I129="Renuncia (hasta 30 nov)",$I129="Baja (desde 1 dic)",$I129="Renuncia excepcional (art. 25.3)",$I129="Traslado de expediente")),COUNTIF($AE$1:AE128,"&gt;0")+1,"")</f>
      </c>
      <c r="AF129">
        <f>IF($Q129="Disponible",COUNTIF($AF$1:AF128,"&gt;0")+1,"")</f>
      </c>
      <c r="AG129">
        <f>IF($O129="Sí",COUNTIF($AG$1:AG128,"&gt;0")+1,"")</f>
      </c>
      <c r="AH129">
        <f>IF(AND($Q129="Disponible",$O129&lt;&gt;"Sí"),COUNTIF($AH$1:AH128,"&gt;0")+1,"")</f>
      </c>
      <c r="AI129">
        <f>IF(AND($Q129="Disponible",$K129&lt;&gt;""),COUNTIFS($K$2:K129,K129,$Q$2:Q129,"Disponible"),"")</f>
      </c>
      <c r="AJ129">
        <f>IF(AI129&lt;&gt;"",K129&amp;"|"&amp;AI129,"")</f>
      </c>
      <c r="AK129">
        <f>IF(AND($Q129="No disponible",OR($R129="Lista de espera · propio centro",$R129="Traslado de expediente",$R129="Lista de espera · otro centro"),$O129="Sí"),"la plaza ya tiene alumno y sigue marcada como refuerzo, ","")&amp;IF(AND($R129="Reconvertida en refuerzo",$O129&lt;&gt;"Sí"),"reconvertida en refuerzo pero sin marcar «En uso como refuerzo», ","")</f>
      </c>
    </row>
    <row r="130" spans="1:37">
      <c r="A130" s="20">
        <f>IF(D130&lt;&gt;"",ROW()-1,"")</f>
      </c>
      <c r="B130" s="55"/>
      <c r="C130" s="56"/>
      <c r="D130" s="56"/>
      <c r="E130" s="56"/>
      <c r="F130" s="56"/>
      <c r="G130" s="56"/>
      <c r="H130" s="56"/>
      <c r="I130" s="56"/>
      <c r="J130" s="57"/>
      <c r="K130" s="56"/>
      <c r="L130" s="58"/>
      <c r="M130" s="58">
        <f>IF(L130="","",L130)</f>
      </c>
      <c r="N130" s="56"/>
      <c r="O130" s="56"/>
      <c r="P130" s="57"/>
      <c r="Q130" s="56"/>
      <c r="R130" s="56"/>
      <c r="S130" s="56"/>
      <c r="T130" s="56"/>
      <c r="U130" s="56"/>
      <c r="V130" s="57"/>
      <c r="W130">
        <f>IF(Q130="Disponible",COUNTIFS($D$2:D130,D130,$Q$2:Q130,"Disponible"),"")</f>
      </c>
      <c r="X130">
        <f>IF(W130&lt;&gt;"",D130&amp;"|"&amp;W130,"")</f>
      </c>
      <c r="Y130">
        <f>IF(X130&lt;&gt;"",IF(K130&lt;&gt;"",K130&amp;" ("&amp;M130&amp;")",M130),"")</f>
      </c>
      <c r="Z130">
        <f>IF(O130="Sí",COUNTIFS($D$2:D130,D130,$O$2:O130,"Sí"),"")</f>
      </c>
      <c r="AA130">
        <f>IF(Z130&lt;&gt;"",D130&amp;"|"&amp;Z130,"")</f>
      </c>
      <c r="AB130">
        <f>IF(AA130&lt;&gt;"",IF(K130&lt;&gt;"",K130&amp;" ("&amp;M130&amp;")",M130),"")</f>
      </c>
      <c r="AC130">
        <f>IF($B130="","fecha, ","")&amp;IF($C130="","quién lo introduce, ","")&amp;IF($I130="","motivo, ","")&amp;IF($K130="","docente, ","")&amp;IF($L130="","horario, ","")&amp;IF($N130="","duración, ","")&amp;IF($Q130="","estado, ","")&amp;IF(AND($I130="Otros",$J130=""),"detalle del motivo, ","")&amp;IF(AND($O130="Sí",$P130=""),"detalle del refuerzo, ","")&amp;IF(AND(OR($I130="Renuncia (hasta 30 nov)",$I130="Baja (desde 1 dic)",$I130="Renuncia excepcional (art. 25.3)",$I130="Traslado de expediente"),OR($E130="",$F130="",$G130="")),"quién deja la plaza, ","")&amp;IF(AND($Q130="No disponible",$R130=""),"vía de cobertura, ","")&amp;IF(AND(OR($R130="Lista de espera · propio centro",$R130="Traslado de expediente",$R130="Lista de espera · otro centro"),OR($S130="",$T130="",$U130="")),"quién ocupa la plaza, ","")</f>
      </c>
      <c r="AD130" s="24">
        <f>IF($D130="","",IF(AND(LEN($AC130)=0,LEN($AK130)=0),"Completa",IF(LEN($AC130)=0,"Revisar: "&amp;LEFT($AK130,LEN($AK130)-2),"Falta: "&amp;LEFT($AC130,LEN($AC130)-2)&amp;IF(LEN($AK130)&gt;0,"  ·  Revisar: "&amp;LEFT($AK130,LEN($AK130)-2),""))))</f>
      </c>
      <c r="AE130">
        <f>IF(AND($D130&lt;&gt;"",OR($I130="Renuncia (hasta 30 nov)",$I130="Baja (desde 1 dic)",$I130="Renuncia excepcional (art. 25.3)",$I130="Traslado de expediente")),COUNTIF($AE$1:AE129,"&gt;0")+1,"")</f>
      </c>
      <c r="AF130">
        <f>IF($Q130="Disponible",COUNTIF($AF$1:AF129,"&gt;0")+1,"")</f>
      </c>
      <c r="AG130">
        <f>IF($O130="Sí",COUNTIF($AG$1:AG129,"&gt;0")+1,"")</f>
      </c>
      <c r="AH130">
        <f>IF(AND($Q130="Disponible",$O130&lt;&gt;"Sí"),COUNTIF($AH$1:AH129,"&gt;0")+1,"")</f>
      </c>
      <c r="AI130">
        <f>IF(AND($Q130="Disponible",$K130&lt;&gt;""),COUNTIFS($K$2:K130,K130,$Q$2:Q130,"Disponible"),"")</f>
      </c>
      <c r="AJ130">
        <f>IF(AI130&lt;&gt;"",K130&amp;"|"&amp;AI130,"")</f>
      </c>
      <c r="AK130">
        <f>IF(AND($Q130="No disponible",OR($R130="Lista de espera · propio centro",$R130="Traslado de expediente",$R130="Lista de espera · otro centro"),$O130="Sí"),"la plaza ya tiene alumno y sigue marcada como refuerzo, ","")&amp;IF(AND($R130="Reconvertida en refuerzo",$O130&lt;&gt;"Sí"),"reconvertida en refuerzo pero sin marcar «En uso como refuerzo», ","")</f>
      </c>
    </row>
    <row r="131" spans="1:37">
      <c r="A131" s="20">
        <f>IF(D131&lt;&gt;"",ROW()-1,"")</f>
      </c>
      <c r="B131" s="55"/>
      <c r="C131" s="56"/>
      <c r="D131" s="56"/>
      <c r="E131" s="56"/>
      <c r="F131" s="56"/>
      <c r="G131" s="56"/>
      <c r="H131" s="56"/>
      <c r="I131" s="56"/>
      <c r="J131" s="57"/>
      <c r="K131" s="56"/>
      <c r="L131" s="58"/>
      <c r="M131" s="58">
        <f>IF(L131="","",L131)</f>
      </c>
      <c r="N131" s="56"/>
      <c r="O131" s="56"/>
      <c r="P131" s="57"/>
      <c r="Q131" s="56"/>
      <c r="R131" s="56"/>
      <c r="S131" s="56"/>
      <c r="T131" s="56"/>
      <c r="U131" s="56"/>
      <c r="V131" s="57"/>
      <c r="W131">
        <f>IF(Q131="Disponible",COUNTIFS($D$2:D131,D131,$Q$2:Q131,"Disponible"),"")</f>
      </c>
      <c r="X131">
        <f>IF(W131&lt;&gt;"",D131&amp;"|"&amp;W131,"")</f>
      </c>
      <c r="Y131">
        <f>IF(X131&lt;&gt;"",IF(K131&lt;&gt;"",K131&amp;" ("&amp;M131&amp;")",M131),"")</f>
      </c>
      <c r="Z131">
        <f>IF(O131="Sí",COUNTIFS($D$2:D131,D131,$O$2:O131,"Sí"),"")</f>
      </c>
      <c r="AA131">
        <f>IF(Z131&lt;&gt;"",D131&amp;"|"&amp;Z131,"")</f>
      </c>
      <c r="AB131">
        <f>IF(AA131&lt;&gt;"",IF(K131&lt;&gt;"",K131&amp;" ("&amp;M131&amp;")",M131),"")</f>
      </c>
      <c r="AC131">
        <f>IF($B131="","fecha, ","")&amp;IF($C131="","quién lo introduce, ","")&amp;IF($I131="","motivo, ","")&amp;IF($K131="","docente, ","")&amp;IF($L131="","horario, ","")&amp;IF($N131="","duración, ","")&amp;IF($Q131="","estado, ","")&amp;IF(AND($I131="Otros",$J131=""),"detalle del motivo, ","")&amp;IF(AND($O131="Sí",$P131=""),"detalle del refuerzo, ","")&amp;IF(AND(OR($I131="Renuncia (hasta 30 nov)",$I131="Baja (desde 1 dic)",$I131="Renuncia excepcional (art. 25.3)",$I131="Traslado de expediente"),OR($E131="",$F131="",$G131="")),"quién deja la plaza, ","")&amp;IF(AND($Q131="No disponible",$R131=""),"vía de cobertura, ","")&amp;IF(AND(OR($R131="Lista de espera · propio centro",$R131="Traslado de expediente",$R131="Lista de espera · otro centro"),OR($S131="",$T131="",$U131="")),"quién ocupa la plaza, ","")</f>
      </c>
      <c r="AD131" s="24">
        <f>IF($D131="","",IF(AND(LEN($AC131)=0,LEN($AK131)=0),"Completa",IF(LEN($AC131)=0,"Revisar: "&amp;LEFT($AK131,LEN($AK131)-2),"Falta: "&amp;LEFT($AC131,LEN($AC131)-2)&amp;IF(LEN($AK131)&gt;0,"  ·  Revisar: "&amp;LEFT($AK131,LEN($AK131)-2),""))))</f>
      </c>
      <c r="AE131">
        <f>IF(AND($D131&lt;&gt;"",OR($I131="Renuncia (hasta 30 nov)",$I131="Baja (desde 1 dic)",$I131="Renuncia excepcional (art. 25.3)",$I131="Traslado de expediente")),COUNTIF($AE$1:AE130,"&gt;0")+1,"")</f>
      </c>
      <c r="AF131">
        <f>IF($Q131="Disponible",COUNTIF($AF$1:AF130,"&gt;0")+1,"")</f>
      </c>
      <c r="AG131">
        <f>IF($O131="Sí",COUNTIF($AG$1:AG130,"&gt;0")+1,"")</f>
      </c>
      <c r="AH131">
        <f>IF(AND($Q131="Disponible",$O131&lt;&gt;"Sí"),COUNTIF($AH$1:AH130,"&gt;0")+1,"")</f>
      </c>
      <c r="AI131">
        <f>IF(AND($Q131="Disponible",$K131&lt;&gt;""),COUNTIFS($K$2:K131,K131,$Q$2:Q131,"Disponible"),"")</f>
      </c>
      <c r="AJ131">
        <f>IF(AI131&lt;&gt;"",K131&amp;"|"&amp;AI131,"")</f>
      </c>
      <c r="AK131">
        <f>IF(AND($Q131="No disponible",OR($R131="Lista de espera · propio centro",$R131="Traslado de expediente",$R131="Lista de espera · otro centro"),$O131="Sí"),"la plaza ya tiene alumno y sigue marcada como refuerzo, ","")&amp;IF(AND($R131="Reconvertida en refuerzo",$O131&lt;&gt;"Sí"),"reconvertida en refuerzo pero sin marcar «En uso como refuerzo», ","")</f>
      </c>
    </row>
    <row r="132" spans="1:37">
      <c r="A132" s="20">
        <f>IF(D132&lt;&gt;"",ROW()-1,"")</f>
      </c>
      <c r="B132" s="55"/>
      <c r="C132" s="56"/>
      <c r="D132" s="56"/>
      <c r="E132" s="56"/>
      <c r="F132" s="56"/>
      <c r="G132" s="56"/>
      <c r="H132" s="56"/>
      <c r="I132" s="56"/>
      <c r="J132" s="57"/>
      <c r="K132" s="56"/>
      <c r="L132" s="58"/>
      <c r="M132" s="58">
        <f>IF(L132="","",L132)</f>
      </c>
      <c r="N132" s="56"/>
      <c r="O132" s="56"/>
      <c r="P132" s="57"/>
      <c r="Q132" s="56"/>
      <c r="R132" s="56"/>
      <c r="S132" s="56"/>
      <c r="T132" s="56"/>
      <c r="U132" s="56"/>
      <c r="V132" s="57"/>
      <c r="W132">
        <f>IF(Q132="Disponible",COUNTIFS($D$2:D132,D132,$Q$2:Q132,"Disponible"),"")</f>
      </c>
      <c r="X132">
        <f>IF(W132&lt;&gt;"",D132&amp;"|"&amp;W132,"")</f>
      </c>
      <c r="Y132">
        <f>IF(X132&lt;&gt;"",IF(K132&lt;&gt;"",K132&amp;" ("&amp;M132&amp;")",M132),"")</f>
      </c>
      <c r="Z132">
        <f>IF(O132="Sí",COUNTIFS($D$2:D132,D132,$O$2:O132,"Sí"),"")</f>
      </c>
      <c r="AA132">
        <f>IF(Z132&lt;&gt;"",D132&amp;"|"&amp;Z132,"")</f>
      </c>
      <c r="AB132">
        <f>IF(AA132&lt;&gt;"",IF(K132&lt;&gt;"",K132&amp;" ("&amp;M132&amp;")",M132),"")</f>
      </c>
      <c r="AC132">
        <f>IF($B132="","fecha, ","")&amp;IF($C132="","quién lo introduce, ","")&amp;IF($I132="","motivo, ","")&amp;IF($K132="","docente, ","")&amp;IF($L132="","horario, ","")&amp;IF($N132="","duración, ","")&amp;IF($Q132="","estado, ","")&amp;IF(AND($I132="Otros",$J132=""),"detalle del motivo, ","")&amp;IF(AND($O132="Sí",$P132=""),"detalle del refuerzo, ","")&amp;IF(AND(OR($I132="Renuncia (hasta 30 nov)",$I132="Baja (desde 1 dic)",$I132="Renuncia excepcional (art. 25.3)",$I132="Traslado de expediente"),OR($E132="",$F132="",$G132="")),"quién deja la plaza, ","")&amp;IF(AND($Q132="No disponible",$R132=""),"vía de cobertura, ","")&amp;IF(AND(OR($R132="Lista de espera · propio centro",$R132="Traslado de expediente",$R132="Lista de espera · otro centro"),OR($S132="",$T132="",$U132="")),"quién ocupa la plaza, ","")</f>
      </c>
      <c r="AD132" s="24">
        <f>IF($D132="","",IF(AND(LEN($AC132)=0,LEN($AK132)=0),"Completa",IF(LEN($AC132)=0,"Revisar: "&amp;LEFT($AK132,LEN($AK132)-2),"Falta: "&amp;LEFT($AC132,LEN($AC132)-2)&amp;IF(LEN($AK132)&gt;0,"  ·  Revisar: "&amp;LEFT($AK132,LEN($AK132)-2),""))))</f>
      </c>
      <c r="AE132">
        <f>IF(AND($D132&lt;&gt;"",OR($I132="Renuncia (hasta 30 nov)",$I132="Baja (desde 1 dic)",$I132="Renuncia excepcional (art. 25.3)",$I132="Traslado de expediente")),COUNTIF($AE$1:AE131,"&gt;0")+1,"")</f>
      </c>
      <c r="AF132">
        <f>IF($Q132="Disponible",COUNTIF($AF$1:AF131,"&gt;0")+1,"")</f>
      </c>
      <c r="AG132">
        <f>IF($O132="Sí",COUNTIF($AG$1:AG131,"&gt;0")+1,"")</f>
      </c>
      <c r="AH132">
        <f>IF(AND($Q132="Disponible",$O132&lt;&gt;"Sí"),COUNTIF($AH$1:AH131,"&gt;0")+1,"")</f>
      </c>
      <c r="AI132">
        <f>IF(AND($Q132="Disponible",$K132&lt;&gt;""),COUNTIFS($K$2:K132,K132,$Q$2:Q132,"Disponible"),"")</f>
      </c>
      <c r="AJ132">
        <f>IF(AI132&lt;&gt;"",K132&amp;"|"&amp;AI132,"")</f>
      </c>
      <c r="AK132">
        <f>IF(AND($Q132="No disponible",OR($R132="Lista de espera · propio centro",$R132="Traslado de expediente",$R132="Lista de espera · otro centro"),$O132="Sí"),"la plaza ya tiene alumno y sigue marcada como refuerzo, ","")&amp;IF(AND($R132="Reconvertida en refuerzo",$O132&lt;&gt;"Sí"),"reconvertida en refuerzo pero sin marcar «En uso como refuerzo», ","")</f>
      </c>
    </row>
    <row r="133" spans="1:37">
      <c r="A133" s="20">
        <f>IF(D133&lt;&gt;"",ROW()-1,"")</f>
      </c>
      <c r="B133" s="55"/>
      <c r="C133" s="56"/>
      <c r="D133" s="56"/>
      <c r="E133" s="56"/>
      <c r="F133" s="56"/>
      <c r="G133" s="56"/>
      <c r="H133" s="56"/>
      <c r="I133" s="56"/>
      <c r="J133" s="57"/>
      <c r="K133" s="56"/>
      <c r="L133" s="58"/>
      <c r="M133" s="58">
        <f>IF(L133="","",L133)</f>
      </c>
      <c r="N133" s="56"/>
      <c r="O133" s="56"/>
      <c r="P133" s="57"/>
      <c r="Q133" s="56"/>
      <c r="R133" s="56"/>
      <c r="S133" s="56"/>
      <c r="T133" s="56"/>
      <c r="U133" s="56"/>
      <c r="V133" s="57"/>
      <c r="W133">
        <f>IF(Q133="Disponible",COUNTIFS($D$2:D133,D133,$Q$2:Q133,"Disponible"),"")</f>
      </c>
      <c r="X133">
        <f>IF(W133&lt;&gt;"",D133&amp;"|"&amp;W133,"")</f>
      </c>
      <c r="Y133">
        <f>IF(X133&lt;&gt;"",IF(K133&lt;&gt;"",K133&amp;" ("&amp;M133&amp;")",M133),"")</f>
      </c>
      <c r="Z133">
        <f>IF(O133="Sí",COUNTIFS($D$2:D133,D133,$O$2:O133,"Sí"),"")</f>
      </c>
      <c r="AA133">
        <f>IF(Z133&lt;&gt;"",D133&amp;"|"&amp;Z133,"")</f>
      </c>
      <c r="AB133">
        <f>IF(AA133&lt;&gt;"",IF(K133&lt;&gt;"",K133&amp;" ("&amp;M133&amp;")",M133),"")</f>
      </c>
      <c r="AC133">
        <f>IF($B133="","fecha, ","")&amp;IF($C133="","quién lo introduce, ","")&amp;IF($I133="","motivo, ","")&amp;IF($K133="","docente, ","")&amp;IF($L133="","horario, ","")&amp;IF($N133="","duración, ","")&amp;IF($Q133="","estado, ","")&amp;IF(AND($I133="Otros",$J133=""),"detalle del motivo, ","")&amp;IF(AND($O133="Sí",$P133=""),"detalle del refuerzo, ","")&amp;IF(AND(OR($I133="Renuncia (hasta 30 nov)",$I133="Baja (desde 1 dic)",$I133="Renuncia excepcional (art. 25.3)",$I133="Traslado de expediente"),OR($E133="",$F133="",$G133="")),"quién deja la plaza, ","")&amp;IF(AND($Q133="No disponible",$R133=""),"vía de cobertura, ","")&amp;IF(AND(OR($R133="Lista de espera · propio centro",$R133="Traslado de expediente",$R133="Lista de espera · otro centro"),OR($S133="",$T133="",$U133="")),"quién ocupa la plaza, ","")</f>
      </c>
      <c r="AD133" s="24">
        <f>IF($D133="","",IF(AND(LEN($AC133)=0,LEN($AK133)=0),"Completa",IF(LEN($AC133)=0,"Revisar: "&amp;LEFT($AK133,LEN($AK133)-2),"Falta: "&amp;LEFT($AC133,LEN($AC133)-2)&amp;IF(LEN($AK133)&gt;0,"  ·  Revisar: "&amp;LEFT($AK133,LEN($AK133)-2),""))))</f>
      </c>
      <c r="AE133">
        <f>IF(AND($D133&lt;&gt;"",OR($I133="Renuncia (hasta 30 nov)",$I133="Baja (desde 1 dic)",$I133="Renuncia excepcional (art. 25.3)",$I133="Traslado de expediente")),COUNTIF($AE$1:AE132,"&gt;0")+1,"")</f>
      </c>
      <c r="AF133">
        <f>IF($Q133="Disponible",COUNTIF($AF$1:AF132,"&gt;0")+1,"")</f>
      </c>
      <c r="AG133">
        <f>IF($O133="Sí",COUNTIF($AG$1:AG132,"&gt;0")+1,"")</f>
      </c>
      <c r="AH133">
        <f>IF(AND($Q133="Disponible",$O133&lt;&gt;"Sí"),COUNTIF($AH$1:AH132,"&gt;0")+1,"")</f>
      </c>
      <c r="AI133">
        <f>IF(AND($Q133="Disponible",$K133&lt;&gt;""),COUNTIFS($K$2:K133,K133,$Q$2:Q133,"Disponible"),"")</f>
      </c>
      <c r="AJ133">
        <f>IF(AI133&lt;&gt;"",K133&amp;"|"&amp;AI133,"")</f>
      </c>
      <c r="AK133">
        <f>IF(AND($Q133="No disponible",OR($R133="Lista de espera · propio centro",$R133="Traslado de expediente",$R133="Lista de espera · otro centro"),$O133="Sí"),"la plaza ya tiene alumno y sigue marcada como refuerzo, ","")&amp;IF(AND($R133="Reconvertida en refuerzo",$O133&lt;&gt;"Sí"),"reconvertida en refuerzo pero sin marcar «En uso como refuerzo», ","")</f>
      </c>
    </row>
    <row r="134" spans="1:37">
      <c r="A134" s="20">
        <f>IF(D134&lt;&gt;"",ROW()-1,"")</f>
      </c>
      <c r="B134" s="55"/>
      <c r="C134" s="56"/>
      <c r="D134" s="56"/>
      <c r="E134" s="56"/>
      <c r="F134" s="56"/>
      <c r="G134" s="56"/>
      <c r="H134" s="56"/>
      <c r="I134" s="56"/>
      <c r="J134" s="57"/>
      <c r="K134" s="56"/>
      <c r="L134" s="58"/>
      <c r="M134" s="58">
        <f>IF(L134="","",L134)</f>
      </c>
      <c r="N134" s="56"/>
      <c r="O134" s="56"/>
      <c r="P134" s="57"/>
      <c r="Q134" s="56"/>
      <c r="R134" s="56"/>
      <c r="S134" s="56"/>
      <c r="T134" s="56"/>
      <c r="U134" s="56"/>
      <c r="V134" s="57"/>
      <c r="W134">
        <f>IF(Q134="Disponible",COUNTIFS($D$2:D134,D134,$Q$2:Q134,"Disponible"),"")</f>
      </c>
      <c r="X134">
        <f>IF(W134&lt;&gt;"",D134&amp;"|"&amp;W134,"")</f>
      </c>
      <c r="Y134">
        <f>IF(X134&lt;&gt;"",IF(K134&lt;&gt;"",K134&amp;" ("&amp;M134&amp;")",M134),"")</f>
      </c>
      <c r="Z134">
        <f>IF(O134="Sí",COUNTIFS($D$2:D134,D134,$O$2:O134,"Sí"),"")</f>
      </c>
      <c r="AA134">
        <f>IF(Z134&lt;&gt;"",D134&amp;"|"&amp;Z134,"")</f>
      </c>
      <c r="AB134">
        <f>IF(AA134&lt;&gt;"",IF(K134&lt;&gt;"",K134&amp;" ("&amp;M134&amp;")",M134),"")</f>
      </c>
      <c r="AC134">
        <f>IF($B134="","fecha, ","")&amp;IF($C134="","quién lo introduce, ","")&amp;IF($I134="","motivo, ","")&amp;IF($K134="","docente, ","")&amp;IF($L134="","horario, ","")&amp;IF($N134="","duración, ","")&amp;IF($Q134="","estado, ","")&amp;IF(AND($I134="Otros",$J134=""),"detalle del motivo, ","")&amp;IF(AND($O134="Sí",$P134=""),"detalle del refuerzo, ","")&amp;IF(AND(OR($I134="Renuncia (hasta 30 nov)",$I134="Baja (desde 1 dic)",$I134="Renuncia excepcional (art. 25.3)",$I134="Traslado de expediente"),OR($E134="",$F134="",$G134="")),"quién deja la plaza, ","")&amp;IF(AND($Q134="No disponible",$R134=""),"vía de cobertura, ","")&amp;IF(AND(OR($R134="Lista de espera · propio centro",$R134="Traslado de expediente",$R134="Lista de espera · otro centro"),OR($S134="",$T134="",$U134="")),"quién ocupa la plaza, ","")</f>
      </c>
      <c r="AD134" s="24">
        <f>IF($D134="","",IF(AND(LEN($AC134)=0,LEN($AK134)=0),"Completa",IF(LEN($AC134)=0,"Revisar: "&amp;LEFT($AK134,LEN($AK134)-2),"Falta: "&amp;LEFT($AC134,LEN($AC134)-2)&amp;IF(LEN($AK134)&gt;0,"  ·  Revisar: "&amp;LEFT($AK134,LEN($AK134)-2),""))))</f>
      </c>
      <c r="AE134">
        <f>IF(AND($D134&lt;&gt;"",OR($I134="Renuncia (hasta 30 nov)",$I134="Baja (desde 1 dic)",$I134="Renuncia excepcional (art. 25.3)",$I134="Traslado de expediente")),COUNTIF($AE$1:AE133,"&gt;0")+1,"")</f>
      </c>
      <c r="AF134">
        <f>IF($Q134="Disponible",COUNTIF($AF$1:AF133,"&gt;0")+1,"")</f>
      </c>
      <c r="AG134">
        <f>IF($O134="Sí",COUNTIF($AG$1:AG133,"&gt;0")+1,"")</f>
      </c>
      <c r="AH134">
        <f>IF(AND($Q134="Disponible",$O134&lt;&gt;"Sí"),COUNTIF($AH$1:AH133,"&gt;0")+1,"")</f>
      </c>
      <c r="AI134">
        <f>IF(AND($Q134="Disponible",$K134&lt;&gt;""),COUNTIFS($K$2:K134,K134,$Q$2:Q134,"Disponible"),"")</f>
      </c>
      <c r="AJ134">
        <f>IF(AI134&lt;&gt;"",K134&amp;"|"&amp;AI134,"")</f>
      </c>
      <c r="AK134">
        <f>IF(AND($Q134="No disponible",OR($R134="Lista de espera · propio centro",$R134="Traslado de expediente",$R134="Lista de espera · otro centro"),$O134="Sí"),"la plaza ya tiene alumno y sigue marcada como refuerzo, ","")&amp;IF(AND($R134="Reconvertida en refuerzo",$O134&lt;&gt;"Sí"),"reconvertida en refuerzo pero sin marcar «En uso como refuerzo», ","")</f>
      </c>
    </row>
    <row r="135" spans="1:37">
      <c r="A135" s="20">
        <f>IF(D135&lt;&gt;"",ROW()-1,"")</f>
      </c>
      <c r="B135" s="55"/>
      <c r="C135" s="56"/>
      <c r="D135" s="56"/>
      <c r="E135" s="56"/>
      <c r="F135" s="56"/>
      <c r="G135" s="56"/>
      <c r="H135" s="56"/>
      <c r="I135" s="56"/>
      <c r="J135" s="57"/>
      <c r="K135" s="56"/>
      <c r="L135" s="58"/>
      <c r="M135" s="58">
        <f>IF(L135="","",L135)</f>
      </c>
      <c r="N135" s="56"/>
      <c r="O135" s="56"/>
      <c r="P135" s="57"/>
      <c r="Q135" s="56"/>
      <c r="R135" s="56"/>
      <c r="S135" s="56"/>
      <c r="T135" s="56"/>
      <c r="U135" s="56"/>
      <c r="V135" s="57"/>
      <c r="W135">
        <f>IF(Q135="Disponible",COUNTIFS($D$2:D135,D135,$Q$2:Q135,"Disponible"),"")</f>
      </c>
      <c r="X135">
        <f>IF(W135&lt;&gt;"",D135&amp;"|"&amp;W135,"")</f>
      </c>
      <c r="Y135">
        <f>IF(X135&lt;&gt;"",IF(K135&lt;&gt;"",K135&amp;" ("&amp;M135&amp;")",M135),"")</f>
      </c>
      <c r="Z135">
        <f>IF(O135="Sí",COUNTIFS($D$2:D135,D135,$O$2:O135,"Sí"),"")</f>
      </c>
      <c r="AA135">
        <f>IF(Z135&lt;&gt;"",D135&amp;"|"&amp;Z135,"")</f>
      </c>
      <c r="AB135">
        <f>IF(AA135&lt;&gt;"",IF(K135&lt;&gt;"",K135&amp;" ("&amp;M135&amp;")",M135),"")</f>
      </c>
      <c r="AC135">
        <f>IF($B135="","fecha, ","")&amp;IF($C135="","quién lo introduce, ","")&amp;IF($I135="","motivo, ","")&amp;IF($K135="","docente, ","")&amp;IF($L135="","horario, ","")&amp;IF($N135="","duración, ","")&amp;IF($Q135="","estado, ","")&amp;IF(AND($I135="Otros",$J135=""),"detalle del motivo, ","")&amp;IF(AND($O135="Sí",$P135=""),"detalle del refuerzo, ","")&amp;IF(AND(OR($I135="Renuncia (hasta 30 nov)",$I135="Baja (desde 1 dic)",$I135="Renuncia excepcional (art. 25.3)",$I135="Traslado de expediente"),OR($E135="",$F135="",$G135="")),"quién deja la plaza, ","")&amp;IF(AND($Q135="No disponible",$R135=""),"vía de cobertura, ","")&amp;IF(AND(OR($R135="Lista de espera · propio centro",$R135="Traslado de expediente",$R135="Lista de espera · otro centro"),OR($S135="",$T135="",$U135="")),"quién ocupa la plaza, ","")</f>
      </c>
      <c r="AD135" s="24">
        <f>IF($D135="","",IF(AND(LEN($AC135)=0,LEN($AK135)=0),"Completa",IF(LEN($AC135)=0,"Revisar: "&amp;LEFT($AK135,LEN($AK135)-2),"Falta: "&amp;LEFT($AC135,LEN($AC135)-2)&amp;IF(LEN($AK135)&gt;0,"  ·  Revisar: "&amp;LEFT($AK135,LEN($AK135)-2),""))))</f>
      </c>
      <c r="AE135">
        <f>IF(AND($D135&lt;&gt;"",OR($I135="Renuncia (hasta 30 nov)",$I135="Baja (desde 1 dic)",$I135="Renuncia excepcional (art. 25.3)",$I135="Traslado de expediente")),COUNTIF($AE$1:AE134,"&gt;0")+1,"")</f>
      </c>
      <c r="AF135">
        <f>IF($Q135="Disponible",COUNTIF($AF$1:AF134,"&gt;0")+1,"")</f>
      </c>
      <c r="AG135">
        <f>IF($O135="Sí",COUNTIF($AG$1:AG134,"&gt;0")+1,"")</f>
      </c>
      <c r="AH135">
        <f>IF(AND($Q135="Disponible",$O135&lt;&gt;"Sí"),COUNTIF($AH$1:AH134,"&gt;0")+1,"")</f>
      </c>
      <c r="AI135">
        <f>IF(AND($Q135="Disponible",$K135&lt;&gt;""),COUNTIFS($K$2:K135,K135,$Q$2:Q135,"Disponible"),"")</f>
      </c>
      <c r="AJ135">
        <f>IF(AI135&lt;&gt;"",K135&amp;"|"&amp;AI135,"")</f>
      </c>
      <c r="AK135">
        <f>IF(AND($Q135="No disponible",OR($R135="Lista de espera · propio centro",$R135="Traslado de expediente",$R135="Lista de espera · otro centro"),$O135="Sí"),"la plaza ya tiene alumno y sigue marcada como refuerzo, ","")&amp;IF(AND($R135="Reconvertida en refuerzo",$O135&lt;&gt;"Sí"),"reconvertida en refuerzo pero sin marcar «En uso como refuerzo», ","")</f>
      </c>
    </row>
    <row r="136" spans="1:37">
      <c r="A136" s="20">
        <f>IF(D136&lt;&gt;"",ROW()-1,"")</f>
      </c>
      <c r="B136" s="55"/>
      <c r="C136" s="56"/>
      <c r="D136" s="56"/>
      <c r="E136" s="56"/>
      <c r="F136" s="56"/>
      <c r="G136" s="56"/>
      <c r="H136" s="56"/>
      <c r="I136" s="56"/>
      <c r="J136" s="57"/>
      <c r="K136" s="56"/>
      <c r="L136" s="58"/>
      <c r="M136" s="58">
        <f>IF(L136="","",L136)</f>
      </c>
      <c r="N136" s="56"/>
      <c r="O136" s="56"/>
      <c r="P136" s="57"/>
      <c r="Q136" s="56"/>
      <c r="R136" s="56"/>
      <c r="S136" s="56"/>
      <c r="T136" s="56"/>
      <c r="U136" s="56"/>
      <c r="V136" s="57"/>
      <c r="W136">
        <f>IF(Q136="Disponible",COUNTIFS($D$2:D136,D136,$Q$2:Q136,"Disponible"),"")</f>
      </c>
      <c r="X136">
        <f>IF(W136&lt;&gt;"",D136&amp;"|"&amp;W136,"")</f>
      </c>
      <c r="Y136">
        <f>IF(X136&lt;&gt;"",IF(K136&lt;&gt;"",K136&amp;" ("&amp;M136&amp;")",M136),"")</f>
      </c>
      <c r="Z136">
        <f>IF(O136="Sí",COUNTIFS($D$2:D136,D136,$O$2:O136,"Sí"),"")</f>
      </c>
      <c r="AA136">
        <f>IF(Z136&lt;&gt;"",D136&amp;"|"&amp;Z136,"")</f>
      </c>
      <c r="AB136">
        <f>IF(AA136&lt;&gt;"",IF(K136&lt;&gt;"",K136&amp;" ("&amp;M136&amp;")",M136),"")</f>
      </c>
      <c r="AC136">
        <f>IF($B136="","fecha, ","")&amp;IF($C136="","quién lo introduce, ","")&amp;IF($I136="","motivo, ","")&amp;IF($K136="","docente, ","")&amp;IF($L136="","horario, ","")&amp;IF($N136="","duración, ","")&amp;IF($Q136="","estado, ","")&amp;IF(AND($I136="Otros",$J136=""),"detalle del motivo, ","")&amp;IF(AND($O136="Sí",$P136=""),"detalle del refuerzo, ","")&amp;IF(AND(OR($I136="Renuncia (hasta 30 nov)",$I136="Baja (desde 1 dic)",$I136="Renuncia excepcional (art. 25.3)",$I136="Traslado de expediente"),OR($E136="",$F136="",$G136="")),"quién deja la plaza, ","")&amp;IF(AND($Q136="No disponible",$R136=""),"vía de cobertura, ","")&amp;IF(AND(OR($R136="Lista de espera · propio centro",$R136="Traslado de expediente",$R136="Lista de espera · otro centro"),OR($S136="",$T136="",$U136="")),"quién ocupa la plaza, ","")</f>
      </c>
      <c r="AD136" s="24">
        <f>IF($D136="","",IF(AND(LEN($AC136)=0,LEN($AK136)=0),"Completa",IF(LEN($AC136)=0,"Revisar: "&amp;LEFT($AK136,LEN($AK136)-2),"Falta: "&amp;LEFT($AC136,LEN($AC136)-2)&amp;IF(LEN($AK136)&gt;0,"  ·  Revisar: "&amp;LEFT($AK136,LEN($AK136)-2),""))))</f>
      </c>
      <c r="AE136">
        <f>IF(AND($D136&lt;&gt;"",OR($I136="Renuncia (hasta 30 nov)",$I136="Baja (desde 1 dic)",$I136="Renuncia excepcional (art. 25.3)",$I136="Traslado de expediente")),COUNTIF($AE$1:AE135,"&gt;0")+1,"")</f>
      </c>
      <c r="AF136">
        <f>IF($Q136="Disponible",COUNTIF($AF$1:AF135,"&gt;0")+1,"")</f>
      </c>
      <c r="AG136">
        <f>IF($O136="Sí",COUNTIF($AG$1:AG135,"&gt;0")+1,"")</f>
      </c>
      <c r="AH136">
        <f>IF(AND($Q136="Disponible",$O136&lt;&gt;"Sí"),COUNTIF($AH$1:AH135,"&gt;0")+1,"")</f>
      </c>
      <c r="AI136">
        <f>IF(AND($Q136="Disponible",$K136&lt;&gt;""),COUNTIFS($K$2:K136,K136,$Q$2:Q136,"Disponible"),"")</f>
      </c>
      <c r="AJ136">
        <f>IF(AI136&lt;&gt;"",K136&amp;"|"&amp;AI136,"")</f>
      </c>
      <c r="AK136">
        <f>IF(AND($Q136="No disponible",OR($R136="Lista de espera · propio centro",$R136="Traslado de expediente",$R136="Lista de espera · otro centro"),$O136="Sí"),"la plaza ya tiene alumno y sigue marcada como refuerzo, ","")&amp;IF(AND($R136="Reconvertida en refuerzo",$O136&lt;&gt;"Sí"),"reconvertida en refuerzo pero sin marcar «En uso como refuerzo», ","")</f>
      </c>
    </row>
    <row r="137" spans="1:37">
      <c r="A137" s="20">
        <f>IF(D137&lt;&gt;"",ROW()-1,"")</f>
      </c>
      <c r="B137" s="55"/>
      <c r="C137" s="56"/>
      <c r="D137" s="56"/>
      <c r="E137" s="56"/>
      <c r="F137" s="56"/>
      <c r="G137" s="56"/>
      <c r="H137" s="56"/>
      <c r="I137" s="56"/>
      <c r="J137" s="57"/>
      <c r="K137" s="56"/>
      <c r="L137" s="58"/>
      <c r="M137" s="58">
        <f>IF(L137="","",L137)</f>
      </c>
      <c r="N137" s="56"/>
      <c r="O137" s="56"/>
      <c r="P137" s="57"/>
      <c r="Q137" s="56"/>
      <c r="R137" s="56"/>
      <c r="S137" s="56"/>
      <c r="T137" s="56"/>
      <c r="U137" s="56"/>
      <c r="V137" s="57"/>
      <c r="W137">
        <f>IF(Q137="Disponible",COUNTIFS($D$2:D137,D137,$Q$2:Q137,"Disponible"),"")</f>
      </c>
      <c r="X137">
        <f>IF(W137&lt;&gt;"",D137&amp;"|"&amp;W137,"")</f>
      </c>
      <c r="Y137">
        <f>IF(X137&lt;&gt;"",IF(K137&lt;&gt;"",K137&amp;" ("&amp;M137&amp;")",M137),"")</f>
      </c>
      <c r="Z137">
        <f>IF(O137="Sí",COUNTIFS($D$2:D137,D137,$O$2:O137,"Sí"),"")</f>
      </c>
      <c r="AA137">
        <f>IF(Z137&lt;&gt;"",D137&amp;"|"&amp;Z137,"")</f>
      </c>
      <c r="AB137">
        <f>IF(AA137&lt;&gt;"",IF(K137&lt;&gt;"",K137&amp;" ("&amp;M137&amp;")",M137),"")</f>
      </c>
      <c r="AC137">
        <f>IF($B137="","fecha, ","")&amp;IF($C137="","quién lo introduce, ","")&amp;IF($I137="","motivo, ","")&amp;IF($K137="","docente, ","")&amp;IF($L137="","horario, ","")&amp;IF($N137="","duración, ","")&amp;IF($Q137="","estado, ","")&amp;IF(AND($I137="Otros",$J137=""),"detalle del motivo, ","")&amp;IF(AND($O137="Sí",$P137=""),"detalle del refuerzo, ","")&amp;IF(AND(OR($I137="Renuncia (hasta 30 nov)",$I137="Baja (desde 1 dic)",$I137="Renuncia excepcional (art. 25.3)",$I137="Traslado de expediente"),OR($E137="",$F137="",$G137="")),"quién deja la plaza, ","")&amp;IF(AND($Q137="No disponible",$R137=""),"vía de cobertura, ","")&amp;IF(AND(OR($R137="Lista de espera · propio centro",$R137="Traslado de expediente",$R137="Lista de espera · otro centro"),OR($S137="",$T137="",$U137="")),"quién ocupa la plaza, ","")</f>
      </c>
      <c r="AD137" s="24">
        <f>IF($D137="","",IF(AND(LEN($AC137)=0,LEN($AK137)=0),"Completa",IF(LEN($AC137)=0,"Revisar: "&amp;LEFT($AK137,LEN($AK137)-2),"Falta: "&amp;LEFT($AC137,LEN($AC137)-2)&amp;IF(LEN($AK137)&gt;0,"  ·  Revisar: "&amp;LEFT($AK137,LEN($AK137)-2),""))))</f>
      </c>
      <c r="AE137">
        <f>IF(AND($D137&lt;&gt;"",OR($I137="Renuncia (hasta 30 nov)",$I137="Baja (desde 1 dic)",$I137="Renuncia excepcional (art. 25.3)",$I137="Traslado de expediente")),COUNTIF($AE$1:AE136,"&gt;0")+1,"")</f>
      </c>
      <c r="AF137">
        <f>IF($Q137="Disponible",COUNTIF($AF$1:AF136,"&gt;0")+1,"")</f>
      </c>
      <c r="AG137">
        <f>IF($O137="Sí",COUNTIF($AG$1:AG136,"&gt;0")+1,"")</f>
      </c>
      <c r="AH137">
        <f>IF(AND($Q137="Disponible",$O137&lt;&gt;"Sí"),COUNTIF($AH$1:AH136,"&gt;0")+1,"")</f>
      </c>
      <c r="AI137">
        <f>IF(AND($Q137="Disponible",$K137&lt;&gt;""),COUNTIFS($K$2:K137,K137,$Q$2:Q137,"Disponible"),"")</f>
      </c>
      <c r="AJ137">
        <f>IF(AI137&lt;&gt;"",K137&amp;"|"&amp;AI137,"")</f>
      </c>
      <c r="AK137">
        <f>IF(AND($Q137="No disponible",OR($R137="Lista de espera · propio centro",$R137="Traslado de expediente",$R137="Lista de espera · otro centro"),$O137="Sí"),"la plaza ya tiene alumno y sigue marcada como refuerzo, ","")&amp;IF(AND($R137="Reconvertida en refuerzo",$O137&lt;&gt;"Sí"),"reconvertida en refuerzo pero sin marcar «En uso como refuerzo», ","")</f>
      </c>
    </row>
    <row r="138" spans="1:37">
      <c r="A138" s="20">
        <f>IF(D138&lt;&gt;"",ROW()-1,"")</f>
      </c>
      <c r="B138" s="55"/>
      <c r="C138" s="56"/>
      <c r="D138" s="56"/>
      <c r="E138" s="56"/>
      <c r="F138" s="56"/>
      <c r="G138" s="56"/>
      <c r="H138" s="56"/>
      <c r="I138" s="56"/>
      <c r="J138" s="57"/>
      <c r="K138" s="56"/>
      <c r="L138" s="58"/>
      <c r="M138" s="58">
        <f>IF(L138="","",L138)</f>
      </c>
      <c r="N138" s="56"/>
      <c r="O138" s="56"/>
      <c r="P138" s="57"/>
      <c r="Q138" s="56"/>
      <c r="R138" s="56"/>
      <c r="S138" s="56"/>
      <c r="T138" s="56"/>
      <c r="U138" s="56"/>
      <c r="V138" s="57"/>
      <c r="W138">
        <f>IF(Q138="Disponible",COUNTIFS($D$2:D138,D138,$Q$2:Q138,"Disponible"),"")</f>
      </c>
      <c r="X138">
        <f>IF(W138&lt;&gt;"",D138&amp;"|"&amp;W138,"")</f>
      </c>
      <c r="Y138">
        <f>IF(X138&lt;&gt;"",IF(K138&lt;&gt;"",K138&amp;" ("&amp;M138&amp;")",M138),"")</f>
      </c>
      <c r="Z138">
        <f>IF(O138="Sí",COUNTIFS($D$2:D138,D138,$O$2:O138,"Sí"),"")</f>
      </c>
      <c r="AA138">
        <f>IF(Z138&lt;&gt;"",D138&amp;"|"&amp;Z138,"")</f>
      </c>
      <c r="AB138">
        <f>IF(AA138&lt;&gt;"",IF(K138&lt;&gt;"",K138&amp;" ("&amp;M138&amp;")",M138),"")</f>
      </c>
      <c r="AC138">
        <f>IF($B138="","fecha, ","")&amp;IF($C138="","quién lo introduce, ","")&amp;IF($I138="","motivo, ","")&amp;IF($K138="","docente, ","")&amp;IF($L138="","horario, ","")&amp;IF($N138="","duración, ","")&amp;IF($Q138="","estado, ","")&amp;IF(AND($I138="Otros",$J138=""),"detalle del motivo, ","")&amp;IF(AND($O138="Sí",$P138=""),"detalle del refuerzo, ","")&amp;IF(AND(OR($I138="Renuncia (hasta 30 nov)",$I138="Baja (desde 1 dic)",$I138="Renuncia excepcional (art. 25.3)",$I138="Traslado de expediente"),OR($E138="",$F138="",$G138="")),"quién deja la plaza, ","")&amp;IF(AND($Q138="No disponible",$R138=""),"vía de cobertura, ","")&amp;IF(AND(OR($R138="Lista de espera · propio centro",$R138="Traslado de expediente",$R138="Lista de espera · otro centro"),OR($S138="",$T138="",$U138="")),"quién ocupa la plaza, ","")</f>
      </c>
      <c r="AD138" s="24">
        <f>IF($D138="","",IF(AND(LEN($AC138)=0,LEN($AK138)=0),"Completa",IF(LEN($AC138)=0,"Revisar: "&amp;LEFT($AK138,LEN($AK138)-2),"Falta: "&amp;LEFT($AC138,LEN($AC138)-2)&amp;IF(LEN($AK138)&gt;0,"  ·  Revisar: "&amp;LEFT($AK138,LEN($AK138)-2),""))))</f>
      </c>
      <c r="AE138">
        <f>IF(AND($D138&lt;&gt;"",OR($I138="Renuncia (hasta 30 nov)",$I138="Baja (desde 1 dic)",$I138="Renuncia excepcional (art. 25.3)",$I138="Traslado de expediente")),COUNTIF($AE$1:AE137,"&gt;0")+1,"")</f>
      </c>
      <c r="AF138">
        <f>IF($Q138="Disponible",COUNTIF($AF$1:AF137,"&gt;0")+1,"")</f>
      </c>
      <c r="AG138">
        <f>IF($O138="Sí",COUNTIF($AG$1:AG137,"&gt;0")+1,"")</f>
      </c>
      <c r="AH138">
        <f>IF(AND($Q138="Disponible",$O138&lt;&gt;"Sí"),COUNTIF($AH$1:AH137,"&gt;0")+1,"")</f>
      </c>
      <c r="AI138">
        <f>IF(AND($Q138="Disponible",$K138&lt;&gt;""),COUNTIFS($K$2:K138,K138,$Q$2:Q138,"Disponible"),"")</f>
      </c>
      <c r="AJ138">
        <f>IF(AI138&lt;&gt;"",K138&amp;"|"&amp;AI138,"")</f>
      </c>
      <c r="AK138">
        <f>IF(AND($Q138="No disponible",OR($R138="Lista de espera · propio centro",$R138="Traslado de expediente",$R138="Lista de espera · otro centro"),$O138="Sí"),"la plaza ya tiene alumno y sigue marcada como refuerzo, ","")&amp;IF(AND($R138="Reconvertida en refuerzo",$O138&lt;&gt;"Sí"),"reconvertida en refuerzo pero sin marcar «En uso como refuerzo», ","")</f>
      </c>
    </row>
    <row r="139" spans="1:37">
      <c r="A139" s="20">
        <f>IF(D139&lt;&gt;"",ROW()-1,"")</f>
      </c>
      <c r="B139" s="55"/>
      <c r="C139" s="56"/>
      <c r="D139" s="56"/>
      <c r="E139" s="56"/>
      <c r="F139" s="56"/>
      <c r="G139" s="56"/>
      <c r="H139" s="56"/>
      <c r="I139" s="56"/>
      <c r="J139" s="57"/>
      <c r="K139" s="56"/>
      <c r="L139" s="58"/>
      <c r="M139" s="58">
        <f>IF(L139="","",L139)</f>
      </c>
      <c r="N139" s="56"/>
      <c r="O139" s="56"/>
      <c r="P139" s="57"/>
      <c r="Q139" s="56"/>
      <c r="R139" s="56"/>
      <c r="S139" s="56"/>
      <c r="T139" s="56"/>
      <c r="U139" s="56"/>
      <c r="V139" s="57"/>
      <c r="W139">
        <f>IF(Q139="Disponible",COUNTIFS($D$2:D139,D139,$Q$2:Q139,"Disponible"),"")</f>
      </c>
      <c r="X139">
        <f>IF(W139&lt;&gt;"",D139&amp;"|"&amp;W139,"")</f>
      </c>
      <c r="Y139">
        <f>IF(X139&lt;&gt;"",IF(K139&lt;&gt;"",K139&amp;" ("&amp;M139&amp;")",M139),"")</f>
      </c>
      <c r="Z139">
        <f>IF(O139="Sí",COUNTIFS($D$2:D139,D139,$O$2:O139,"Sí"),"")</f>
      </c>
      <c r="AA139">
        <f>IF(Z139&lt;&gt;"",D139&amp;"|"&amp;Z139,"")</f>
      </c>
      <c r="AB139">
        <f>IF(AA139&lt;&gt;"",IF(K139&lt;&gt;"",K139&amp;" ("&amp;M139&amp;")",M139),"")</f>
      </c>
      <c r="AC139">
        <f>IF($B139="","fecha, ","")&amp;IF($C139="","quién lo introduce, ","")&amp;IF($I139="","motivo, ","")&amp;IF($K139="","docente, ","")&amp;IF($L139="","horario, ","")&amp;IF($N139="","duración, ","")&amp;IF($Q139="","estado, ","")&amp;IF(AND($I139="Otros",$J139=""),"detalle del motivo, ","")&amp;IF(AND($O139="Sí",$P139=""),"detalle del refuerzo, ","")&amp;IF(AND(OR($I139="Renuncia (hasta 30 nov)",$I139="Baja (desde 1 dic)",$I139="Renuncia excepcional (art. 25.3)",$I139="Traslado de expediente"),OR($E139="",$F139="",$G139="")),"quién deja la plaza, ","")&amp;IF(AND($Q139="No disponible",$R139=""),"vía de cobertura, ","")&amp;IF(AND(OR($R139="Lista de espera · propio centro",$R139="Traslado de expediente",$R139="Lista de espera · otro centro"),OR($S139="",$T139="",$U139="")),"quién ocupa la plaza, ","")</f>
      </c>
      <c r="AD139" s="24">
        <f>IF($D139="","",IF(AND(LEN($AC139)=0,LEN($AK139)=0),"Completa",IF(LEN($AC139)=0,"Revisar: "&amp;LEFT($AK139,LEN($AK139)-2),"Falta: "&amp;LEFT($AC139,LEN($AC139)-2)&amp;IF(LEN($AK139)&gt;0,"  ·  Revisar: "&amp;LEFT($AK139,LEN($AK139)-2),""))))</f>
      </c>
      <c r="AE139">
        <f>IF(AND($D139&lt;&gt;"",OR($I139="Renuncia (hasta 30 nov)",$I139="Baja (desde 1 dic)",$I139="Renuncia excepcional (art. 25.3)",$I139="Traslado de expediente")),COUNTIF($AE$1:AE138,"&gt;0")+1,"")</f>
      </c>
      <c r="AF139">
        <f>IF($Q139="Disponible",COUNTIF($AF$1:AF138,"&gt;0")+1,"")</f>
      </c>
      <c r="AG139">
        <f>IF($O139="Sí",COUNTIF($AG$1:AG138,"&gt;0")+1,"")</f>
      </c>
      <c r="AH139">
        <f>IF(AND($Q139="Disponible",$O139&lt;&gt;"Sí"),COUNTIF($AH$1:AH138,"&gt;0")+1,"")</f>
      </c>
      <c r="AI139">
        <f>IF(AND($Q139="Disponible",$K139&lt;&gt;""),COUNTIFS($K$2:K139,K139,$Q$2:Q139,"Disponible"),"")</f>
      </c>
      <c r="AJ139">
        <f>IF(AI139&lt;&gt;"",K139&amp;"|"&amp;AI139,"")</f>
      </c>
      <c r="AK139">
        <f>IF(AND($Q139="No disponible",OR($R139="Lista de espera · propio centro",$R139="Traslado de expediente",$R139="Lista de espera · otro centro"),$O139="Sí"),"la plaza ya tiene alumno y sigue marcada como refuerzo, ","")&amp;IF(AND($R139="Reconvertida en refuerzo",$O139&lt;&gt;"Sí"),"reconvertida en refuerzo pero sin marcar «En uso como refuerzo», ","")</f>
      </c>
    </row>
    <row r="140" spans="1:37">
      <c r="A140" s="20">
        <f>IF(D140&lt;&gt;"",ROW()-1,"")</f>
      </c>
      <c r="B140" s="55"/>
      <c r="C140" s="56"/>
      <c r="D140" s="56"/>
      <c r="E140" s="56"/>
      <c r="F140" s="56"/>
      <c r="G140" s="56"/>
      <c r="H140" s="56"/>
      <c r="I140" s="56"/>
      <c r="J140" s="57"/>
      <c r="K140" s="56"/>
      <c r="L140" s="58"/>
      <c r="M140" s="58">
        <f>IF(L140="","",L140)</f>
      </c>
      <c r="N140" s="56"/>
      <c r="O140" s="56"/>
      <c r="P140" s="57"/>
      <c r="Q140" s="56"/>
      <c r="R140" s="56"/>
      <c r="S140" s="56"/>
      <c r="T140" s="56"/>
      <c r="U140" s="56"/>
      <c r="V140" s="57"/>
      <c r="W140">
        <f>IF(Q140="Disponible",COUNTIFS($D$2:D140,D140,$Q$2:Q140,"Disponible"),"")</f>
      </c>
      <c r="X140">
        <f>IF(W140&lt;&gt;"",D140&amp;"|"&amp;W140,"")</f>
      </c>
      <c r="Y140">
        <f>IF(X140&lt;&gt;"",IF(K140&lt;&gt;"",K140&amp;" ("&amp;M140&amp;")",M140),"")</f>
      </c>
      <c r="Z140">
        <f>IF(O140="Sí",COUNTIFS($D$2:D140,D140,$O$2:O140,"Sí"),"")</f>
      </c>
      <c r="AA140">
        <f>IF(Z140&lt;&gt;"",D140&amp;"|"&amp;Z140,"")</f>
      </c>
      <c r="AB140">
        <f>IF(AA140&lt;&gt;"",IF(K140&lt;&gt;"",K140&amp;" ("&amp;M140&amp;")",M140),"")</f>
      </c>
      <c r="AC140">
        <f>IF($B140="","fecha, ","")&amp;IF($C140="","quién lo introduce, ","")&amp;IF($I140="","motivo, ","")&amp;IF($K140="","docente, ","")&amp;IF($L140="","horario, ","")&amp;IF($N140="","duración, ","")&amp;IF($Q140="","estado, ","")&amp;IF(AND($I140="Otros",$J140=""),"detalle del motivo, ","")&amp;IF(AND($O140="Sí",$P140=""),"detalle del refuerzo, ","")&amp;IF(AND(OR($I140="Renuncia (hasta 30 nov)",$I140="Baja (desde 1 dic)",$I140="Renuncia excepcional (art. 25.3)",$I140="Traslado de expediente"),OR($E140="",$F140="",$G140="")),"quién deja la plaza, ","")&amp;IF(AND($Q140="No disponible",$R140=""),"vía de cobertura, ","")&amp;IF(AND(OR($R140="Lista de espera · propio centro",$R140="Traslado de expediente",$R140="Lista de espera · otro centro"),OR($S140="",$T140="",$U140="")),"quién ocupa la plaza, ","")</f>
      </c>
      <c r="AD140" s="24">
        <f>IF($D140="","",IF(AND(LEN($AC140)=0,LEN($AK140)=0),"Completa",IF(LEN($AC140)=0,"Revisar: "&amp;LEFT($AK140,LEN($AK140)-2),"Falta: "&amp;LEFT($AC140,LEN($AC140)-2)&amp;IF(LEN($AK140)&gt;0,"  ·  Revisar: "&amp;LEFT($AK140,LEN($AK140)-2),""))))</f>
      </c>
      <c r="AE140">
        <f>IF(AND($D140&lt;&gt;"",OR($I140="Renuncia (hasta 30 nov)",$I140="Baja (desde 1 dic)",$I140="Renuncia excepcional (art. 25.3)",$I140="Traslado de expediente")),COUNTIF($AE$1:AE139,"&gt;0")+1,"")</f>
      </c>
      <c r="AF140">
        <f>IF($Q140="Disponible",COUNTIF($AF$1:AF139,"&gt;0")+1,"")</f>
      </c>
      <c r="AG140">
        <f>IF($O140="Sí",COUNTIF($AG$1:AG139,"&gt;0")+1,"")</f>
      </c>
      <c r="AH140">
        <f>IF(AND($Q140="Disponible",$O140&lt;&gt;"Sí"),COUNTIF($AH$1:AH139,"&gt;0")+1,"")</f>
      </c>
      <c r="AI140">
        <f>IF(AND($Q140="Disponible",$K140&lt;&gt;""),COUNTIFS($K$2:K140,K140,$Q$2:Q140,"Disponible"),"")</f>
      </c>
      <c r="AJ140">
        <f>IF(AI140&lt;&gt;"",K140&amp;"|"&amp;AI140,"")</f>
      </c>
      <c r="AK140">
        <f>IF(AND($Q140="No disponible",OR($R140="Lista de espera · propio centro",$R140="Traslado de expediente",$R140="Lista de espera · otro centro"),$O140="Sí"),"la plaza ya tiene alumno y sigue marcada como refuerzo, ","")&amp;IF(AND($R140="Reconvertida en refuerzo",$O140&lt;&gt;"Sí"),"reconvertida en refuerzo pero sin marcar «En uso como refuerzo», ","")</f>
      </c>
    </row>
    <row r="141" spans="1:37">
      <c r="A141" s="20">
        <f>IF(D141&lt;&gt;"",ROW()-1,"")</f>
      </c>
      <c r="B141" s="55"/>
      <c r="C141" s="56"/>
      <c r="D141" s="56"/>
      <c r="E141" s="56"/>
      <c r="F141" s="56"/>
      <c r="G141" s="56"/>
      <c r="H141" s="56"/>
      <c r="I141" s="56"/>
      <c r="J141" s="57"/>
      <c r="K141" s="56"/>
      <c r="L141" s="58"/>
      <c r="M141" s="58">
        <f>IF(L141="","",L141)</f>
      </c>
      <c r="N141" s="56"/>
      <c r="O141" s="56"/>
      <c r="P141" s="57"/>
      <c r="Q141" s="56"/>
      <c r="R141" s="56"/>
      <c r="S141" s="56"/>
      <c r="T141" s="56"/>
      <c r="U141" s="56"/>
      <c r="V141" s="57"/>
      <c r="W141">
        <f>IF(Q141="Disponible",COUNTIFS($D$2:D141,D141,$Q$2:Q141,"Disponible"),"")</f>
      </c>
      <c r="X141">
        <f>IF(W141&lt;&gt;"",D141&amp;"|"&amp;W141,"")</f>
      </c>
      <c r="Y141">
        <f>IF(X141&lt;&gt;"",IF(K141&lt;&gt;"",K141&amp;" ("&amp;M141&amp;")",M141),"")</f>
      </c>
      <c r="Z141">
        <f>IF(O141="Sí",COUNTIFS($D$2:D141,D141,$O$2:O141,"Sí"),"")</f>
      </c>
      <c r="AA141">
        <f>IF(Z141&lt;&gt;"",D141&amp;"|"&amp;Z141,"")</f>
      </c>
      <c r="AB141">
        <f>IF(AA141&lt;&gt;"",IF(K141&lt;&gt;"",K141&amp;" ("&amp;M141&amp;")",M141),"")</f>
      </c>
      <c r="AC141">
        <f>IF($B141="","fecha, ","")&amp;IF($C141="","quién lo introduce, ","")&amp;IF($I141="","motivo, ","")&amp;IF($K141="","docente, ","")&amp;IF($L141="","horario, ","")&amp;IF($N141="","duración, ","")&amp;IF($Q141="","estado, ","")&amp;IF(AND($I141="Otros",$J141=""),"detalle del motivo, ","")&amp;IF(AND($O141="Sí",$P141=""),"detalle del refuerzo, ","")&amp;IF(AND(OR($I141="Renuncia (hasta 30 nov)",$I141="Baja (desde 1 dic)",$I141="Renuncia excepcional (art. 25.3)",$I141="Traslado de expediente"),OR($E141="",$F141="",$G141="")),"quién deja la plaza, ","")&amp;IF(AND($Q141="No disponible",$R141=""),"vía de cobertura, ","")&amp;IF(AND(OR($R141="Lista de espera · propio centro",$R141="Traslado de expediente",$R141="Lista de espera · otro centro"),OR($S141="",$T141="",$U141="")),"quién ocupa la plaza, ","")</f>
      </c>
      <c r="AD141" s="24">
        <f>IF($D141="","",IF(AND(LEN($AC141)=0,LEN($AK141)=0),"Completa",IF(LEN($AC141)=0,"Revisar: "&amp;LEFT($AK141,LEN($AK141)-2),"Falta: "&amp;LEFT($AC141,LEN($AC141)-2)&amp;IF(LEN($AK141)&gt;0,"  ·  Revisar: "&amp;LEFT($AK141,LEN($AK141)-2),""))))</f>
      </c>
      <c r="AE141">
        <f>IF(AND($D141&lt;&gt;"",OR($I141="Renuncia (hasta 30 nov)",$I141="Baja (desde 1 dic)",$I141="Renuncia excepcional (art. 25.3)",$I141="Traslado de expediente")),COUNTIF($AE$1:AE140,"&gt;0")+1,"")</f>
      </c>
      <c r="AF141">
        <f>IF($Q141="Disponible",COUNTIF($AF$1:AF140,"&gt;0")+1,"")</f>
      </c>
      <c r="AG141">
        <f>IF($O141="Sí",COUNTIF($AG$1:AG140,"&gt;0")+1,"")</f>
      </c>
      <c r="AH141">
        <f>IF(AND($Q141="Disponible",$O141&lt;&gt;"Sí"),COUNTIF($AH$1:AH140,"&gt;0")+1,"")</f>
      </c>
      <c r="AI141">
        <f>IF(AND($Q141="Disponible",$K141&lt;&gt;""),COUNTIFS($K$2:K141,K141,$Q$2:Q141,"Disponible"),"")</f>
      </c>
      <c r="AJ141">
        <f>IF(AI141&lt;&gt;"",K141&amp;"|"&amp;AI141,"")</f>
      </c>
      <c r="AK141">
        <f>IF(AND($Q141="No disponible",OR($R141="Lista de espera · propio centro",$R141="Traslado de expediente",$R141="Lista de espera · otro centro"),$O141="Sí"),"la plaza ya tiene alumno y sigue marcada como refuerzo, ","")&amp;IF(AND($R141="Reconvertida en refuerzo",$O141&lt;&gt;"Sí"),"reconvertida en refuerzo pero sin marcar «En uso como refuerzo», ","")</f>
      </c>
    </row>
    <row r="142" spans="1:37">
      <c r="A142" s="20">
        <f>IF(D142&lt;&gt;"",ROW()-1,"")</f>
      </c>
      <c r="B142" s="55"/>
      <c r="C142" s="56"/>
      <c r="D142" s="56"/>
      <c r="E142" s="56"/>
      <c r="F142" s="56"/>
      <c r="G142" s="56"/>
      <c r="H142" s="56"/>
      <c r="I142" s="56"/>
      <c r="J142" s="57"/>
      <c r="K142" s="56"/>
      <c r="L142" s="58"/>
      <c r="M142" s="58">
        <f>IF(L142="","",L142)</f>
      </c>
      <c r="N142" s="56"/>
      <c r="O142" s="56"/>
      <c r="P142" s="57"/>
      <c r="Q142" s="56"/>
      <c r="R142" s="56"/>
      <c r="S142" s="56"/>
      <c r="T142" s="56"/>
      <c r="U142" s="56"/>
      <c r="V142" s="57"/>
      <c r="W142">
        <f>IF(Q142="Disponible",COUNTIFS($D$2:D142,D142,$Q$2:Q142,"Disponible"),"")</f>
      </c>
      <c r="X142">
        <f>IF(W142&lt;&gt;"",D142&amp;"|"&amp;W142,"")</f>
      </c>
      <c r="Y142">
        <f>IF(X142&lt;&gt;"",IF(K142&lt;&gt;"",K142&amp;" ("&amp;M142&amp;")",M142),"")</f>
      </c>
      <c r="Z142">
        <f>IF(O142="Sí",COUNTIFS($D$2:D142,D142,$O$2:O142,"Sí"),"")</f>
      </c>
      <c r="AA142">
        <f>IF(Z142&lt;&gt;"",D142&amp;"|"&amp;Z142,"")</f>
      </c>
      <c r="AB142">
        <f>IF(AA142&lt;&gt;"",IF(K142&lt;&gt;"",K142&amp;" ("&amp;M142&amp;")",M142),"")</f>
      </c>
      <c r="AC142">
        <f>IF($B142="","fecha, ","")&amp;IF($C142="","quién lo introduce, ","")&amp;IF($I142="","motivo, ","")&amp;IF($K142="","docente, ","")&amp;IF($L142="","horario, ","")&amp;IF($N142="","duración, ","")&amp;IF($Q142="","estado, ","")&amp;IF(AND($I142="Otros",$J142=""),"detalle del motivo, ","")&amp;IF(AND($O142="Sí",$P142=""),"detalle del refuerzo, ","")&amp;IF(AND(OR($I142="Renuncia (hasta 30 nov)",$I142="Baja (desde 1 dic)",$I142="Renuncia excepcional (art. 25.3)",$I142="Traslado de expediente"),OR($E142="",$F142="",$G142="")),"quién deja la plaza, ","")&amp;IF(AND($Q142="No disponible",$R142=""),"vía de cobertura, ","")&amp;IF(AND(OR($R142="Lista de espera · propio centro",$R142="Traslado de expediente",$R142="Lista de espera · otro centro"),OR($S142="",$T142="",$U142="")),"quién ocupa la plaza, ","")</f>
      </c>
      <c r="AD142" s="24">
        <f>IF($D142="","",IF(AND(LEN($AC142)=0,LEN($AK142)=0),"Completa",IF(LEN($AC142)=0,"Revisar: "&amp;LEFT($AK142,LEN($AK142)-2),"Falta: "&amp;LEFT($AC142,LEN($AC142)-2)&amp;IF(LEN($AK142)&gt;0,"  ·  Revisar: "&amp;LEFT($AK142,LEN($AK142)-2),""))))</f>
      </c>
      <c r="AE142">
        <f>IF(AND($D142&lt;&gt;"",OR($I142="Renuncia (hasta 30 nov)",$I142="Baja (desde 1 dic)",$I142="Renuncia excepcional (art. 25.3)",$I142="Traslado de expediente")),COUNTIF($AE$1:AE141,"&gt;0")+1,"")</f>
      </c>
      <c r="AF142">
        <f>IF($Q142="Disponible",COUNTIF($AF$1:AF141,"&gt;0")+1,"")</f>
      </c>
      <c r="AG142">
        <f>IF($O142="Sí",COUNTIF($AG$1:AG141,"&gt;0")+1,"")</f>
      </c>
      <c r="AH142">
        <f>IF(AND($Q142="Disponible",$O142&lt;&gt;"Sí"),COUNTIF($AH$1:AH141,"&gt;0")+1,"")</f>
      </c>
      <c r="AI142">
        <f>IF(AND($Q142="Disponible",$K142&lt;&gt;""),COUNTIFS($K$2:K142,K142,$Q$2:Q142,"Disponible"),"")</f>
      </c>
      <c r="AJ142">
        <f>IF(AI142&lt;&gt;"",K142&amp;"|"&amp;AI142,"")</f>
      </c>
      <c r="AK142">
        <f>IF(AND($Q142="No disponible",OR($R142="Lista de espera · propio centro",$R142="Traslado de expediente",$R142="Lista de espera · otro centro"),$O142="Sí"),"la plaza ya tiene alumno y sigue marcada como refuerzo, ","")&amp;IF(AND($R142="Reconvertida en refuerzo",$O142&lt;&gt;"Sí"),"reconvertida en refuerzo pero sin marcar «En uso como refuerzo», ","")</f>
      </c>
    </row>
    <row r="143" spans="1:37">
      <c r="A143" s="20">
        <f>IF(D143&lt;&gt;"",ROW()-1,"")</f>
      </c>
      <c r="B143" s="55"/>
      <c r="C143" s="56"/>
      <c r="D143" s="56"/>
      <c r="E143" s="56"/>
      <c r="F143" s="56"/>
      <c r="G143" s="56"/>
      <c r="H143" s="56"/>
      <c r="I143" s="56"/>
      <c r="J143" s="57"/>
      <c r="K143" s="56"/>
      <c r="L143" s="58"/>
      <c r="M143" s="58">
        <f>IF(L143="","",L143)</f>
      </c>
      <c r="N143" s="56"/>
      <c r="O143" s="56"/>
      <c r="P143" s="57"/>
      <c r="Q143" s="56"/>
      <c r="R143" s="56"/>
      <c r="S143" s="56"/>
      <c r="T143" s="56"/>
      <c r="U143" s="56"/>
      <c r="V143" s="57"/>
      <c r="W143">
        <f>IF(Q143="Disponible",COUNTIFS($D$2:D143,D143,$Q$2:Q143,"Disponible"),"")</f>
      </c>
      <c r="X143">
        <f>IF(W143&lt;&gt;"",D143&amp;"|"&amp;W143,"")</f>
      </c>
      <c r="Y143">
        <f>IF(X143&lt;&gt;"",IF(K143&lt;&gt;"",K143&amp;" ("&amp;M143&amp;")",M143),"")</f>
      </c>
      <c r="Z143">
        <f>IF(O143="Sí",COUNTIFS($D$2:D143,D143,$O$2:O143,"Sí"),"")</f>
      </c>
      <c r="AA143">
        <f>IF(Z143&lt;&gt;"",D143&amp;"|"&amp;Z143,"")</f>
      </c>
      <c r="AB143">
        <f>IF(AA143&lt;&gt;"",IF(K143&lt;&gt;"",K143&amp;" ("&amp;M143&amp;")",M143),"")</f>
      </c>
      <c r="AC143">
        <f>IF($B143="","fecha, ","")&amp;IF($C143="","quién lo introduce, ","")&amp;IF($I143="","motivo, ","")&amp;IF($K143="","docente, ","")&amp;IF($L143="","horario, ","")&amp;IF($N143="","duración, ","")&amp;IF($Q143="","estado, ","")&amp;IF(AND($I143="Otros",$J143=""),"detalle del motivo, ","")&amp;IF(AND($O143="Sí",$P143=""),"detalle del refuerzo, ","")&amp;IF(AND(OR($I143="Renuncia (hasta 30 nov)",$I143="Baja (desde 1 dic)",$I143="Renuncia excepcional (art. 25.3)",$I143="Traslado de expediente"),OR($E143="",$F143="",$G143="")),"quién deja la plaza, ","")&amp;IF(AND($Q143="No disponible",$R143=""),"vía de cobertura, ","")&amp;IF(AND(OR($R143="Lista de espera · propio centro",$R143="Traslado de expediente",$R143="Lista de espera · otro centro"),OR($S143="",$T143="",$U143="")),"quién ocupa la plaza, ","")</f>
      </c>
      <c r="AD143" s="24">
        <f>IF($D143="","",IF(AND(LEN($AC143)=0,LEN($AK143)=0),"Completa",IF(LEN($AC143)=0,"Revisar: "&amp;LEFT($AK143,LEN($AK143)-2),"Falta: "&amp;LEFT($AC143,LEN($AC143)-2)&amp;IF(LEN($AK143)&gt;0,"  ·  Revisar: "&amp;LEFT($AK143,LEN($AK143)-2),""))))</f>
      </c>
      <c r="AE143">
        <f>IF(AND($D143&lt;&gt;"",OR($I143="Renuncia (hasta 30 nov)",$I143="Baja (desde 1 dic)",$I143="Renuncia excepcional (art. 25.3)",$I143="Traslado de expediente")),COUNTIF($AE$1:AE142,"&gt;0")+1,"")</f>
      </c>
      <c r="AF143">
        <f>IF($Q143="Disponible",COUNTIF($AF$1:AF142,"&gt;0")+1,"")</f>
      </c>
      <c r="AG143">
        <f>IF($O143="Sí",COUNTIF($AG$1:AG142,"&gt;0")+1,"")</f>
      </c>
      <c r="AH143">
        <f>IF(AND($Q143="Disponible",$O143&lt;&gt;"Sí"),COUNTIF($AH$1:AH142,"&gt;0")+1,"")</f>
      </c>
      <c r="AI143">
        <f>IF(AND($Q143="Disponible",$K143&lt;&gt;""),COUNTIFS($K$2:K143,K143,$Q$2:Q143,"Disponible"),"")</f>
      </c>
      <c r="AJ143">
        <f>IF(AI143&lt;&gt;"",K143&amp;"|"&amp;AI143,"")</f>
      </c>
      <c r="AK143">
        <f>IF(AND($Q143="No disponible",OR($R143="Lista de espera · propio centro",$R143="Traslado de expediente",$R143="Lista de espera · otro centro"),$O143="Sí"),"la plaza ya tiene alumno y sigue marcada como refuerzo, ","")&amp;IF(AND($R143="Reconvertida en refuerzo",$O143&lt;&gt;"Sí"),"reconvertida en refuerzo pero sin marcar «En uso como refuerzo», ","")</f>
      </c>
    </row>
    <row r="144" spans="1:37">
      <c r="A144" s="20">
        <f>IF(D144&lt;&gt;"",ROW()-1,"")</f>
      </c>
      <c r="B144" s="55"/>
      <c r="C144" s="56"/>
      <c r="D144" s="56"/>
      <c r="E144" s="56"/>
      <c r="F144" s="56"/>
      <c r="G144" s="56"/>
      <c r="H144" s="56"/>
      <c r="I144" s="56"/>
      <c r="J144" s="57"/>
      <c r="K144" s="56"/>
      <c r="L144" s="58"/>
      <c r="M144" s="58">
        <f>IF(L144="","",L144)</f>
      </c>
      <c r="N144" s="56"/>
      <c r="O144" s="56"/>
      <c r="P144" s="57"/>
      <c r="Q144" s="56"/>
      <c r="R144" s="56"/>
      <c r="S144" s="56"/>
      <c r="T144" s="56"/>
      <c r="U144" s="56"/>
      <c r="V144" s="57"/>
      <c r="W144">
        <f>IF(Q144="Disponible",COUNTIFS($D$2:D144,D144,$Q$2:Q144,"Disponible"),"")</f>
      </c>
      <c r="X144">
        <f>IF(W144&lt;&gt;"",D144&amp;"|"&amp;W144,"")</f>
      </c>
      <c r="Y144">
        <f>IF(X144&lt;&gt;"",IF(K144&lt;&gt;"",K144&amp;" ("&amp;M144&amp;")",M144),"")</f>
      </c>
      <c r="Z144">
        <f>IF(O144="Sí",COUNTIFS($D$2:D144,D144,$O$2:O144,"Sí"),"")</f>
      </c>
      <c r="AA144">
        <f>IF(Z144&lt;&gt;"",D144&amp;"|"&amp;Z144,"")</f>
      </c>
      <c r="AB144">
        <f>IF(AA144&lt;&gt;"",IF(K144&lt;&gt;"",K144&amp;" ("&amp;M144&amp;")",M144),"")</f>
      </c>
      <c r="AC144">
        <f>IF($B144="","fecha, ","")&amp;IF($C144="","quién lo introduce, ","")&amp;IF($I144="","motivo, ","")&amp;IF($K144="","docente, ","")&amp;IF($L144="","horario, ","")&amp;IF($N144="","duración, ","")&amp;IF($Q144="","estado, ","")&amp;IF(AND($I144="Otros",$J144=""),"detalle del motivo, ","")&amp;IF(AND($O144="Sí",$P144=""),"detalle del refuerzo, ","")&amp;IF(AND(OR($I144="Renuncia (hasta 30 nov)",$I144="Baja (desde 1 dic)",$I144="Renuncia excepcional (art. 25.3)",$I144="Traslado de expediente"),OR($E144="",$F144="",$G144="")),"quién deja la plaza, ","")&amp;IF(AND($Q144="No disponible",$R144=""),"vía de cobertura, ","")&amp;IF(AND(OR($R144="Lista de espera · propio centro",$R144="Traslado de expediente",$R144="Lista de espera · otro centro"),OR($S144="",$T144="",$U144="")),"quién ocupa la plaza, ","")</f>
      </c>
      <c r="AD144" s="24">
        <f>IF($D144="","",IF(AND(LEN($AC144)=0,LEN($AK144)=0),"Completa",IF(LEN($AC144)=0,"Revisar: "&amp;LEFT($AK144,LEN($AK144)-2),"Falta: "&amp;LEFT($AC144,LEN($AC144)-2)&amp;IF(LEN($AK144)&gt;0,"  ·  Revisar: "&amp;LEFT($AK144,LEN($AK144)-2),""))))</f>
      </c>
      <c r="AE144">
        <f>IF(AND($D144&lt;&gt;"",OR($I144="Renuncia (hasta 30 nov)",$I144="Baja (desde 1 dic)",$I144="Renuncia excepcional (art. 25.3)",$I144="Traslado de expediente")),COUNTIF($AE$1:AE143,"&gt;0")+1,"")</f>
      </c>
      <c r="AF144">
        <f>IF($Q144="Disponible",COUNTIF($AF$1:AF143,"&gt;0")+1,"")</f>
      </c>
      <c r="AG144">
        <f>IF($O144="Sí",COUNTIF($AG$1:AG143,"&gt;0")+1,"")</f>
      </c>
      <c r="AH144">
        <f>IF(AND($Q144="Disponible",$O144&lt;&gt;"Sí"),COUNTIF($AH$1:AH143,"&gt;0")+1,"")</f>
      </c>
      <c r="AI144">
        <f>IF(AND($Q144="Disponible",$K144&lt;&gt;""),COUNTIFS($K$2:K144,K144,$Q$2:Q144,"Disponible"),"")</f>
      </c>
      <c r="AJ144">
        <f>IF(AI144&lt;&gt;"",K144&amp;"|"&amp;AI144,"")</f>
      </c>
      <c r="AK144">
        <f>IF(AND($Q144="No disponible",OR($R144="Lista de espera · propio centro",$R144="Traslado de expediente",$R144="Lista de espera · otro centro"),$O144="Sí"),"la plaza ya tiene alumno y sigue marcada como refuerzo, ","")&amp;IF(AND($R144="Reconvertida en refuerzo",$O144&lt;&gt;"Sí"),"reconvertida en refuerzo pero sin marcar «En uso como refuerzo», ","")</f>
      </c>
    </row>
    <row r="145" spans="1:37">
      <c r="A145" s="20">
        <f>IF(D145&lt;&gt;"",ROW()-1,"")</f>
      </c>
      <c r="B145" s="55"/>
      <c r="C145" s="56"/>
      <c r="D145" s="56"/>
      <c r="E145" s="56"/>
      <c r="F145" s="56"/>
      <c r="G145" s="56"/>
      <c r="H145" s="56"/>
      <c r="I145" s="56"/>
      <c r="J145" s="57"/>
      <c r="K145" s="56"/>
      <c r="L145" s="58"/>
      <c r="M145" s="58">
        <f>IF(L145="","",L145)</f>
      </c>
      <c r="N145" s="56"/>
      <c r="O145" s="56"/>
      <c r="P145" s="57"/>
      <c r="Q145" s="56"/>
      <c r="R145" s="56"/>
      <c r="S145" s="56"/>
      <c r="T145" s="56"/>
      <c r="U145" s="56"/>
      <c r="V145" s="57"/>
      <c r="W145">
        <f>IF(Q145="Disponible",COUNTIFS($D$2:D145,D145,$Q$2:Q145,"Disponible"),"")</f>
      </c>
      <c r="X145">
        <f>IF(W145&lt;&gt;"",D145&amp;"|"&amp;W145,"")</f>
      </c>
      <c r="Y145">
        <f>IF(X145&lt;&gt;"",IF(K145&lt;&gt;"",K145&amp;" ("&amp;M145&amp;")",M145),"")</f>
      </c>
      <c r="Z145">
        <f>IF(O145="Sí",COUNTIFS($D$2:D145,D145,$O$2:O145,"Sí"),"")</f>
      </c>
      <c r="AA145">
        <f>IF(Z145&lt;&gt;"",D145&amp;"|"&amp;Z145,"")</f>
      </c>
      <c r="AB145">
        <f>IF(AA145&lt;&gt;"",IF(K145&lt;&gt;"",K145&amp;" ("&amp;M145&amp;")",M145),"")</f>
      </c>
      <c r="AC145">
        <f>IF($B145="","fecha, ","")&amp;IF($C145="","quién lo introduce, ","")&amp;IF($I145="","motivo, ","")&amp;IF($K145="","docente, ","")&amp;IF($L145="","horario, ","")&amp;IF($N145="","duración, ","")&amp;IF($Q145="","estado, ","")&amp;IF(AND($I145="Otros",$J145=""),"detalle del motivo, ","")&amp;IF(AND($O145="Sí",$P145=""),"detalle del refuerzo, ","")&amp;IF(AND(OR($I145="Renuncia (hasta 30 nov)",$I145="Baja (desde 1 dic)",$I145="Renuncia excepcional (art. 25.3)",$I145="Traslado de expediente"),OR($E145="",$F145="",$G145="")),"quién deja la plaza, ","")&amp;IF(AND($Q145="No disponible",$R145=""),"vía de cobertura, ","")&amp;IF(AND(OR($R145="Lista de espera · propio centro",$R145="Traslado de expediente",$R145="Lista de espera · otro centro"),OR($S145="",$T145="",$U145="")),"quién ocupa la plaza, ","")</f>
      </c>
      <c r="AD145" s="24">
        <f>IF($D145="","",IF(AND(LEN($AC145)=0,LEN($AK145)=0),"Completa",IF(LEN($AC145)=0,"Revisar: "&amp;LEFT($AK145,LEN($AK145)-2),"Falta: "&amp;LEFT($AC145,LEN($AC145)-2)&amp;IF(LEN($AK145)&gt;0,"  ·  Revisar: "&amp;LEFT($AK145,LEN($AK145)-2),""))))</f>
      </c>
      <c r="AE145">
        <f>IF(AND($D145&lt;&gt;"",OR($I145="Renuncia (hasta 30 nov)",$I145="Baja (desde 1 dic)",$I145="Renuncia excepcional (art. 25.3)",$I145="Traslado de expediente")),COUNTIF($AE$1:AE144,"&gt;0")+1,"")</f>
      </c>
      <c r="AF145">
        <f>IF($Q145="Disponible",COUNTIF($AF$1:AF144,"&gt;0")+1,"")</f>
      </c>
      <c r="AG145">
        <f>IF($O145="Sí",COUNTIF($AG$1:AG144,"&gt;0")+1,"")</f>
      </c>
      <c r="AH145">
        <f>IF(AND($Q145="Disponible",$O145&lt;&gt;"Sí"),COUNTIF($AH$1:AH144,"&gt;0")+1,"")</f>
      </c>
      <c r="AI145">
        <f>IF(AND($Q145="Disponible",$K145&lt;&gt;""),COUNTIFS($K$2:K145,K145,$Q$2:Q145,"Disponible"),"")</f>
      </c>
      <c r="AJ145">
        <f>IF(AI145&lt;&gt;"",K145&amp;"|"&amp;AI145,"")</f>
      </c>
      <c r="AK145">
        <f>IF(AND($Q145="No disponible",OR($R145="Lista de espera · propio centro",$R145="Traslado de expediente",$R145="Lista de espera · otro centro"),$O145="Sí"),"la plaza ya tiene alumno y sigue marcada como refuerzo, ","")&amp;IF(AND($R145="Reconvertida en refuerzo",$O145&lt;&gt;"Sí"),"reconvertida en refuerzo pero sin marcar «En uso como refuerzo», ","")</f>
      </c>
    </row>
    <row r="146" spans="1:37">
      <c r="A146" s="20">
        <f>IF(D146&lt;&gt;"",ROW()-1,"")</f>
      </c>
      <c r="B146" s="55"/>
      <c r="C146" s="56"/>
      <c r="D146" s="56"/>
      <c r="E146" s="56"/>
      <c r="F146" s="56"/>
      <c r="G146" s="56"/>
      <c r="H146" s="56"/>
      <c r="I146" s="56"/>
      <c r="J146" s="57"/>
      <c r="K146" s="56"/>
      <c r="L146" s="58"/>
      <c r="M146" s="58">
        <f>IF(L146="","",L146)</f>
      </c>
      <c r="N146" s="56"/>
      <c r="O146" s="56"/>
      <c r="P146" s="57"/>
      <c r="Q146" s="56"/>
      <c r="R146" s="56"/>
      <c r="S146" s="56"/>
      <c r="T146" s="56"/>
      <c r="U146" s="56"/>
      <c r="V146" s="57"/>
      <c r="W146">
        <f>IF(Q146="Disponible",COUNTIFS($D$2:D146,D146,$Q$2:Q146,"Disponible"),"")</f>
      </c>
      <c r="X146">
        <f>IF(W146&lt;&gt;"",D146&amp;"|"&amp;W146,"")</f>
      </c>
      <c r="Y146">
        <f>IF(X146&lt;&gt;"",IF(K146&lt;&gt;"",K146&amp;" ("&amp;M146&amp;")",M146),"")</f>
      </c>
      <c r="Z146">
        <f>IF(O146="Sí",COUNTIFS($D$2:D146,D146,$O$2:O146,"Sí"),"")</f>
      </c>
      <c r="AA146">
        <f>IF(Z146&lt;&gt;"",D146&amp;"|"&amp;Z146,"")</f>
      </c>
      <c r="AB146">
        <f>IF(AA146&lt;&gt;"",IF(K146&lt;&gt;"",K146&amp;" ("&amp;M146&amp;")",M146),"")</f>
      </c>
      <c r="AC146">
        <f>IF($B146="","fecha, ","")&amp;IF($C146="","quién lo introduce, ","")&amp;IF($I146="","motivo, ","")&amp;IF($K146="","docente, ","")&amp;IF($L146="","horario, ","")&amp;IF($N146="","duración, ","")&amp;IF($Q146="","estado, ","")&amp;IF(AND($I146="Otros",$J146=""),"detalle del motivo, ","")&amp;IF(AND($O146="Sí",$P146=""),"detalle del refuerzo, ","")&amp;IF(AND(OR($I146="Renuncia (hasta 30 nov)",$I146="Baja (desde 1 dic)",$I146="Renuncia excepcional (art. 25.3)",$I146="Traslado de expediente"),OR($E146="",$F146="",$G146="")),"quién deja la plaza, ","")&amp;IF(AND($Q146="No disponible",$R146=""),"vía de cobertura, ","")&amp;IF(AND(OR($R146="Lista de espera · propio centro",$R146="Traslado de expediente",$R146="Lista de espera · otro centro"),OR($S146="",$T146="",$U146="")),"quién ocupa la plaza, ","")</f>
      </c>
      <c r="AD146" s="24">
        <f>IF($D146="","",IF(AND(LEN($AC146)=0,LEN($AK146)=0),"Completa",IF(LEN($AC146)=0,"Revisar: "&amp;LEFT($AK146,LEN($AK146)-2),"Falta: "&amp;LEFT($AC146,LEN($AC146)-2)&amp;IF(LEN($AK146)&gt;0,"  ·  Revisar: "&amp;LEFT($AK146,LEN($AK146)-2),""))))</f>
      </c>
      <c r="AE146">
        <f>IF(AND($D146&lt;&gt;"",OR($I146="Renuncia (hasta 30 nov)",$I146="Baja (desde 1 dic)",$I146="Renuncia excepcional (art. 25.3)",$I146="Traslado de expediente")),COUNTIF($AE$1:AE145,"&gt;0")+1,"")</f>
      </c>
      <c r="AF146">
        <f>IF($Q146="Disponible",COUNTIF($AF$1:AF145,"&gt;0")+1,"")</f>
      </c>
      <c r="AG146">
        <f>IF($O146="Sí",COUNTIF($AG$1:AG145,"&gt;0")+1,"")</f>
      </c>
      <c r="AH146">
        <f>IF(AND($Q146="Disponible",$O146&lt;&gt;"Sí"),COUNTIF($AH$1:AH145,"&gt;0")+1,"")</f>
      </c>
      <c r="AI146">
        <f>IF(AND($Q146="Disponible",$K146&lt;&gt;""),COUNTIFS($K$2:K146,K146,$Q$2:Q146,"Disponible"),"")</f>
      </c>
      <c r="AJ146">
        <f>IF(AI146&lt;&gt;"",K146&amp;"|"&amp;AI146,"")</f>
      </c>
      <c r="AK146">
        <f>IF(AND($Q146="No disponible",OR($R146="Lista de espera · propio centro",$R146="Traslado de expediente",$R146="Lista de espera · otro centro"),$O146="Sí"),"la plaza ya tiene alumno y sigue marcada como refuerzo, ","")&amp;IF(AND($R146="Reconvertida en refuerzo",$O146&lt;&gt;"Sí"),"reconvertida en refuerzo pero sin marcar «En uso como refuerzo», ","")</f>
      </c>
    </row>
    <row r="147" spans="1:37">
      <c r="A147" s="20">
        <f>IF(D147&lt;&gt;"",ROW()-1,"")</f>
      </c>
      <c r="B147" s="55"/>
      <c r="C147" s="56"/>
      <c r="D147" s="56"/>
      <c r="E147" s="56"/>
      <c r="F147" s="56"/>
      <c r="G147" s="56"/>
      <c r="H147" s="56"/>
      <c r="I147" s="56"/>
      <c r="J147" s="57"/>
      <c r="K147" s="56"/>
      <c r="L147" s="58"/>
      <c r="M147" s="58">
        <f>IF(L147="","",L147)</f>
      </c>
      <c r="N147" s="56"/>
      <c r="O147" s="56"/>
      <c r="P147" s="57"/>
      <c r="Q147" s="56"/>
      <c r="R147" s="56"/>
      <c r="S147" s="56"/>
      <c r="T147" s="56"/>
      <c r="U147" s="56"/>
      <c r="V147" s="57"/>
      <c r="W147">
        <f>IF(Q147="Disponible",COUNTIFS($D$2:D147,D147,$Q$2:Q147,"Disponible"),"")</f>
      </c>
      <c r="X147">
        <f>IF(W147&lt;&gt;"",D147&amp;"|"&amp;W147,"")</f>
      </c>
      <c r="Y147">
        <f>IF(X147&lt;&gt;"",IF(K147&lt;&gt;"",K147&amp;" ("&amp;M147&amp;")",M147),"")</f>
      </c>
      <c r="Z147">
        <f>IF(O147="Sí",COUNTIFS($D$2:D147,D147,$O$2:O147,"Sí"),"")</f>
      </c>
      <c r="AA147">
        <f>IF(Z147&lt;&gt;"",D147&amp;"|"&amp;Z147,"")</f>
      </c>
      <c r="AB147">
        <f>IF(AA147&lt;&gt;"",IF(K147&lt;&gt;"",K147&amp;" ("&amp;M147&amp;")",M147),"")</f>
      </c>
      <c r="AC147">
        <f>IF($B147="","fecha, ","")&amp;IF($C147="","quién lo introduce, ","")&amp;IF($I147="","motivo, ","")&amp;IF($K147="","docente, ","")&amp;IF($L147="","horario, ","")&amp;IF($N147="","duración, ","")&amp;IF($Q147="","estado, ","")&amp;IF(AND($I147="Otros",$J147=""),"detalle del motivo, ","")&amp;IF(AND($O147="Sí",$P147=""),"detalle del refuerzo, ","")&amp;IF(AND(OR($I147="Renuncia (hasta 30 nov)",$I147="Baja (desde 1 dic)",$I147="Renuncia excepcional (art. 25.3)",$I147="Traslado de expediente"),OR($E147="",$F147="",$G147="")),"quién deja la plaza, ","")&amp;IF(AND($Q147="No disponible",$R147=""),"vía de cobertura, ","")&amp;IF(AND(OR($R147="Lista de espera · propio centro",$R147="Traslado de expediente",$R147="Lista de espera · otro centro"),OR($S147="",$T147="",$U147="")),"quién ocupa la plaza, ","")</f>
      </c>
      <c r="AD147" s="24">
        <f>IF($D147="","",IF(AND(LEN($AC147)=0,LEN($AK147)=0),"Completa",IF(LEN($AC147)=0,"Revisar: "&amp;LEFT($AK147,LEN($AK147)-2),"Falta: "&amp;LEFT($AC147,LEN($AC147)-2)&amp;IF(LEN($AK147)&gt;0,"  ·  Revisar: "&amp;LEFT($AK147,LEN($AK147)-2),""))))</f>
      </c>
      <c r="AE147">
        <f>IF(AND($D147&lt;&gt;"",OR($I147="Renuncia (hasta 30 nov)",$I147="Baja (desde 1 dic)",$I147="Renuncia excepcional (art. 25.3)",$I147="Traslado de expediente")),COUNTIF($AE$1:AE146,"&gt;0")+1,"")</f>
      </c>
      <c r="AF147">
        <f>IF($Q147="Disponible",COUNTIF($AF$1:AF146,"&gt;0")+1,"")</f>
      </c>
      <c r="AG147">
        <f>IF($O147="Sí",COUNTIF($AG$1:AG146,"&gt;0")+1,"")</f>
      </c>
      <c r="AH147">
        <f>IF(AND($Q147="Disponible",$O147&lt;&gt;"Sí"),COUNTIF($AH$1:AH146,"&gt;0")+1,"")</f>
      </c>
      <c r="AI147">
        <f>IF(AND($Q147="Disponible",$K147&lt;&gt;""),COUNTIFS($K$2:K147,K147,$Q$2:Q147,"Disponible"),"")</f>
      </c>
      <c r="AJ147">
        <f>IF(AI147&lt;&gt;"",K147&amp;"|"&amp;AI147,"")</f>
      </c>
      <c r="AK147">
        <f>IF(AND($Q147="No disponible",OR($R147="Lista de espera · propio centro",$R147="Traslado de expediente",$R147="Lista de espera · otro centro"),$O147="Sí"),"la plaza ya tiene alumno y sigue marcada como refuerzo, ","")&amp;IF(AND($R147="Reconvertida en refuerzo",$O147&lt;&gt;"Sí"),"reconvertida en refuerzo pero sin marcar «En uso como refuerzo», ","")</f>
      </c>
    </row>
    <row r="148" spans="1:37">
      <c r="A148" s="20">
        <f>IF(D148&lt;&gt;"",ROW()-1,"")</f>
      </c>
      <c r="B148" s="55"/>
      <c r="C148" s="56"/>
      <c r="D148" s="56"/>
      <c r="E148" s="56"/>
      <c r="F148" s="56"/>
      <c r="G148" s="56"/>
      <c r="H148" s="56"/>
      <c r="I148" s="56"/>
      <c r="J148" s="57"/>
      <c r="K148" s="56"/>
      <c r="L148" s="58"/>
      <c r="M148" s="58">
        <f>IF(L148="","",L148)</f>
      </c>
      <c r="N148" s="56"/>
      <c r="O148" s="56"/>
      <c r="P148" s="57"/>
      <c r="Q148" s="56"/>
      <c r="R148" s="56"/>
      <c r="S148" s="56"/>
      <c r="T148" s="56"/>
      <c r="U148" s="56"/>
      <c r="V148" s="57"/>
      <c r="W148">
        <f>IF(Q148="Disponible",COUNTIFS($D$2:D148,D148,$Q$2:Q148,"Disponible"),"")</f>
      </c>
      <c r="X148">
        <f>IF(W148&lt;&gt;"",D148&amp;"|"&amp;W148,"")</f>
      </c>
      <c r="Y148">
        <f>IF(X148&lt;&gt;"",IF(K148&lt;&gt;"",K148&amp;" ("&amp;M148&amp;")",M148),"")</f>
      </c>
      <c r="Z148">
        <f>IF(O148="Sí",COUNTIFS($D$2:D148,D148,$O$2:O148,"Sí"),"")</f>
      </c>
      <c r="AA148">
        <f>IF(Z148&lt;&gt;"",D148&amp;"|"&amp;Z148,"")</f>
      </c>
      <c r="AB148">
        <f>IF(AA148&lt;&gt;"",IF(K148&lt;&gt;"",K148&amp;" ("&amp;M148&amp;")",M148),"")</f>
      </c>
      <c r="AC148">
        <f>IF($B148="","fecha, ","")&amp;IF($C148="","quién lo introduce, ","")&amp;IF($I148="","motivo, ","")&amp;IF($K148="","docente, ","")&amp;IF($L148="","horario, ","")&amp;IF($N148="","duración, ","")&amp;IF($Q148="","estado, ","")&amp;IF(AND($I148="Otros",$J148=""),"detalle del motivo, ","")&amp;IF(AND($O148="Sí",$P148=""),"detalle del refuerzo, ","")&amp;IF(AND(OR($I148="Renuncia (hasta 30 nov)",$I148="Baja (desde 1 dic)",$I148="Renuncia excepcional (art. 25.3)",$I148="Traslado de expediente"),OR($E148="",$F148="",$G148="")),"quién deja la plaza, ","")&amp;IF(AND($Q148="No disponible",$R148=""),"vía de cobertura, ","")&amp;IF(AND(OR($R148="Lista de espera · propio centro",$R148="Traslado de expediente",$R148="Lista de espera · otro centro"),OR($S148="",$T148="",$U148="")),"quién ocupa la plaza, ","")</f>
      </c>
      <c r="AD148" s="24">
        <f>IF($D148="","",IF(AND(LEN($AC148)=0,LEN($AK148)=0),"Completa",IF(LEN($AC148)=0,"Revisar: "&amp;LEFT($AK148,LEN($AK148)-2),"Falta: "&amp;LEFT($AC148,LEN($AC148)-2)&amp;IF(LEN($AK148)&gt;0,"  ·  Revisar: "&amp;LEFT($AK148,LEN($AK148)-2),""))))</f>
      </c>
      <c r="AE148">
        <f>IF(AND($D148&lt;&gt;"",OR($I148="Renuncia (hasta 30 nov)",$I148="Baja (desde 1 dic)",$I148="Renuncia excepcional (art. 25.3)",$I148="Traslado de expediente")),COUNTIF($AE$1:AE147,"&gt;0")+1,"")</f>
      </c>
      <c r="AF148">
        <f>IF($Q148="Disponible",COUNTIF($AF$1:AF147,"&gt;0")+1,"")</f>
      </c>
      <c r="AG148">
        <f>IF($O148="Sí",COUNTIF($AG$1:AG147,"&gt;0")+1,"")</f>
      </c>
      <c r="AH148">
        <f>IF(AND($Q148="Disponible",$O148&lt;&gt;"Sí"),COUNTIF($AH$1:AH147,"&gt;0")+1,"")</f>
      </c>
      <c r="AI148">
        <f>IF(AND($Q148="Disponible",$K148&lt;&gt;""),COUNTIFS($K$2:K148,K148,$Q$2:Q148,"Disponible"),"")</f>
      </c>
      <c r="AJ148">
        <f>IF(AI148&lt;&gt;"",K148&amp;"|"&amp;AI148,"")</f>
      </c>
      <c r="AK148">
        <f>IF(AND($Q148="No disponible",OR($R148="Lista de espera · propio centro",$R148="Traslado de expediente",$R148="Lista de espera · otro centro"),$O148="Sí"),"la plaza ya tiene alumno y sigue marcada como refuerzo, ","")&amp;IF(AND($R148="Reconvertida en refuerzo",$O148&lt;&gt;"Sí"),"reconvertida en refuerzo pero sin marcar «En uso como refuerzo», ","")</f>
      </c>
    </row>
    <row r="149" spans="1:37">
      <c r="A149" s="20">
        <f>IF(D149&lt;&gt;"",ROW()-1,"")</f>
      </c>
      <c r="B149" s="55"/>
      <c r="C149" s="56"/>
      <c r="D149" s="56"/>
      <c r="E149" s="56"/>
      <c r="F149" s="56"/>
      <c r="G149" s="56"/>
      <c r="H149" s="56"/>
      <c r="I149" s="56"/>
      <c r="J149" s="57"/>
      <c r="K149" s="56"/>
      <c r="L149" s="58"/>
      <c r="M149" s="58">
        <f>IF(L149="","",L149)</f>
      </c>
      <c r="N149" s="56"/>
      <c r="O149" s="56"/>
      <c r="P149" s="57"/>
      <c r="Q149" s="56"/>
      <c r="R149" s="56"/>
      <c r="S149" s="56"/>
      <c r="T149" s="56"/>
      <c r="U149" s="56"/>
      <c r="V149" s="57"/>
      <c r="W149">
        <f>IF(Q149="Disponible",COUNTIFS($D$2:D149,D149,$Q$2:Q149,"Disponible"),"")</f>
      </c>
      <c r="X149">
        <f>IF(W149&lt;&gt;"",D149&amp;"|"&amp;W149,"")</f>
      </c>
      <c r="Y149">
        <f>IF(X149&lt;&gt;"",IF(K149&lt;&gt;"",K149&amp;" ("&amp;M149&amp;")",M149),"")</f>
      </c>
      <c r="Z149">
        <f>IF(O149="Sí",COUNTIFS($D$2:D149,D149,$O$2:O149,"Sí"),"")</f>
      </c>
      <c r="AA149">
        <f>IF(Z149&lt;&gt;"",D149&amp;"|"&amp;Z149,"")</f>
      </c>
      <c r="AB149">
        <f>IF(AA149&lt;&gt;"",IF(K149&lt;&gt;"",K149&amp;" ("&amp;M149&amp;")",M149),"")</f>
      </c>
      <c r="AC149">
        <f>IF($B149="","fecha, ","")&amp;IF($C149="","quién lo introduce, ","")&amp;IF($I149="","motivo, ","")&amp;IF($K149="","docente, ","")&amp;IF($L149="","horario, ","")&amp;IF($N149="","duración, ","")&amp;IF($Q149="","estado, ","")&amp;IF(AND($I149="Otros",$J149=""),"detalle del motivo, ","")&amp;IF(AND($O149="Sí",$P149=""),"detalle del refuerzo, ","")&amp;IF(AND(OR($I149="Renuncia (hasta 30 nov)",$I149="Baja (desde 1 dic)",$I149="Renuncia excepcional (art. 25.3)",$I149="Traslado de expediente"),OR($E149="",$F149="",$G149="")),"quién deja la plaza, ","")&amp;IF(AND($Q149="No disponible",$R149=""),"vía de cobertura, ","")&amp;IF(AND(OR($R149="Lista de espera · propio centro",$R149="Traslado de expediente",$R149="Lista de espera · otro centro"),OR($S149="",$T149="",$U149="")),"quién ocupa la plaza, ","")</f>
      </c>
      <c r="AD149" s="24">
        <f>IF($D149="","",IF(AND(LEN($AC149)=0,LEN($AK149)=0),"Completa",IF(LEN($AC149)=0,"Revisar: "&amp;LEFT($AK149,LEN($AK149)-2),"Falta: "&amp;LEFT($AC149,LEN($AC149)-2)&amp;IF(LEN($AK149)&gt;0,"  ·  Revisar: "&amp;LEFT($AK149,LEN($AK149)-2),""))))</f>
      </c>
      <c r="AE149">
        <f>IF(AND($D149&lt;&gt;"",OR($I149="Renuncia (hasta 30 nov)",$I149="Baja (desde 1 dic)",$I149="Renuncia excepcional (art. 25.3)",$I149="Traslado de expediente")),COUNTIF($AE$1:AE148,"&gt;0")+1,"")</f>
      </c>
      <c r="AF149">
        <f>IF($Q149="Disponible",COUNTIF($AF$1:AF148,"&gt;0")+1,"")</f>
      </c>
      <c r="AG149">
        <f>IF($O149="Sí",COUNTIF($AG$1:AG148,"&gt;0")+1,"")</f>
      </c>
      <c r="AH149">
        <f>IF(AND($Q149="Disponible",$O149&lt;&gt;"Sí"),COUNTIF($AH$1:AH148,"&gt;0")+1,"")</f>
      </c>
      <c r="AI149">
        <f>IF(AND($Q149="Disponible",$K149&lt;&gt;""),COUNTIFS($K$2:K149,K149,$Q$2:Q149,"Disponible"),"")</f>
      </c>
      <c r="AJ149">
        <f>IF(AI149&lt;&gt;"",K149&amp;"|"&amp;AI149,"")</f>
      </c>
      <c r="AK149">
        <f>IF(AND($Q149="No disponible",OR($R149="Lista de espera · propio centro",$R149="Traslado de expediente",$R149="Lista de espera · otro centro"),$O149="Sí"),"la plaza ya tiene alumno y sigue marcada como refuerzo, ","")&amp;IF(AND($R149="Reconvertida en refuerzo",$O149&lt;&gt;"Sí"),"reconvertida en refuerzo pero sin marcar «En uso como refuerzo», ","")</f>
      </c>
    </row>
    <row r="150" spans="1:37">
      <c r="A150" s="20">
        <f>IF(D150&lt;&gt;"",ROW()-1,"")</f>
      </c>
      <c r="B150" s="55"/>
      <c r="C150" s="56"/>
      <c r="D150" s="56"/>
      <c r="E150" s="56"/>
      <c r="F150" s="56"/>
      <c r="G150" s="56"/>
      <c r="H150" s="56"/>
      <c r="I150" s="56"/>
      <c r="J150" s="57"/>
      <c r="K150" s="56"/>
      <c r="L150" s="58"/>
      <c r="M150" s="58">
        <f>IF(L150="","",L150)</f>
      </c>
      <c r="N150" s="56"/>
      <c r="O150" s="56"/>
      <c r="P150" s="57"/>
      <c r="Q150" s="56"/>
      <c r="R150" s="56"/>
      <c r="S150" s="56"/>
      <c r="T150" s="56"/>
      <c r="U150" s="56"/>
      <c r="V150" s="57"/>
      <c r="W150">
        <f>IF(Q150="Disponible",COUNTIFS($D$2:D150,D150,$Q$2:Q150,"Disponible"),"")</f>
      </c>
      <c r="X150">
        <f>IF(W150&lt;&gt;"",D150&amp;"|"&amp;W150,"")</f>
      </c>
      <c r="Y150">
        <f>IF(X150&lt;&gt;"",IF(K150&lt;&gt;"",K150&amp;" ("&amp;M150&amp;")",M150),"")</f>
      </c>
      <c r="Z150">
        <f>IF(O150="Sí",COUNTIFS($D$2:D150,D150,$O$2:O150,"Sí"),"")</f>
      </c>
      <c r="AA150">
        <f>IF(Z150&lt;&gt;"",D150&amp;"|"&amp;Z150,"")</f>
      </c>
      <c r="AB150">
        <f>IF(AA150&lt;&gt;"",IF(K150&lt;&gt;"",K150&amp;" ("&amp;M150&amp;")",M150),"")</f>
      </c>
      <c r="AC150">
        <f>IF($B150="","fecha, ","")&amp;IF($C150="","quién lo introduce, ","")&amp;IF($I150="","motivo, ","")&amp;IF($K150="","docente, ","")&amp;IF($L150="","horario, ","")&amp;IF($N150="","duración, ","")&amp;IF($Q150="","estado, ","")&amp;IF(AND($I150="Otros",$J150=""),"detalle del motivo, ","")&amp;IF(AND($O150="Sí",$P150=""),"detalle del refuerzo, ","")&amp;IF(AND(OR($I150="Renuncia (hasta 30 nov)",$I150="Baja (desde 1 dic)",$I150="Renuncia excepcional (art. 25.3)",$I150="Traslado de expediente"),OR($E150="",$F150="",$G150="")),"quién deja la plaza, ","")&amp;IF(AND($Q150="No disponible",$R150=""),"vía de cobertura, ","")&amp;IF(AND(OR($R150="Lista de espera · propio centro",$R150="Traslado de expediente",$R150="Lista de espera · otro centro"),OR($S150="",$T150="",$U150="")),"quién ocupa la plaza, ","")</f>
      </c>
      <c r="AD150" s="24">
        <f>IF($D150="","",IF(AND(LEN($AC150)=0,LEN($AK150)=0),"Completa",IF(LEN($AC150)=0,"Revisar: "&amp;LEFT($AK150,LEN($AK150)-2),"Falta: "&amp;LEFT($AC150,LEN($AC150)-2)&amp;IF(LEN($AK150)&gt;0,"  ·  Revisar: "&amp;LEFT($AK150,LEN($AK150)-2),""))))</f>
      </c>
      <c r="AE150">
        <f>IF(AND($D150&lt;&gt;"",OR($I150="Renuncia (hasta 30 nov)",$I150="Baja (desde 1 dic)",$I150="Renuncia excepcional (art. 25.3)",$I150="Traslado de expediente")),COUNTIF($AE$1:AE149,"&gt;0")+1,"")</f>
      </c>
      <c r="AF150">
        <f>IF($Q150="Disponible",COUNTIF($AF$1:AF149,"&gt;0")+1,"")</f>
      </c>
      <c r="AG150">
        <f>IF($O150="Sí",COUNTIF($AG$1:AG149,"&gt;0")+1,"")</f>
      </c>
      <c r="AH150">
        <f>IF(AND($Q150="Disponible",$O150&lt;&gt;"Sí"),COUNTIF($AH$1:AH149,"&gt;0")+1,"")</f>
      </c>
      <c r="AI150">
        <f>IF(AND($Q150="Disponible",$K150&lt;&gt;""),COUNTIFS($K$2:K150,K150,$Q$2:Q150,"Disponible"),"")</f>
      </c>
      <c r="AJ150">
        <f>IF(AI150&lt;&gt;"",K150&amp;"|"&amp;AI150,"")</f>
      </c>
      <c r="AK150">
        <f>IF(AND($Q150="No disponible",OR($R150="Lista de espera · propio centro",$R150="Traslado de expediente",$R150="Lista de espera · otro centro"),$O150="Sí"),"la plaza ya tiene alumno y sigue marcada como refuerzo, ","")&amp;IF(AND($R150="Reconvertida en refuerzo",$O150&lt;&gt;"Sí"),"reconvertida en refuerzo pero sin marcar «En uso como refuerzo», ","")</f>
      </c>
    </row>
    <row r="151" spans="1:37">
      <c r="A151" s="20">
        <f>IF(D151&lt;&gt;"",ROW()-1,"")</f>
      </c>
      <c r="B151" s="55"/>
      <c r="C151" s="56"/>
      <c r="D151" s="56"/>
      <c r="E151" s="56"/>
      <c r="F151" s="56"/>
      <c r="G151" s="56"/>
      <c r="H151" s="56"/>
      <c r="I151" s="56"/>
      <c r="J151" s="57"/>
      <c r="K151" s="56"/>
      <c r="L151" s="58"/>
      <c r="M151" s="58">
        <f>IF(L151="","",L151)</f>
      </c>
      <c r="N151" s="56"/>
      <c r="O151" s="56"/>
      <c r="P151" s="57"/>
      <c r="Q151" s="56"/>
      <c r="R151" s="56"/>
      <c r="S151" s="56"/>
      <c r="T151" s="56"/>
      <c r="U151" s="56"/>
      <c r="V151" s="57"/>
      <c r="W151">
        <f>IF(Q151="Disponible",COUNTIFS($D$2:D151,D151,$Q$2:Q151,"Disponible"),"")</f>
      </c>
      <c r="X151">
        <f>IF(W151&lt;&gt;"",D151&amp;"|"&amp;W151,"")</f>
      </c>
      <c r="Y151">
        <f>IF(X151&lt;&gt;"",IF(K151&lt;&gt;"",K151&amp;" ("&amp;M151&amp;")",M151),"")</f>
      </c>
      <c r="Z151">
        <f>IF(O151="Sí",COUNTIFS($D$2:D151,D151,$O$2:O151,"Sí"),"")</f>
      </c>
      <c r="AA151">
        <f>IF(Z151&lt;&gt;"",D151&amp;"|"&amp;Z151,"")</f>
      </c>
      <c r="AB151">
        <f>IF(AA151&lt;&gt;"",IF(K151&lt;&gt;"",K151&amp;" ("&amp;M151&amp;")",M151),"")</f>
      </c>
      <c r="AC151">
        <f>IF($B151="","fecha, ","")&amp;IF($C151="","quién lo introduce, ","")&amp;IF($I151="","motivo, ","")&amp;IF($K151="","docente, ","")&amp;IF($L151="","horario, ","")&amp;IF($N151="","duración, ","")&amp;IF($Q151="","estado, ","")&amp;IF(AND($I151="Otros",$J151=""),"detalle del motivo, ","")&amp;IF(AND($O151="Sí",$P151=""),"detalle del refuerzo, ","")&amp;IF(AND(OR($I151="Renuncia (hasta 30 nov)",$I151="Baja (desde 1 dic)",$I151="Renuncia excepcional (art. 25.3)",$I151="Traslado de expediente"),OR($E151="",$F151="",$G151="")),"quién deja la plaza, ","")&amp;IF(AND($Q151="No disponible",$R151=""),"vía de cobertura, ","")&amp;IF(AND(OR($R151="Lista de espera · propio centro",$R151="Traslado de expediente",$R151="Lista de espera · otro centro"),OR($S151="",$T151="",$U151="")),"quién ocupa la plaza, ","")</f>
      </c>
      <c r="AD151" s="24">
        <f>IF($D151="","",IF(AND(LEN($AC151)=0,LEN($AK151)=0),"Completa",IF(LEN($AC151)=0,"Revisar: "&amp;LEFT($AK151,LEN($AK151)-2),"Falta: "&amp;LEFT($AC151,LEN($AC151)-2)&amp;IF(LEN($AK151)&gt;0,"  ·  Revisar: "&amp;LEFT($AK151,LEN($AK151)-2),""))))</f>
      </c>
      <c r="AE151">
        <f>IF(AND($D151&lt;&gt;"",OR($I151="Renuncia (hasta 30 nov)",$I151="Baja (desde 1 dic)",$I151="Renuncia excepcional (art. 25.3)",$I151="Traslado de expediente")),COUNTIF($AE$1:AE150,"&gt;0")+1,"")</f>
      </c>
      <c r="AF151">
        <f>IF($Q151="Disponible",COUNTIF($AF$1:AF150,"&gt;0")+1,"")</f>
      </c>
      <c r="AG151">
        <f>IF($O151="Sí",COUNTIF($AG$1:AG150,"&gt;0")+1,"")</f>
      </c>
      <c r="AH151">
        <f>IF(AND($Q151="Disponible",$O151&lt;&gt;"Sí"),COUNTIF($AH$1:AH150,"&gt;0")+1,"")</f>
      </c>
      <c r="AI151">
        <f>IF(AND($Q151="Disponible",$K151&lt;&gt;""),COUNTIFS($K$2:K151,K151,$Q$2:Q151,"Disponible"),"")</f>
      </c>
      <c r="AJ151">
        <f>IF(AI151&lt;&gt;"",K151&amp;"|"&amp;AI151,"")</f>
      </c>
      <c r="AK151">
        <f>IF(AND($Q151="No disponible",OR($R151="Lista de espera · propio centro",$R151="Traslado de expediente",$R151="Lista de espera · otro centro"),$O151="Sí"),"la plaza ya tiene alumno y sigue marcada como refuerzo, ","")&amp;IF(AND($R151="Reconvertida en refuerzo",$O151&lt;&gt;"Sí"),"reconvertida en refuerzo pero sin marcar «En uso como refuerzo», ","")</f>
      </c>
    </row>
    <row r="152" spans="1:37">
      <c r="A152" s="20">
        <f>IF(D152&lt;&gt;"",ROW()-1,"")</f>
      </c>
      <c r="B152" s="55"/>
      <c r="C152" s="56"/>
      <c r="D152" s="56"/>
      <c r="E152" s="56"/>
      <c r="F152" s="56"/>
      <c r="G152" s="56"/>
      <c r="H152" s="56"/>
      <c r="I152" s="56"/>
      <c r="J152" s="57"/>
      <c r="K152" s="56"/>
      <c r="L152" s="58"/>
      <c r="M152" s="58">
        <f>IF(L152="","",L152)</f>
      </c>
      <c r="N152" s="56"/>
      <c r="O152" s="56"/>
      <c r="P152" s="57"/>
      <c r="Q152" s="56"/>
      <c r="R152" s="56"/>
      <c r="S152" s="56"/>
      <c r="T152" s="56"/>
      <c r="U152" s="56"/>
      <c r="V152" s="57"/>
      <c r="W152">
        <f>IF(Q152="Disponible",COUNTIFS($D$2:D152,D152,$Q$2:Q152,"Disponible"),"")</f>
      </c>
      <c r="X152">
        <f>IF(W152&lt;&gt;"",D152&amp;"|"&amp;W152,"")</f>
      </c>
      <c r="Y152">
        <f>IF(X152&lt;&gt;"",IF(K152&lt;&gt;"",K152&amp;" ("&amp;M152&amp;")",M152),"")</f>
      </c>
      <c r="Z152">
        <f>IF(O152="Sí",COUNTIFS($D$2:D152,D152,$O$2:O152,"Sí"),"")</f>
      </c>
      <c r="AA152">
        <f>IF(Z152&lt;&gt;"",D152&amp;"|"&amp;Z152,"")</f>
      </c>
      <c r="AB152">
        <f>IF(AA152&lt;&gt;"",IF(K152&lt;&gt;"",K152&amp;" ("&amp;M152&amp;")",M152),"")</f>
      </c>
      <c r="AC152">
        <f>IF($B152="","fecha, ","")&amp;IF($C152="","quién lo introduce, ","")&amp;IF($I152="","motivo, ","")&amp;IF($K152="","docente, ","")&amp;IF($L152="","horario, ","")&amp;IF($N152="","duración, ","")&amp;IF($Q152="","estado, ","")&amp;IF(AND($I152="Otros",$J152=""),"detalle del motivo, ","")&amp;IF(AND($O152="Sí",$P152=""),"detalle del refuerzo, ","")&amp;IF(AND(OR($I152="Renuncia (hasta 30 nov)",$I152="Baja (desde 1 dic)",$I152="Renuncia excepcional (art. 25.3)",$I152="Traslado de expediente"),OR($E152="",$F152="",$G152="")),"quién deja la plaza, ","")&amp;IF(AND($Q152="No disponible",$R152=""),"vía de cobertura, ","")&amp;IF(AND(OR($R152="Lista de espera · propio centro",$R152="Traslado de expediente",$R152="Lista de espera · otro centro"),OR($S152="",$T152="",$U152="")),"quién ocupa la plaza, ","")</f>
      </c>
      <c r="AD152" s="24">
        <f>IF($D152="","",IF(AND(LEN($AC152)=0,LEN($AK152)=0),"Completa",IF(LEN($AC152)=0,"Revisar: "&amp;LEFT($AK152,LEN($AK152)-2),"Falta: "&amp;LEFT($AC152,LEN($AC152)-2)&amp;IF(LEN($AK152)&gt;0,"  ·  Revisar: "&amp;LEFT($AK152,LEN($AK152)-2),""))))</f>
      </c>
      <c r="AE152">
        <f>IF(AND($D152&lt;&gt;"",OR($I152="Renuncia (hasta 30 nov)",$I152="Baja (desde 1 dic)",$I152="Renuncia excepcional (art. 25.3)",$I152="Traslado de expediente")),COUNTIF($AE$1:AE151,"&gt;0")+1,"")</f>
      </c>
      <c r="AF152">
        <f>IF($Q152="Disponible",COUNTIF($AF$1:AF151,"&gt;0")+1,"")</f>
      </c>
      <c r="AG152">
        <f>IF($O152="Sí",COUNTIF($AG$1:AG151,"&gt;0")+1,"")</f>
      </c>
      <c r="AH152">
        <f>IF(AND($Q152="Disponible",$O152&lt;&gt;"Sí"),COUNTIF($AH$1:AH151,"&gt;0")+1,"")</f>
      </c>
      <c r="AI152">
        <f>IF(AND($Q152="Disponible",$K152&lt;&gt;""),COUNTIFS($K$2:K152,K152,$Q$2:Q152,"Disponible"),"")</f>
      </c>
      <c r="AJ152">
        <f>IF(AI152&lt;&gt;"",K152&amp;"|"&amp;AI152,"")</f>
      </c>
      <c r="AK152">
        <f>IF(AND($Q152="No disponible",OR($R152="Lista de espera · propio centro",$R152="Traslado de expediente",$R152="Lista de espera · otro centro"),$O152="Sí"),"la plaza ya tiene alumno y sigue marcada como refuerzo, ","")&amp;IF(AND($R152="Reconvertida en refuerzo",$O152&lt;&gt;"Sí"),"reconvertida en refuerzo pero sin marcar «En uso como refuerzo», ","")</f>
      </c>
    </row>
    <row r="153" spans="1:37">
      <c r="A153" s="20">
        <f>IF(D153&lt;&gt;"",ROW()-1,"")</f>
      </c>
      <c r="B153" s="55"/>
      <c r="C153" s="56"/>
      <c r="D153" s="56"/>
      <c r="E153" s="56"/>
      <c r="F153" s="56"/>
      <c r="G153" s="56"/>
      <c r="H153" s="56"/>
      <c r="I153" s="56"/>
      <c r="J153" s="57"/>
      <c r="K153" s="56"/>
      <c r="L153" s="58"/>
      <c r="M153" s="58">
        <f>IF(L153="","",L153)</f>
      </c>
      <c r="N153" s="56"/>
      <c r="O153" s="56"/>
      <c r="P153" s="57"/>
      <c r="Q153" s="56"/>
      <c r="R153" s="56"/>
      <c r="S153" s="56"/>
      <c r="T153" s="56"/>
      <c r="U153" s="56"/>
      <c r="V153" s="57"/>
      <c r="W153">
        <f>IF(Q153="Disponible",COUNTIFS($D$2:D153,D153,$Q$2:Q153,"Disponible"),"")</f>
      </c>
      <c r="X153">
        <f>IF(W153&lt;&gt;"",D153&amp;"|"&amp;W153,"")</f>
      </c>
      <c r="Y153">
        <f>IF(X153&lt;&gt;"",IF(K153&lt;&gt;"",K153&amp;" ("&amp;M153&amp;")",M153),"")</f>
      </c>
      <c r="Z153">
        <f>IF(O153="Sí",COUNTIFS($D$2:D153,D153,$O$2:O153,"Sí"),"")</f>
      </c>
      <c r="AA153">
        <f>IF(Z153&lt;&gt;"",D153&amp;"|"&amp;Z153,"")</f>
      </c>
      <c r="AB153">
        <f>IF(AA153&lt;&gt;"",IF(K153&lt;&gt;"",K153&amp;" ("&amp;M153&amp;")",M153),"")</f>
      </c>
      <c r="AC153">
        <f>IF($B153="","fecha, ","")&amp;IF($C153="","quién lo introduce, ","")&amp;IF($I153="","motivo, ","")&amp;IF($K153="","docente, ","")&amp;IF($L153="","horario, ","")&amp;IF($N153="","duración, ","")&amp;IF($Q153="","estado, ","")&amp;IF(AND($I153="Otros",$J153=""),"detalle del motivo, ","")&amp;IF(AND($O153="Sí",$P153=""),"detalle del refuerzo, ","")&amp;IF(AND(OR($I153="Renuncia (hasta 30 nov)",$I153="Baja (desde 1 dic)",$I153="Renuncia excepcional (art. 25.3)",$I153="Traslado de expediente"),OR($E153="",$F153="",$G153="")),"quién deja la plaza, ","")&amp;IF(AND($Q153="No disponible",$R153=""),"vía de cobertura, ","")&amp;IF(AND(OR($R153="Lista de espera · propio centro",$R153="Traslado de expediente",$R153="Lista de espera · otro centro"),OR($S153="",$T153="",$U153="")),"quién ocupa la plaza, ","")</f>
      </c>
      <c r="AD153" s="24">
        <f>IF($D153="","",IF(AND(LEN($AC153)=0,LEN($AK153)=0),"Completa",IF(LEN($AC153)=0,"Revisar: "&amp;LEFT($AK153,LEN($AK153)-2),"Falta: "&amp;LEFT($AC153,LEN($AC153)-2)&amp;IF(LEN($AK153)&gt;0,"  ·  Revisar: "&amp;LEFT($AK153,LEN($AK153)-2),""))))</f>
      </c>
      <c r="AE153">
        <f>IF(AND($D153&lt;&gt;"",OR($I153="Renuncia (hasta 30 nov)",$I153="Baja (desde 1 dic)",$I153="Renuncia excepcional (art. 25.3)",$I153="Traslado de expediente")),COUNTIF($AE$1:AE152,"&gt;0")+1,"")</f>
      </c>
      <c r="AF153">
        <f>IF($Q153="Disponible",COUNTIF($AF$1:AF152,"&gt;0")+1,"")</f>
      </c>
      <c r="AG153">
        <f>IF($O153="Sí",COUNTIF($AG$1:AG152,"&gt;0")+1,"")</f>
      </c>
      <c r="AH153">
        <f>IF(AND($Q153="Disponible",$O153&lt;&gt;"Sí"),COUNTIF($AH$1:AH152,"&gt;0")+1,"")</f>
      </c>
      <c r="AI153">
        <f>IF(AND($Q153="Disponible",$K153&lt;&gt;""),COUNTIFS($K$2:K153,K153,$Q$2:Q153,"Disponible"),"")</f>
      </c>
      <c r="AJ153">
        <f>IF(AI153&lt;&gt;"",K153&amp;"|"&amp;AI153,"")</f>
      </c>
      <c r="AK153">
        <f>IF(AND($Q153="No disponible",OR($R153="Lista de espera · propio centro",$R153="Traslado de expediente",$R153="Lista de espera · otro centro"),$O153="Sí"),"la plaza ya tiene alumno y sigue marcada como refuerzo, ","")&amp;IF(AND($R153="Reconvertida en refuerzo",$O153&lt;&gt;"Sí"),"reconvertida en refuerzo pero sin marcar «En uso como refuerzo», ","")</f>
      </c>
    </row>
    <row r="154" spans="1:37">
      <c r="A154" s="20">
        <f>IF(D154&lt;&gt;"",ROW()-1,"")</f>
      </c>
      <c r="B154" s="55"/>
      <c r="C154" s="56"/>
      <c r="D154" s="56"/>
      <c r="E154" s="56"/>
      <c r="F154" s="56"/>
      <c r="G154" s="56"/>
      <c r="H154" s="56"/>
      <c r="I154" s="56"/>
      <c r="J154" s="57"/>
      <c r="K154" s="56"/>
      <c r="L154" s="58"/>
      <c r="M154" s="58">
        <f>IF(L154="","",L154)</f>
      </c>
      <c r="N154" s="56"/>
      <c r="O154" s="56"/>
      <c r="P154" s="57"/>
      <c r="Q154" s="56"/>
      <c r="R154" s="56"/>
      <c r="S154" s="56"/>
      <c r="T154" s="56"/>
      <c r="U154" s="56"/>
      <c r="V154" s="57"/>
      <c r="W154">
        <f>IF(Q154="Disponible",COUNTIFS($D$2:D154,D154,$Q$2:Q154,"Disponible"),"")</f>
      </c>
      <c r="X154">
        <f>IF(W154&lt;&gt;"",D154&amp;"|"&amp;W154,"")</f>
      </c>
      <c r="Y154">
        <f>IF(X154&lt;&gt;"",IF(K154&lt;&gt;"",K154&amp;" ("&amp;M154&amp;")",M154),"")</f>
      </c>
      <c r="Z154">
        <f>IF(O154="Sí",COUNTIFS($D$2:D154,D154,$O$2:O154,"Sí"),"")</f>
      </c>
      <c r="AA154">
        <f>IF(Z154&lt;&gt;"",D154&amp;"|"&amp;Z154,"")</f>
      </c>
      <c r="AB154">
        <f>IF(AA154&lt;&gt;"",IF(K154&lt;&gt;"",K154&amp;" ("&amp;M154&amp;")",M154),"")</f>
      </c>
      <c r="AC154">
        <f>IF($B154="","fecha, ","")&amp;IF($C154="","quién lo introduce, ","")&amp;IF($I154="","motivo, ","")&amp;IF($K154="","docente, ","")&amp;IF($L154="","horario, ","")&amp;IF($N154="","duración, ","")&amp;IF($Q154="","estado, ","")&amp;IF(AND($I154="Otros",$J154=""),"detalle del motivo, ","")&amp;IF(AND($O154="Sí",$P154=""),"detalle del refuerzo, ","")&amp;IF(AND(OR($I154="Renuncia (hasta 30 nov)",$I154="Baja (desde 1 dic)",$I154="Renuncia excepcional (art. 25.3)",$I154="Traslado de expediente"),OR($E154="",$F154="",$G154="")),"quién deja la plaza, ","")&amp;IF(AND($Q154="No disponible",$R154=""),"vía de cobertura, ","")&amp;IF(AND(OR($R154="Lista de espera · propio centro",$R154="Traslado de expediente",$R154="Lista de espera · otro centro"),OR($S154="",$T154="",$U154="")),"quién ocupa la plaza, ","")</f>
      </c>
      <c r="AD154" s="24">
        <f>IF($D154="","",IF(AND(LEN($AC154)=0,LEN($AK154)=0),"Completa",IF(LEN($AC154)=0,"Revisar: "&amp;LEFT($AK154,LEN($AK154)-2),"Falta: "&amp;LEFT($AC154,LEN($AC154)-2)&amp;IF(LEN($AK154)&gt;0,"  ·  Revisar: "&amp;LEFT($AK154,LEN($AK154)-2),""))))</f>
      </c>
      <c r="AE154">
        <f>IF(AND($D154&lt;&gt;"",OR($I154="Renuncia (hasta 30 nov)",$I154="Baja (desde 1 dic)",$I154="Renuncia excepcional (art. 25.3)",$I154="Traslado de expediente")),COUNTIF($AE$1:AE153,"&gt;0")+1,"")</f>
      </c>
      <c r="AF154">
        <f>IF($Q154="Disponible",COUNTIF($AF$1:AF153,"&gt;0")+1,"")</f>
      </c>
      <c r="AG154">
        <f>IF($O154="Sí",COUNTIF($AG$1:AG153,"&gt;0")+1,"")</f>
      </c>
      <c r="AH154">
        <f>IF(AND($Q154="Disponible",$O154&lt;&gt;"Sí"),COUNTIF($AH$1:AH153,"&gt;0")+1,"")</f>
      </c>
      <c r="AI154">
        <f>IF(AND($Q154="Disponible",$K154&lt;&gt;""),COUNTIFS($K$2:K154,K154,$Q$2:Q154,"Disponible"),"")</f>
      </c>
      <c r="AJ154">
        <f>IF(AI154&lt;&gt;"",K154&amp;"|"&amp;AI154,"")</f>
      </c>
      <c r="AK154">
        <f>IF(AND($Q154="No disponible",OR($R154="Lista de espera · propio centro",$R154="Traslado de expediente",$R154="Lista de espera · otro centro"),$O154="Sí"),"la plaza ya tiene alumno y sigue marcada como refuerzo, ","")&amp;IF(AND($R154="Reconvertida en refuerzo",$O154&lt;&gt;"Sí"),"reconvertida en refuerzo pero sin marcar «En uso como refuerzo», ","")</f>
      </c>
    </row>
    <row r="155" spans="1:37">
      <c r="A155" s="20">
        <f>IF(D155&lt;&gt;"",ROW()-1,"")</f>
      </c>
      <c r="B155" s="55"/>
      <c r="C155" s="56"/>
      <c r="D155" s="56"/>
      <c r="E155" s="56"/>
      <c r="F155" s="56"/>
      <c r="G155" s="56"/>
      <c r="H155" s="56"/>
      <c r="I155" s="56"/>
      <c r="J155" s="57"/>
      <c r="K155" s="56"/>
      <c r="L155" s="58"/>
      <c r="M155" s="58">
        <f>IF(L155="","",L155)</f>
      </c>
      <c r="N155" s="56"/>
      <c r="O155" s="56"/>
      <c r="P155" s="57"/>
      <c r="Q155" s="56"/>
      <c r="R155" s="56"/>
      <c r="S155" s="56"/>
      <c r="T155" s="56"/>
      <c r="U155" s="56"/>
      <c r="V155" s="57"/>
      <c r="W155">
        <f>IF(Q155="Disponible",COUNTIFS($D$2:D155,D155,$Q$2:Q155,"Disponible"),"")</f>
      </c>
      <c r="X155">
        <f>IF(W155&lt;&gt;"",D155&amp;"|"&amp;W155,"")</f>
      </c>
      <c r="Y155">
        <f>IF(X155&lt;&gt;"",IF(K155&lt;&gt;"",K155&amp;" ("&amp;M155&amp;")",M155),"")</f>
      </c>
      <c r="Z155">
        <f>IF(O155="Sí",COUNTIFS($D$2:D155,D155,$O$2:O155,"Sí"),"")</f>
      </c>
      <c r="AA155">
        <f>IF(Z155&lt;&gt;"",D155&amp;"|"&amp;Z155,"")</f>
      </c>
      <c r="AB155">
        <f>IF(AA155&lt;&gt;"",IF(K155&lt;&gt;"",K155&amp;" ("&amp;M155&amp;")",M155),"")</f>
      </c>
      <c r="AC155">
        <f>IF($B155="","fecha, ","")&amp;IF($C155="","quién lo introduce, ","")&amp;IF($I155="","motivo, ","")&amp;IF($K155="","docente, ","")&amp;IF($L155="","horario, ","")&amp;IF($N155="","duración, ","")&amp;IF($Q155="","estado, ","")&amp;IF(AND($I155="Otros",$J155=""),"detalle del motivo, ","")&amp;IF(AND($O155="Sí",$P155=""),"detalle del refuerzo, ","")&amp;IF(AND(OR($I155="Renuncia (hasta 30 nov)",$I155="Baja (desde 1 dic)",$I155="Renuncia excepcional (art. 25.3)",$I155="Traslado de expediente"),OR($E155="",$F155="",$G155="")),"quién deja la plaza, ","")&amp;IF(AND($Q155="No disponible",$R155=""),"vía de cobertura, ","")&amp;IF(AND(OR($R155="Lista de espera · propio centro",$R155="Traslado de expediente",$R155="Lista de espera · otro centro"),OR($S155="",$T155="",$U155="")),"quién ocupa la plaza, ","")</f>
      </c>
      <c r="AD155" s="24">
        <f>IF($D155="","",IF(AND(LEN($AC155)=0,LEN($AK155)=0),"Completa",IF(LEN($AC155)=0,"Revisar: "&amp;LEFT($AK155,LEN($AK155)-2),"Falta: "&amp;LEFT($AC155,LEN($AC155)-2)&amp;IF(LEN($AK155)&gt;0,"  ·  Revisar: "&amp;LEFT($AK155,LEN($AK155)-2),""))))</f>
      </c>
      <c r="AE155">
        <f>IF(AND($D155&lt;&gt;"",OR($I155="Renuncia (hasta 30 nov)",$I155="Baja (desde 1 dic)",$I155="Renuncia excepcional (art. 25.3)",$I155="Traslado de expediente")),COUNTIF($AE$1:AE154,"&gt;0")+1,"")</f>
      </c>
      <c r="AF155">
        <f>IF($Q155="Disponible",COUNTIF($AF$1:AF154,"&gt;0")+1,"")</f>
      </c>
      <c r="AG155">
        <f>IF($O155="Sí",COUNTIF($AG$1:AG154,"&gt;0")+1,"")</f>
      </c>
      <c r="AH155">
        <f>IF(AND($Q155="Disponible",$O155&lt;&gt;"Sí"),COUNTIF($AH$1:AH154,"&gt;0")+1,"")</f>
      </c>
      <c r="AI155">
        <f>IF(AND($Q155="Disponible",$K155&lt;&gt;""),COUNTIFS($K$2:K155,K155,$Q$2:Q155,"Disponible"),"")</f>
      </c>
      <c r="AJ155">
        <f>IF(AI155&lt;&gt;"",K155&amp;"|"&amp;AI155,"")</f>
      </c>
      <c r="AK155">
        <f>IF(AND($Q155="No disponible",OR($R155="Lista de espera · propio centro",$R155="Traslado de expediente",$R155="Lista de espera · otro centro"),$O155="Sí"),"la plaza ya tiene alumno y sigue marcada como refuerzo, ","")&amp;IF(AND($R155="Reconvertida en refuerzo",$O155&lt;&gt;"Sí"),"reconvertida en refuerzo pero sin marcar «En uso como refuerzo», ","")</f>
      </c>
    </row>
    <row r="156" spans="1:37">
      <c r="A156" s="20">
        <f>IF(D156&lt;&gt;"",ROW()-1,"")</f>
      </c>
      <c r="B156" s="55"/>
      <c r="C156" s="56"/>
      <c r="D156" s="56"/>
      <c r="E156" s="56"/>
      <c r="F156" s="56"/>
      <c r="G156" s="56"/>
      <c r="H156" s="56"/>
      <c r="I156" s="56"/>
      <c r="J156" s="57"/>
      <c r="K156" s="56"/>
      <c r="L156" s="58"/>
      <c r="M156" s="58">
        <f>IF(L156="","",L156)</f>
      </c>
      <c r="N156" s="56"/>
      <c r="O156" s="56"/>
      <c r="P156" s="57"/>
      <c r="Q156" s="56"/>
      <c r="R156" s="56"/>
      <c r="S156" s="56"/>
      <c r="T156" s="56"/>
      <c r="U156" s="56"/>
      <c r="V156" s="57"/>
      <c r="W156">
        <f>IF(Q156="Disponible",COUNTIFS($D$2:D156,D156,$Q$2:Q156,"Disponible"),"")</f>
      </c>
      <c r="X156">
        <f>IF(W156&lt;&gt;"",D156&amp;"|"&amp;W156,"")</f>
      </c>
      <c r="Y156">
        <f>IF(X156&lt;&gt;"",IF(K156&lt;&gt;"",K156&amp;" ("&amp;M156&amp;")",M156),"")</f>
      </c>
      <c r="Z156">
        <f>IF(O156="Sí",COUNTIFS($D$2:D156,D156,$O$2:O156,"Sí"),"")</f>
      </c>
      <c r="AA156">
        <f>IF(Z156&lt;&gt;"",D156&amp;"|"&amp;Z156,"")</f>
      </c>
      <c r="AB156">
        <f>IF(AA156&lt;&gt;"",IF(K156&lt;&gt;"",K156&amp;" ("&amp;M156&amp;")",M156),"")</f>
      </c>
      <c r="AC156">
        <f>IF($B156="","fecha, ","")&amp;IF($C156="","quién lo introduce, ","")&amp;IF($I156="","motivo, ","")&amp;IF($K156="","docente, ","")&amp;IF($L156="","horario, ","")&amp;IF($N156="","duración, ","")&amp;IF($Q156="","estado, ","")&amp;IF(AND($I156="Otros",$J156=""),"detalle del motivo, ","")&amp;IF(AND($O156="Sí",$P156=""),"detalle del refuerzo, ","")&amp;IF(AND(OR($I156="Renuncia (hasta 30 nov)",$I156="Baja (desde 1 dic)",$I156="Renuncia excepcional (art. 25.3)",$I156="Traslado de expediente"),OR($E156="",$F156="",$G156="")),"quién deja la plaza, ","")&amp;IF(AND($Q156="No disponible",$R156=""),"vía de cobertura, ","")&amp;IF(AND(OR($R156="Lista de espera · propio centro",$R156="Traslado de expediente",$R156="Lista de espera · otro centro"),OR($S156="",$T156="",$U156="")),"quién ocupa la plaza, ","")</f>
      </c>
      <c r="AD156" s="24">
        <f>IF($D156="","",IF(AND(LEN($AC156)=0,LEN($AK156)=0),"Completa",IF(LEN($AC156)=0,"Revisar: "&amp;LEFT($AK156,LEN($AK156)-2),"Falta: "&amp;LEFT($AC156,LEN($AC156)-2)&amp;IF(LEN($AK156)&gt;0,"  ·  Revisar: "&amp;LEFT($AK156,LEN($AK156)-2),""))))</f>
      </c>
      <c r="AE156">
        <f>IF(AND($D156&lt;&gt;"",OR($I156="Renuncia (hasta 30 nov)",$I156="Baja (desde 1 dic)",$I156="Renuncia excepcional (art. 25.3)",$I156="Traslado de expediente")),COUNTIF($AE$1:AE155,"&gt;0")+1,"")</f>
      </c>
      <c r="AF156">
        <f>IF($Q156="Disponible",COUNTIF($AF$1:AF155,"&gt;0")+1,"")</f>
      </c>
      <c r="AG156">
        <f>IF($O156="Sí",COUNTIF($AG$1:AG155,"&gt;0")+1,"")</f>
      </c>
      <c r="AH156">
        <f>IF(AND($Q156="Disponible",$O156&lt;&gt;"Sí"),COUNTIF($AH$1:AH155,"&gt;0")+1,"")</f>
      </c>
      <c r="AI156">
        <f>IF(AND($Q156="Disponible",$K156&lt;&gt;""),COUNTIFS($K$2:K156,K156,$Q$2:Q156,"Disponible"),"")</f>
      </c>
      <c r="AJ156">
        <f>IF(AI156&lt;&gt;"",K156&amp;"|"&amp;AI156,"")</f>
      </c>
      <c r="AK156">
        <f>IF(AND($Q156="No disponible",OR($R156="Lista de espera · propio centro",$R156="Traslado de expediente",$R156="Lista de espera · otro centro"),$O156="Sí"),"la plaza ya tiene alumno y sigue marcada como refuerzo, ","")&amp;IF(AND($R156="Reconvertida en refuerzo",$O156&lt;&gt;"Sí"),"reconvertida en refuerzo pero sin marcar «En uso como refuerzo», ","")</f>
      </c>
    </row>
    <row r="157" spans="1:37">
      <c r="A157" s="20">
        <f>IF(D157&lt;&gt;"",ROW()-1,"")</f>
      </c>
      <c r="B157" s="55"/>
      <c r="C157" s="56"/>
      <c r="D157" s="56"/>
      <c r="E157" s="56"/>
      <c r="F157" s="56"/>
      <c r="G157" s="56"/>
      <c r="H157" s="56"/>
      <c r="I157" s="56"/>
      <c r="J157" s="57"/>
      <c r="K157" s="56"/>
      <c r="L157" s="58"/>
      <c r="M157" s="58">
        <f>IF(L157="","",L157)</f>
      </c>
      <c r="N157" s="56"/>
      <c r="O157" s="56"/>
      <c r="P157" s="57"/>
      <c r="Q157" s="56"/>
      <c r="R157" s="56"/>
      <c r="S157" s="56"/>
      <c r="T157" s="56"/>
      <c r="U157" s="56"/>
      <c r="V157" s="57"/>
      <c r="W157">
        <f>IF(Q157="Disponible",COUNTIFS($D$2:D157,D157,$Q$2:Q157,"Disponible"),"")</f>
      </c>
      <c r="X157">
        <f>IF(W157&lt;&gt;"",D157&amp;"|"&amp;W157,"")</f>
      </c>
      <c r="Y157">
        <f>IF(X157&lt;&gt;"",IF(K157&lt;&gt;"",K157&amp;" ("&amp;M157&amp;")",M157),"")</f>
      </c>
      <c r="Z157">
        <f>IF(O157="Sí",COUNTIFS($D$2:D157,D157,$O$2:O157,"Sí"),"")</f>
      </c>
      <c r="AA157">
        <f>IF(Z157&lt;&gt;"",D157&amp;"|"&amp;Z157,"")</f>
      </c>
      <c r="AB157">
        <f>IF(AA157&lt;&gt;"",IF(K157&lt;&gt;"",K157&amp;" ("&amp;M157&amp;")",M157),"")</f>
      </c>
      <c r="AC157">
        <f>IF($B157="","fecha, ","")&amp;IF($C157="","quién lo introduce, ","")&amp;IF($I157="","motivo, ","")&amp;IF($K157="","docente, ","")&amp;IF($L157="","horario, ","")&amp;IF($N157="","duración, ","")&amp;IF($Q157="","estado, ","")&amp;IF(AND($I157="Otros",$J157=""),"detalle del motivo, ","")&amp;IF(AND($O157="Sí",$P157=""),"detalle del refuerzo, ","")&amp;IF(AND(OR($I157="Renuncia (hasta 30 nov)",$I157="Baja (desde 1 dic)",$I157="Renuncia excepcional (art. 25.3)",$I157="Traslado de expediente"),OR($E157="",$F157="",$G157="")),"quién deja la plaza, ","")&amp;IF(AND($Q157="No disponible",$R157=""),"vía de cobertura, ","")&amp;IF(AND(OR($R157="Lista de espera · propio centro",$R157="Traslado de expediente",$R157="Lista de espera · otro centro"),OR($S157="",$T157="",$U157="")),"quién ocupa la plaza, ","")</f>
      </c>
      <c r="AD157" s="24">
        <f>IF($D157="","",IF(AND(LEN($AC157)=0,LEN($AK157)=0),"Completa",IF(LEN($AC157)=0,"Revisar: "&amp;LEFT($AK157,LEN($AK157)-2),"Falta: "&amp;LEFT($AC157,LEN($AC157)-2)&amp;IF(LEN($AK157)&gt;0,"  ·  Revisar: "&amp;LEFT($AK157,LEN($AK157)-2),""))))</f>
      </c>
      <c r="AE157">
        <f>IF(AND($D157&lt;&gt;"",OR($I157="Renuncia (hasta 30 nov)",$I157="Baja (desde 1 dic)",$I157="Renuncia excepcional (art. 25.3)",$I157="Traslado de expediente")),COUNTIF($AE$1:AE156,"&gt;0")+1,"")</f>
      </c>
      <c r="AF157">
        <f>IF($Q157="Disponible",COUNTIF($AF$1:AF156,"&gt;0")+1,"")</f>
      </c>
      <c r="AG157">
        <f>IF($O157="Sí",COUNTIF($AG$1:AG156,"&gt;0")+1,"")</f>
      </c>
      <c r="AH157">
        <f>IF(AND($Q157="Disponible",$O157&lt;&gt;"Sí"),COUNTIF($AH$1:AH156,"&gt;0")+1,"")</f>
      </c>
      <c r="AI157">
        <f>IF(AND($Q157="Disponible",$K157&lt;&gt;""),COUNTIFS($K$2:K157,K157,$Q$2:Q157,"Disponible"),"")</f>
      </c>
      <c r="AJ157">
        <f>IF(AI157&lt;&gt;"",K157&amp;"|"&amp;AI157,"")</f>
      </c>
      <c r="AK157">
        <f>IF(AND($Q157="No disponible",OR($R157="Lista de espera · propio centro",$R157="Traslado de expediente",$R157="Lista de espera · otro centro"),$O157="Sí"),"la plaza ya tiene alumno y sigue marcada como refuerzo, ","")&amp;IF(AND($R157="Reconvertida en refuerzo",$O157&lt;&gt;"Sí"),"reconvertida en refuerzo pero sin marcar «En uso como refuerzo», ","")</f>
      </c>
    </row>
    <row r="158" spans="1:37">
      <c r="A158" s="20">
        <f>IF(D158&lt;&gt;"",ROW()-1,"")</f>
      </c>
      <c r="B158" s="55"/>
      <c r="C158" s="56"/>
      <c r="D158" s="56"/>
      <c r="E158" s="56"/>
      <c r="F158" s="56"/>
      <c r="G158" s="56"/>
      <c r="H158" s="56"/>
      <c r="I158" s="56"/>
      <c r="J158" s="57"/>
      <c r="K158" s="56"/>
      <c r="L158" s="58"/>
      <c r="M158" s="58">
        <f>IF(L158="","",L158)</f>
      </c>
      <c r="N158" s="56"/>
      <c r="O158" s="56"/>
      <c r="P158" s="57"/>
      <c r="Q158" s="56"/>
      <c r="R158" s="56"/>
      <c r="S158" s="56"/>
      <c r="T158" s="56"/>
      <c r="U158" s="56"/>
      <c r="V158" s="57"/>
      <c r="W158">
        <f>IF(Q158="Disponible",COUNTIFS($D$2:D158,D158,$Q$2:Q158,"Disponible"),"")</f>
      </c>
      <c r="X158">
        <f>IF(W158&lt;&gt;"",D158&amp;"|"&amp;W158,"")</f>
      </c>
      <c r="Y158">
        <f>IF(X158&lt;&gt;"",IF(K158&lt;&gt;"",K158&amp;" ("&amp;M158&amp;")",M158),"")</f>
      </c>
      <c r="Z158">
        <f>IF(O158="Sí",COUNTIFS($D$2:D158,D158,$O$2:O158,"Sí"),"")</f>
      </c>
      <c r="AA158">
        <f>IF(Z158&lt;&gt;"",D158&amp;"|"&amp;Z158,"")</f>
      </c>
      <c r="AB158">
        <f>IF(AA158&lt;&gt;"",IF(K158&lt;&gt;"",K158&amp;" ("&amp;M158&amp;")",M158),"")</f>
      </c>
      <c r="AC158">
        <f>IF($B158="","fecha, ","")&amp;IF($C158="","quién lo introduce, ","")&amp;IF($I158="","motivo, ","")&amp;IF($K158="","docente, ","")&amp;IF($L158="","horario, ","")&amp;IF($N158="","duración, ","")&amp;IF($Q158="","estado, ","")&amp;IF(AND($I158="Otros",$J158=""),"detalle del motivo, ","")&amp;IF(AND($O158="Sí",$P158=""),"detalle del refuerzo, ","")&amp;IF(AND(OR($I158="Renuncia (hasta 30 nov)",$I158="Baja (desde 1 dic)",$I158="Renuncia excepcional (art. 25.3)",$I158="Traslado de expediente"),OR($E158="",$F158="",$G158="")),"quién deja la plaza, ","")&amp;IF(AND($Q158="No disponible",$R158=""),"vía de cobertura, ","")&amp;IF(AND(OR($R158="Lista de espera · propio centro",$R158="Traslado de expediente",$R158="Lista de espera · otro centro"),OR($S158="",$T158="",$U158="")),"quién ocupa la plaza, ","")</f>
      </c>
      <c r="AD158" s="24">
        <f>IF($D158="","",IF(AND(LEN($AC158)=0,LEN($AK158)=0),"Completa",IF(LEN($AC158)=0,"Revisar: "&amp;LEFT($AK158,LEN($AK158)-2),"Falta: "&amp;LEFT($AC158,LEN($AC158)-2)&amp;IF(LEN($AK158)&gt;0,"  ·  Revisar: "&amp;LEFT($AK158,LEN($AK158)-2),""))))</f>
      </c>
      <c r="AE158">
        <f>IF(AND($D158&lt;&gt;"",OR($I158="Renuncia (hasta 30 nov)",$I158="Baja (desde 1 dic)",$I158="Renuncia excepcional (art. 25.3)",$I158="Traslado de expediente")),COUNTIF($AE$1:AE157,"&gt;0")+1,"")</f>
      </c>
      <c r="AF158">
        <f>IF($Q158="Disponible",COUNTIF($AF$1:AF157,"&gt;0")+1,"")</f>
      </c>
      <c r="AG158">
        <f>IF($O158="Sí",COUNTIF($AG$1:AG157,"&gt;0")+1,"")</f>
      </c>
      <c r="AH158">
        <f>IF(AND($Q158="Disponible",$O158&lt;&gt;"Sí"),COUNTIF($AH$1:AH157,"&gt;0")+1,"")</f>
      </c>
      <c r="AI158">
        <f>IF(AND($Q158="Disponible",$K158&lt;&gt;""),COUNTIFS($K$2:K158,K158,$Q$2:Q158,"Disponible"),"")</f>
      </c>
      <c r="AJ158">
        <f>IF(AI158&lt;&gt;"",K158&amp;"|"&amp;AI158,"")</f>
      </c>
      <c r="AK158">
        <f>IF(AND($Q158="No disponible",OR($R158="Lista de espera · propio centro",$R158="Traslado de expediente",$R158="Lista de espera · otro centro"),$O158="Sí"),"la plaza ya tiene alumno y sigue marcada como refuerzo, ","")&amp;IF(AND($R158="Reconvertida en refuerzo",$O158&lt;&gt;"Sí"),"reconvertida en refuerzo pero sin marcar «En uso como refuerzo», ","")</f>
      </c>
    </row>
    <row r="159" spans="1:37">
      <c r="A159" s="20">
        <f>IF(D159&lt;&gt;"",ROW()-1,"")</f>
      </c>
      <c r="B159" s="55"/>
      <c r="C159" s="56"/>
      <c r="D159" s="56"/>
      <c r="E159" s="56"/>
      <c r="F159" s="56"/>
      <c r="G159" s="56"/>
      <c r="H159" s="56"/>
      <c r="I159" s="56"/>
      <c r="J159" s="57"/>
      <c r="K159" s="56"/>
      <c r="L159" s="58"/>
      <c r="M159" s="58">
        <f>IF(L159="","",L159)</f>
      </c>
      <c r="N159" s="56"/>
      <c r="O159" s="56"/>
      <c r="P159" s="57"/>
      <c r="Q159" s="56"/>
      <c r="R159" s="56"/>
      <c r="S159" s="56"/>
      <c r="T159" s="56"/>
      <c r="U159" s="56"/>
      <c r="V159" s="57"/>
      <c r="W159">
        <f>IF(Q159="Disponible",COUNTIFS($D$2:D159,D159,$Q$2:Q159,"Disponible"),"")</f>
      </c>
      <c r="X159">
        <f>IF(W159&lt;&gt;"",D159&amp;"|"&amp;W159,"")</f>
      </c>
      <c r="Y159">
        <f>IF(X159&lt;&gt;"",IF(K159&lt;&gt;"",K159&amp;" ("&amp;M159&amp;")",M159),"")</f>
      </c>
      <c r="Z159">
        <f>IF(O159="Sí",COUNTIFS($D$2:D159,D159,$O$2:O159,"Sí"),"")</f>
      </c>
      <c r="AA159">
        <f>IF(Z159&lt;&gt;"",D159&amp;"|"&amp;Z159,"")</f>
      </c>
      <c r="AB159">
        <f>IF(AA159&lt;&gt;"",IF(K159&lt;&gt;"",K159&amp;" ("&amp;M159&amp;")",M159),"")</f>
      </c>
      <c r="AC159">
        <f>IF($B159="","fecha, ","")&amp;IF($C159="","quién lo introduce, ","")&amp;IF($I159="","motivo, ","")&amp;IF($K159="","docente, ","")&amp;IF($L159="","horario, ","")&amp;IF($N159="","duración, ","")&amp;IF($Q159="","estado, ","")&amp;IF(AND($I159="Otros",$J159=""),"detalle del motivo, ","")&amp;IF(AND($O159="Sí",$P159=""),"detalle del refuerzo, ","")&amp;IF(AND(OR($I159="Renuncia (hasta 30 nov)",$I159="Baja (desde 1 dic)",$I159="Renuncia excepcional (art. 25.3)",$I159="Traslado de expediente"),OR($E159="",$F159="",$G159="")),"quién deja la plaza, ","")&amp;IF(AND($Q159="No disponible",$R159=""),"vía de cobertura, ","")&amp;IF(AND(OR($R159="Lista de espera · propio centro",$R159="Traslado de expediente",$R159="Lista de espera · otro centro"),OR($S159="",$T159="",$U159="")),"quién ocupa la plaza, ","")</f>
      </c>
      <c r="AD159" s="24">
        <f>IF($D159="","",IF(AND(LEN($AC159)=0,LEN($AK159)=0),"Completa",IF(LEN($AC159)=0,"Revisar: "&amp;LEFT($AK159,LEN($AK159)-2),"Falta: "&amp;LEFT($AC159,LEN($AC159)-2)&amp;IF(LEN($AK159)&gt;0,"  ·  Revisar: "&amp;LEFT($AK159,LEN($AK159)-2),""))))</f>
      </c>
      <c r="AE159">
        <f>IF(AND($D159&lt;&gt;"",OR($I159="Renuncia (hasta 30 nov)",$I159="Baja (desde 1 dic)",$I159="Renuncia excepcional (art. 25.3)",$I159="Traslado de expediente")),COUNTIF($AE$1:AE158,"&gt;0")+1,"")</f>
      </c>
      <c r="AF159">
        <f>IF($Q159="Disponible",COUNTIF($AF$1:AF158,"&gt;0")+1,"")</f>
      </c>
      <c r="AG159">
        <f>IF($O159="Sí",COUNTIF($AG$1:AG158,"&gt;0")+1,"")</f>
      </c>
      <c r="AH159">
        <f>IF(AND($Q159="Disponible",$O159&lt;&gt;"Sí"),COUNTIF($AH$1:AH158,"&gt;0")+1,"")</f>
      </c>
      <c r="AI159">
        <f>IF(AND($Q159="Disponible",$K159&lt;&gt;""),COUNTIFS($K$2:K159,K159,$Q$2:Q159,"Disponible"),"")</f>
      </c>
      <c r="AJ159">
        <f>IF(AI159&lt;&gt;"",K159&amp;"|"&amp;AI159,"")</f>
      </c>
      <c r="AK159">
        <f>IF(AND($Q159="No disponible",OR($R159="Lista de espera · propio centro",$R159="Traslado de expediente",$R159="Lista de espera · otro centro"),$O159="Sí"),"la plaza ya tiene alumno y sigue marcada como refuerzo, ","")&amp;IF(AND($R159="Reconvertida en refuerzo",$O159&lt;&gt;"Sí"),"reconvertida en refuerzo pero sin marcar «En uso como refuerzo», ","")</f>
      </c>
    </row>
    <row r="160" spans="1:37">
      <c r="A160" s="20">
        <f>IF(D160&lt;&gt;"",ROW()-1,"")</f>
      </c>
      <c r="B160" s="55"/>
      <c r="C160" s="56"/>
      <c r="D160" s="56"/>
      <c r="E160" s="56"/>
      <c r="F160" s="56"/>
      <c r="G160" s="56"/>
      <c r="H160" s="56"/>
      <c r="I160" s="56"/>
      <c r="J160" s="57"/>
      <c r="K160" s="56"/>
      <c r="L160" s="58"/>
      <c r="M160" s="58">
        <f>IF(L160="","",L160)</f>
      </c>
      <c r="N160" s="56"/>
      <c r="O160" s="56"/>
      <c r="P160" s="57"/>
      <c r="Q160" s="56"/>
      <c r="R160" s="56"/>
      <c r="S160" s="56"/>
      <c r="T160" s="56"/>
      <c r="U160" s="56"/>
      <c r="V160" s="57"/>
      <c r="W160">
        <f>IF(Q160="Disponible",COUNTIFS($D$2:D160,D160,$Q$2:Q160,"Disponible"),"")</f>
      </c>
      <c r="X160">
        <f>IF(W160&lt;&gt;"",D160&amp;"|"&amp;W160,"")</f>
      </c>
      <c r="Y160">
        <f>IF(X160&lt;&gt;"",IF(K160&lt;&gt;"",K160&amp;" ("&amp;M160&amp;")",M160),"")</f>
      </c>
      <c r="Z160">
        <f>IF(O160="Sí",COUNTIFS($D$2:D160,D160,$O$2:O160,"Sí"),"")</f>
      </c>
      <c r="AA160">
        <f>IF(Z160&lt;&gt;"",D160&amp;"|"&amp;Z160,"")</f>
      </c>
      <c r="AB160">
        <f>IF(AA160&lt;&gt;"",IF(K160&lt;&gt;"",K160&amp;" ("&amp;M160&amp;")",M160),"")</f>
      </c>
      <c r="AC160">
        <f>IF($B160="","fecha, ","")&amp;IF($C160="","quién lo introduce, ","")&amp;IF($I160="","motivo, ","")&amp;IF($K160="","docente, ","")&amp;IF($L160="","horario, ","")&amp;IF($N160="","duración, ","")&amp;IF($Q160="","estado, ","")&amp;IF(AND($I160="Otros",$J160=""),"detalle del motivo, ","")&amp;IF(AND($O160="Sí",$P160=""),"detalle del refuerzo, ","")&amp;IF(AND(OR($I160="Renuncia (hasta 30 nov)",$I160="Baja (desde 1 dic)",$I160="Renuncia excepcional (art. 25.3)",$I160="Traslado de expediente"),OR($E160="",$F160="",$G160="")),"quién deja la plaza, ","")&amp;IF(AND($Q160="No disponible",$R160=""),"vía de cobertura, ","")&amp;IF(AND(OR($R160="Lista de espera · propio centro",$R160="Traslado de expediente",$R160="Lista de espera · otro centro"),OR($S160="",$T160="",$U160="")),"quién ocupa la plaza, ","")</f>
      </c>
      <c r="AD160" s="24">
        <f>IF($D160="","",IF(AND(LEN($AC160)=0,LEN($AK160)=0),"Completa",IF(LEN($AC160)=0,"Revisar: "&amp;LEFT($AK160,LEN($AK160)-2),"Falta: "&amp;LEFT($AC160,LEN($AC160)-2)&amp;IF(LEN($AK160)&gt;0,"  ·  Revisar: "&amp;LEFT($AK160,LEN($AK160)-2),""))))</f>
      </c>
      <c r="AE160">
        <f>IF(AND($D160&lt;&gt;"",OR($I160="Renuncia (hasta 30 nov)",$I160="Baja (desde 1 dic)",$I160="Renuncia excepcional (art. 25.3)",$I160="Traslado de expediente")),COUNTIF($AE$1:AE159,"&gt;0")+1,"")</f>
      </c>
      <c r="AF160">
        <f>IF($Q160="Disponible",COUNTIF($AF$1:AF159,"&gt;0")+1,"")</f>
      </c>
      <c r="AG160">
        <f>IF($O160="Sí",COUNTIF($AG$1:AG159,"&gt;0")+1,"")</f>
      </c>
      <c r="AH160">
        <f>IF(AND($Q160="Disponible",$O160&lt;&gt;"Sí"),COUNTIF($AH$1:AH159,"&gt;0")+1,"")</f>
      </c>
      <c r="AI160">
        <f>IF(AND($Q160="Disponible",$K160&lt;&gt;""),COUNTIFS($K$2:K160,K160,$Q$2:Q160,"Disponible"),"")</f>
      </c>
      <c r="AJ160">
        <f>IF(AI160&lt;&gt;"",K160&amp;"|"&amp;AI160,"")</f>
      </c>
      <c r="AK160">
        <f>IF(AND($Q160="No disponible",OR($R160="Lista de espera · propio centro",$R160="Traslado de expediente",$R160="Lista de espera · otro centro"),$O160="Sí"),"la plaza ya tiene alumno y sigue marcada como refuerzo, ","")&amp;IF(AND($R160="Reconvertida en refuerzo",$O160&lt;&gt;"Sí"),"reconvertida en refuerzo pero sin marcar «En uso como refuerzo», ","")</f>
      </c>
    </row>
    <row r="161" spans="1:37">
      <c r="A161" s="20">
        <f>IF(D161&lt;&gt;"",ROW()-1,"")</f>
      </c>
      <c r="B161" s="55"/>
      <c r="C161" s="56"/>
      <c r="D161" s="56"/>
      <c r="E161" s="56"/>
      <c r="F161" s="56"/>
      <c r="G161" s="56"/>
      <c r="H161" s="56"/>
      <c r="I161" s="56"/>
      <c r="J161" s="57"/>
      <c r="K161" s="56"/>
      <c r="L161" s="58"/>
      <c r="M161" s="58">
        <f>IF(L161="","",L161)</f>
      </c>
      <c r="N161" s="56"/>
      <c r="O161" s="56"/>
      <c r="P161" s="57"/>
      <c r="Q161" s="56"/>
      <c r="R161" s="56"/>
      <c r="S161" s="56"/>
      <c r="T161" s="56"/>
      <c r="U161" s="56"/>
      <c r="V161" s="57"/>
      <c r="W161">
        <f>IF(Q161="Disponible",COUNTIFS($D$2:D161,D161,$Q$2:Q161,"Disponible"),"")</f>
      </c>
      <c r="X161">
        <f>IF(W161&lt;&gt;"",D161&amp;"|"&amp;W161,"")</f>
      </c>
      <c r="Y161">
        <f>IF(X161&lt;&gt;"",IF(K161&lt;&gt;"",K161&amp;" ("&amp;M161&amp;")",M161),"")</f>
      </c>
      <c r="Z161">
        <f>IF(O161="Sí",COUNTIFS($D$2:D161,D161,$O$2:O161,"Sí"),"")</f>
      </c>
      <c r="AA161">
        <f>IF(Z161&lt;&gt;"",D161&amp;"|"&amp;Z161,"")</f>
      </c>
      <c r="AB161">
        <f>IF(AA161&lt;&gt;"",IF(K161&lt;&gt;"",K161&amp;" ("&amp;M161&amp;")",M161),"")</f>
      </c>
      <c r="AC161">
        <f>IF($B161="","fecha, ","")&amp;IF($C161="","quién lo introduce, ","")&amp;IF($I161="","motivo, ","")&amp;IF($K161="","docente, ","")&amp;IF($L161="","horario, ","")&amp;IF($N161="","duración, ","")&amp;IF($Q161="","estado, ","")&amp;IF(AND($I161="Otros",$J161=""),"detalle del motivo, ","")&amp;IF(AND($O161="Sí",$P161=""),"detalle del refuerzo, ","")&amp;IF(AND(OR($I161="Renuncia (hasta 30 nov)",$I161="Baja (desde 1 dic)",$I161="Renuncia excepcional (art. 25.3)",$I161="Traslado de expediente"),OR($E161="",$F161="",$G161="")),"quién deja la plaza, ","")&amp;IF(AND($Q161="No disponible",$R161=""),"vía de cobertura, ","")&amp;IF(AND(OR($R161="Lista de espera · propio centro",$R161="Traslado de expediente",$R161="Lista de espera · otro centro"),OR($S161="",$T161="",$U161="")),"quién ocupa la plaza, ","")</f>
      </c>
      <c r="AD161" s="24">
        <f>IF($D161="","",IF(AND(LEN($AC161)=0,LEN($AK161)=0),"Completa",IF(LEN($AC161)=0,"Revisar: "&amp;LEFT($AK161,LEN($AK161)-2),"Falta: "&amp;LEFT($AC161,LEN($AC161)-2)&amp;IF(LEN($AK161)&gt;0,"  ·  Revisar: "&amp;LEFT($AK161,LEN($AK161)-2),""))))</f>
      </c>
      <c r="AE161">
        <f>IF(AND($D161&lt;&gt;"",OR($I161="Renuncia (hasta 30 nov)",$I161="Baja (desde 1 dic)",$I161="Renuncia excepcional (art. 25.3)",$I161="Traslado de expediente")),COUNTIF($AE$1:AE160,"&gt;0")+1,"")</f>
      </c>
      <c r="AF161">
        <f>IF($Q161="Disponible",COUNTIF($AF$1:AF160,"&gt;0")+1,"")</f>
      </c>
      <c r="AG161">
        <f>IF($O161="Sí",COUNTIF($AG$1:AG160,"&gt;0")+1,"")</f>
      </c>
      <c r="AH161">
        <f>IF(AND($Q161="Disponible",$O161&lt;&gt;"Sí"),COUNTIF($AH$1:AH160,"&gt;0")+1,"")</f>
      </c>
      <c r="AI161">
        <f>IF(AND($Q161="Disponible",$K161&lt;&gt;""),COUNTIFS($K$2:K161,K161,$Q$2:Q161,"Disponible"),"")</f>
      </c>
      <c r="AJ161">
        <f>IF(AI161&lt;&gt;"",K161&amp;"|"&amp;AI161,"")</f>
      </c>
      <c r="AK161">
        <f>IF(AND($Q161="No disponible",OR($R161="Lista de espera · propio centro",$R161="Traslado de expediente",$R161="Lista de espera · otro centro"),$O161="Sí"),"la plaza ya tiene alumno y sigue marcada como refuerzo, ","")&amp;IF(AND($R161="Reconvertida en refuerzo",$O161&lt;&gt;"Sí"),"reconvertida en refuerzo pero sin marcar «En uso como refuerzo», ","")</f>
      </c>
    </row>
    <row r="162" spans="1:37">
      <c r="A162" s="20">
        <f>IF(D162&lt;&gt;"",ROW()-1,"")</f>
      </c>
      <c r="B162" s="55"/>
      <c r="C162" s="56"/>
      <c r="D162" s="56"/>
      <c r="E162" s="56"/>
      <c r="F162" s="56"/>
      <c r="G162" s="56"/>
      <c r="H162" s="56"/>
      <c r="I162" s="56"/>
      <c r="J162" s="57"/>
      <c r="K162" s="56"/>
      <c r="L162" s="58"/>
      <c r="M162" s="58">
        <f>IF(L162="","",L162)</f>
      </c>
      <c r="N162" s="56"/>
      <c r="O162" s="56"/>
      <c r="P162" s="57"/>
      <c r="Q162" s="56"/>
      <c r="R162" s="56"/>
      <c r="S162" s="56"/>
      <c r="T162" s="56"/>
      <c r="U162" s="56"/>
      <c r="V162" s="57"/>
      <c r="W162">
        <f>IF(Q162="Disponible",COUNTIFS($D$2:D162,D162,$Q$2:Q162,"Disponible"),"")</f>
      </c>
      <c r="X162">
        <f>IF(W162&lt;&gt;"",D162&amp;"|"&amp;W162,"")</f>
      </c>
      <c r="Y162">
        <f>IF(X162&lt;&gt;"",IF(K162&lt;&gt;"",K162&amp;" ("&amp;M162&amp;")",M162),"")</f>
      </c>
      <c r="Z162">
        <f>IF(O162="Sí",COUNTIFS($D$2:D162,D162,$O$2:O162,"Sí"),"")</f>
      </c>
      <c r="AA162">
        <f>IF(Z162&lt;&gt;"",D162&amp;"|"&amp;Z162,"")</f>
      </c>
      <c r="AB162">
        <f>IF(AA162&lt;&gt;"",IF(K162&lt;&gt;"",K162&amp;" ("&amp;M162&amp;")",M162),"")</f>
      </c>
      <c r="AC162">
        <f>IF($B162="","fecha, ","")&amp;IF($C162="","quién lo introduce, ","")&amp;IF($I162="","motivo, ","")&amp;IF($K162="","docente, ","")&amp;IF($L162="","horario, ","")&amp;IF($N162="","duración, ","")&amp;IF($Q162="","estado, ","")&amp;IF(AND($I162="Otros",$J162=""),"detalle del motivo, ","")&amp;IF(AND($O162="Sí",$P162=""),"detalle del refuerzo, ","")&amp;IF(AND(OR($I162="Renuncia (hasta 30 nov)",$I162="Baja (desde 1 dic)",$I162="Renuncia excepcional (art. 25.3)",$I162="Traslado de expediente"),OR($E162="",$F162="",$G162="")),"quién deja la plaza, ","")&amp;IF(AND($Q162="No disponible",$R162=""),"vía de cobertura, ","")&amp;IF(AND(OR($R162="Lista de espera · propio centro",$R162="Traslado de expediente",$R162="Lista de espera · otro centro"),OR($S162="",$T162="",$U162="")),"quién ocupa la plaza, ","")</f>
      </c>
      <c r="AD162" s="24">
        <f>IF($D162="","",IF(AND(LEN($AC162)=0,LEN($AK162)=0),"Completa",IF(LEN($AC162)=0,"Revisar: "&amp;LEFT($AK162,LEN($AK162)-2),"Falta: "&amp;LEFT($AC162,LEN($AC162)-2)&amp;IF(LEN($AK162)&gt;0,"  ·  Revisar: "&amp;LEFT($AK162,LEN($AK162)-2),""))))</f>
      </c>
      <c r="AE162">
        <f>IF(AND($D162&lt;&gt;"",OR($I162="Renuncia (hasta 30 nov)",$I162="Baja (desde 1 dic)",$I162="Renuncia excepcional (art. 25.3)",$I162="Traslado de expediente")),COUNTIF($AE$1:AE161,"&gt;0")+1,"")</f>
      </c>
      <c r="AF162">
        <f>IF($Q162="Disponible",COUNTIF($AF$1:AF161,"&gt;0")+1,"")</f>
      </c>
      <c r="AG162">
        <f>IF($O162="Sí",COUNTIF($AG$1:AG161,"&gt;0")+1,"")</f>
      </c>
      <c r="AH162">
        <f>IF(AND($Q162="Disponible",$O162&lt;&gt;"Sí"),COUNTIF($AH$1:AH161,"&gt;0")+1,"")</f>
      </c>
      <c r="AI162">
        <f>IF(AND($Q162="Disponible",$K162&lt;&gt;""),COUNTIFS($K$2:K162,K162,$Q$2:Q162,"Disponible"),"")</f>
      </c>
      <c r="AJ162">
        <f>IF(AI162&lt;&gt;"",K162&amp;"|"&amp;AI162,"")</f>
      </c>
      <c r="AK162">
        <f>IF(AND($Q162="No disponible",OR($R162="Lista de espera · propio centro",$R162="Traslado de expediente",$R162="Lista de espera · otro centro"),$O162="Sí"),"la plaza ya tiene alumno y sigue marcada como refuerzo, ","")&amp;IF(AND($R162="Reconvertida en refuerzo",$O162&lt;&gt;"Sí"),"reconvertida en refuerzo pero sin marcar «En uso como refuerzo», ","")</f>
      </c>
    </row>
    <row r="163" spans="1:37">
      <c r="A163" s="20">
        <f>IF(D163&lt;&gt;"",ROW()-1,"")</f>
      </c>
      <c r="B163" s="55"/>
      <c r="C163" s="56"/>
      <c r="D163" s="56"/>
      <c r="E163" s="56"/>
      <c r="F163" s="56"/>
      <c r="G163" s="56"/>
      <c r="H163" s="56"/>
      <c r="I163" s="56"/>
      <c r="J163" s="57"/>
      <c r="K163" s="56"/>
      <c r="L163" s="58"/>
      <c r="M163" s="58">
        <f>IF(L163="","",L163)</f>
      </c>
      <c r="N163" s="56"/>
      <c r="O163" s="56"/>
      <c r="P163" s="57"/>
      <c r="Q163" s="56"/>
      <c r="R163" s="56"/>
      <c r="S163" s="56"/>
      <c r="T163" s="56"/>
      <c r="U163" s="56"/>
      <c r="V163" s="57"/>
      <c r="W163">
        <f>IF(Q163="Disponible",COUNTIFS($D$2:D163,D163,$Q$2:Q163,"Disponible"),"")</f>
      </c>
      <c r="X163">
        <f>IF(W163&lt;&gt;"",D163&amp;"|"&amp;W163,"")</f>
      </c>
      <c r="Y163">
        <f>IF(X163&lt;&gt;"",IF(K163&lt;&gt;"",K163&amp;" ("&amp;M163&amp;")",M163),"")</f>
      </c>
      <c r="Z163">
        <f>IF(O163="Sí",COUNTIFS($D$2:D163,D163,$O$2:O163,"Sí"),"")</f>
      </c>
      <c r="AA163">
        <f>IF(Z163&lt;&gt;"",D163&amp;"|"&amp;Z163,"")</f>
      </c>
      <c r="AB163">
        <f>IF(AA163&lt;&gt;"",IF(K163&lt;&gt;"",K163&amp;" ("&amp;M163&amp;")",M163),"")</f>
      </c>
      <c r="AC163">
        <f>IF($B163="","fecha, ","")&amp;IF($C163="","quién lo introduce, ","")&amp;IF($I163="","motivo, ","")&amp;IF($K163="","docente, ","")&amp;IF($L163="","horario, ","")&amp;IF($N163="","duración, ","")&amp;IF($Q163="","estado, ","")&amp;IF(AND($I163="Otros",$J163=""),"detalle del motivo, ","")&amp;IF(AND($O163="Sí",$P163=""),"detalle del refuerzo, ","")&amp;IF(AND(OR($I163="Renuncia (hasta 30 nov)",$I163="Baja (desde 1 dic)",$I163="Renuncia excepcional (art. 25.3)",$I163="Traslado de expediente"),OR($E163="",$F163="",$G163="")),"quién deja la plaza, ","")&amp;IF(AND($Q163="No disponible",$R163=""),"vía de cobertura, ","")&amp;IF(AND(OR($R163="Lista de espera · propio centro",$R163="Traslado de expediente",$R163="Lista de espera · otro centro"),OR($S163="",$T163="",$U163="")),"quién ocupa la plaza, ","")</f>
      </c>
      <c r="AD163" s="24">
        <f>IF($D163="","",IF(AND(LEN($AC163)=0,LEN($AK163)=0),"Completa",IF(LEN($AC163)=0,"Revisar: "&amp;LEFT($AK163,LEN($AK163)-2),"Falta: "&amp;LEFT($AC163,LEN($AC163)-2)&amp;IF(LEN($AK163)&gt;0,"  ·  Revisar: "&amp;LEFT($AK163,LEN($AK163)-2),""))))</f>
      </c>
      <c r="AE163">
        <f>IF(AND($D163&lt;&gt;"",OR($I163="Renuncia (hasta 30 nov)",$I163="Baja (desde 1 dic)",$I163="Renuncia excepcional (art. 25.3)",$I163="Traslado de expediente")),COUNTIF($AE$1:AE162,"&gt;0")+1,"")</f>
      </c>
      <c r="AF163">
        <f>IF($Q163="Disponible",COUNTIF($AF$1:AF162,"&gt;0")+1,"")</f>
      </c>
      <c r="AG163">
        <f>IF($O163="Sí",COUNTIF($AG$1:AG162,"&gt;0")+1,"")</f>
      </c>
      <c r="AH163">
        <f>IF(AND($Q163="Disponible",$O163&lt;&gt;"Sí"),COUNTIF($AH$1:AH162,"&gt;0")+1,"")</f>
      </c>
      <c r="AI163">
        <f>IF(AND($Q163="Disponible",$K163&lt;&gt;""),COUNTIFS($K$2:K163,K163,$Q$2:Q163,"Disponible"),"")</f>
      </c>
      <c r="AJ163">
        <f>IF(AI163&lt;&gt;"",K163&amp;"|"&amp;AI163,"")</f>
      </c>
      <c r="AK163">
        <f>IF(AND($Q163="No disponible",OR($R163="Lista de espera · propio centro",$R163="Traslado de expediente",$R163="Lista de espera · otro centro"),$O163="Sí"),"la plaza ya tiene alumno y sigue marcada como refuerzo, ","")&amp;IF(AND($R163="Reconvertida en refuerzo",$O163&lt;&gt;"Sí"),"reconvertida en refuerzo pero sin marcar «En uso como refuerzo», ","")</f>
      </c>
    </row>
    <row r="164" spans="1:37">
      <c r="A164" s="20">
        <f>IF(D164&lt;&gt;"",ROW()-1,"")</f>
      </c>
      <c r="B164" s="55"/>
      <c r="C164" s="56"/>
      <c r="D164" s="56"/>
      <c r="E164" s="56"/>
      <c r="F164" s="56"/>
      <c r="G164" s="56"/>
      <c r="H164" s="56"/>
      <c r="I164" s="56"/>
      <c r="J164" s="57"/>
      <c r="K164" s="56"/>
      <c r="L164" s="58"/>
      <c r="M164" s="58">
        <f>IF(L164="","",L164)</f>
      </c>
      <c r="N164" s="56"/>
      <c r="O164" s="56"/>
      <c r="P164" s="57"/>
      <c r="Q164" s="56"/>
      <c r="R164" s="56"/>
      <c r="S164" s="56"/>
      <c r="T164" s="56"/>
      <c r="U164" s="56"/>
      <c r="V164" s="57"/>
      <c r="W164">
        <f>IF(Q164="Disponible",COUNTIFS($D$2:D164,D164,$Q$2:Q164,"Disponible"),"")</f>
      </c>
      <c r="X164">
        <f>IF(W164&lt;&gt;"",D164&amp;"|"&amp;W164,"")</f>
      </c>
      <c r="Y164">
        <f>IF(X164&lt;&gt;"",IF(K164&lt;&gt;"",K164&amp;" ("&amp;M164&amp;")",M164),"")</f>
      </c>
      <c r="Z164">
        <f>IF(O164="Sí",COUNTIFS($D$2:D164,D164,$O$2:O164,"Sí"),"")</f>
      </c>
      <c r="AA164">
        <f>IF(Z164&lt;&gt;"",D164&amp;"|"&amp;Z164,"")</f>
      </c>
      <c r="AB164">
        <f>IF(AA164&lt;&gt;"",IF(K164&lt;&gt;"",K164&amp;" ("&amp;M164&amp;")",M164),"")</f>
      </c>
      <c r="AC164">
        <f>IF($B164="","fecha, ","")&amp;IF($C164="","quién lo introduce, ","")&amp;IF($I164="","motivo, ","")&amp;IF($K164="","docente, ","")&amp;IF($L164="","horario, ","")&amp;IF($N164="","duración, ","")&amp;IF($Q164="","estado, ","")&amp;IF(AND($I164="Otros",$J164=""),"detalle del motivo, ","")&amp;IF(AND($O164="Sí",$P164=""),"detalle del refuerzo, ","")&amp;IF(AND(OR($I164="Renuncia (hasta 30 nov)",$I164="Baja (desde 1 dic)",$I164="Renuncia excepcional (art. 25.3)",$I164="Traslado de expediente"),OR($E164="",$F164="",$G164="")),"quién deja la plaza, ","")&amp;IF(AND($Q164="No disponible",$R164=""),"vía de cobertura, ","")&amp;IF(AND(OR($R164="Lista de espera · propio centro",$R164="Traslado de expediente",$R164="Lista de espera · otro centro"),OR($S164="",$T164="",$U164="")),"quién ocupa la plaza, ","")</f>
      </c>
      <c r="AD164" s="24">
        <f>IF($D164="","",IF(AND(LEN($AC164)=0,LEN($AK164)=0),"Completa",IF(LEN($AC164)=0,"Revisar: "&amp;LEFT($AK164,LEN($AK164)-2),"Falta: "&amp;LEFT($AC164,LEN($AC164)-2)&amp;IF(LEN($AK164)&gt;0,"  ·  Revisar: "&amp;LEFT($AK164,LEN($AK164)-2),""))))</f>
      </c>
      <c r="AE164">
        <f>IF(AND($D164&lt;&gt;"",OR($I164="Renuncia (hasta 30 nov)",$I164="Baja (desde 1 dic)",$I164="Renuncia excepcional (art. 25.3)",$I164="Traslado de expediente")),COUNTIF($AE$1:AE163,"&gt;0")+1,"")</f>
      </c>
      <c r="AF164">
        <f>IF($Q164="Disponible",COUNTIF($AF$1:AF163,"&gt;0")+1,"")</f>
      </c>
      <c r="AG164">
        <f>IF($O164="Sí",COUNTIF($AG$1:AG163,"&gt;0")+1,"")</f>
      </c>
      <c r="AH164">
        <f>IF(AND($Q164="Disponible",$O164&lt;&gt;"Sí"),COUNTIF($AH$1:AH163,"&gt;0")+1,"")</f>
      </c>
      <c r="AI164">
        <f>IF(AND($Q164="Disponible",$K164&lt;&gt;""),COUNTIFS($K$2:K164,K164,$Q$2:Q164,"Disponible"),"")</f>
      </c>
      <c r="AJ164">
        <f>IF(AI164&lt;&gt;"",K164&amp;"|"&amp;AI164,"")</f>
      </c>
      <c r="AK164">
        <f>IF(AND($Q164="No disponible",OR($R164="Lista de espera · propio centro",$R164="Traslado de expediente",$R164="Lista de espera · otro centro"),$O164="Sí"),"la plaza ya tiene alumno y sigue marcada como refuerzo, ","")&amp;IF(AND($R164="Reconvertida en refuerzo",$O164&lt;&gt;"Sí"),"reconvertida en refuerzo pero sin marcar «En uso como refuerzo», ","")</f>
      </c>
    </row>
    <row r="165" spans="1:37">
      <c r="A165" s="20">
        <f>IF(D165&lt;&gt;"",ROW()-1,"")</f>
      </c>
      <c r="B165" s="55"/>
      <c r="C165" s="56"/>
      <c r="D165" s="56"/>
      <c r="E165" s="56"/>
      <c r="F165" s="56"/>
      <c r="G165" s="56"/>
      <c r="H165" s="56"/>
      <c r="I165" s="56"/>
      <c r="J165" s="57"/>
      <c r="K165" s="56"/>
      <c r="L165" s="58"/>
      <c r="M165" s="58">
        <f>IF(L165="","",L165)</f>
      </c>
      <c r="N165" s="56"/>
      <c r="O165" s="56"/>
      <c r="P165" s="57"/>
      <c r="Q165" s="56"/>
      <c r="R165" s="56"/>
      <c r="S165" s="56"/>
      <c r="T165" s="56"/>
      <c r="U165" s="56"/>
      <c r="V165" s="57"/>
      <c r="W165">
        <f>IF(Q165="Disponible",COUNTIFS($D$2:D165,D165,$Q$2:Q165,"Disponible"),"")</f>
      </c>
      <c r="X165">
        <f>IF(W165&lt;&gt;"",D165&amp;"|"&amp;W165,"")</f>
      </c>
      <c r="Y165">
        <f>IF(X165&lt;&gt;"",IF(K165&lt;&gt;"",K165&amp;" ("&amp;M165&amp;")",M165),"")</f>
      </c>
      <c r="Z165">
        <f>IF(O165="Sí",COUNTIFS($D$2:D165,D165,$O$2:O165,"Sí"),"")</f>
      </c>
      <c r="AA165">
        <f>IF(Z165&lt;&gt;"",D165&amp;"|"&amp;Z165,"")</f>
      </c>
      <c r="AB165">
        <f>IF(AA165&lt;&gt;"",IF(K165&lt;&gt;"",K165&amp;" ("&amp;M165&amp;")",M165),"")</f>
      </c>
      <c r="AC165">
        <f>IF($B165="","fecha, ","")&amp;IF($C165="","quién lo introduce, ","")&amp;IF($I165="","motivo, ","")&amp;IF($K165="","docente, ","")&amp;IF($L165="","horario, ","")&amp;IF($N165="","duración, ","")&amp;IF($Q165="","estado, ","")&amp;IF(AND($I165="Otros",$J165=""),"detalle del motivo, ","")&amp;IF(AND($O165="Sí",$P165=""),"detalle del refuerzo, ","")&amp;IF(AND(OR($I165="Renuncia (hasta 30 nov)",$I165="Baja (desde 1 dic)",$I165="Renuncia excepcional (art. 25.3)",$I165="Traslado de expediente"),OR($E165="",$F165="",$G165="")),"quién deja la plaza, ","")&amp;IF(AND($Q165="No disponible",$R165=""),"vía de cobertura, ","")&amp;IF(AND(OR($R165="Lista de espera · propio centro",$R165="Traslado de expediente",$R165="Lista de espera · otro centro"),OR($S165="",$T165="",$U165="")),"quién ocupa la plaza, ","")</f>
      </c>
      <c r="AD165" s="24">
        <f>IF($D165="","",IF(AND(LEN($AC165)=0,LEN($AK165)=0),"Completa",IF(LEN($AC165)=0,"Revisar: "&amp;LEFT($AK165,LEN($AK165)-2),"Falta: "&amp;LEFT($AC165,LEN($AC165)-2)&amp;IF(LEN($AK165)&gt;0,"  ·  Revisar: "&amp;LEFT($AK165,LEN($AK165)-2),""))))</f>
      </c>
      <c r="AE165">
        <f>IF(AND($D165&lt;&gt;"",OR($I165="Renuncia (hasta 30 nov)",$I165="Baja (desde 1 dic)",$I165="Renuncia excepcional (art. 25.3)",$I165="Traslado de expediente")),COUNTIF($AE$1:AE164,"&gt;0")+1,"")</f>
      </c>
      <c r="AF165">
        <f>IF($Q165="Disponible",COUNTIF($AF$1:AF164,"&gt;0")+1,"")</f>
      </c>
      <c r="AG165">
        <f>IF($O165="Sí",COUNTIF($AG$1:AG164,"&gt;0")+1,"")</f>
      </c>
      <c r="AH165">
        <f>IF(AND($Q165="Disponible",$O165&lt;&gt;"Sí"),COUNTIF($AH$1:AH164,"&gt;0")+1,"")</f>
      </c>
      <c r="AI165">
        <f>IF(AND($Q165="Disponible",$K165&lt;&gt;""),COUNTIFS($K$2:K165,K165,$Q$2:Q165,"Disponible"),"")</f>
      </c>
      <c r="AJ165">
        <f>IF(AI165&lt;&gt;"",K165&amp;"|"&amp;AI165,"")</f>
      </c>
      <c r="AK165">
        <f>IF(AND($Q165="No disponible",OR($R165="Lista de espera · propio centro",$R165="Traslado de expediente",$R165="Lista de espera · otro centro"),$O165="Sí"),"la plaza ya tiene alumno y sigue marcada como refuerzo, ","")&amp;IF(AND($R165="Reconvertida en refuerzo",$O165&lt;&gt;"Sí"),"reconvertida en refuerzo pero sin marcar «En uso como refuerzo», ","")</f>
      </c>
    </row>
    <row r="166" spans="1:37">
      <c r="A166" s="20">
        <f>IF(D166&lt;&gt;"",ROW()-1,"")</f>
      </c>
      <c r="B166" s="55"/>
      <c r="C166" s="56"/>
      <c r="D166" s="56"/>
      <c r="E166" s="56"/>
      <c r="F166" s="56"/>
      <c r="G166" s="56"/>
      <c r="H166" s="56"/>
      <c r="I166" s="56"/>
      <c r="J166" s="57"/>
      <c r="K166" s="56"/>
      <c r="L166" s="58"/>
      <c r="M166" s="58">
        <f>IF(L166="","",L166)</f>
      </c>
      <c r="N166" s="56"/>
      <c r="O166" s="56"/>
      <c r="P166" s="57"/>
      <c r="Q166" s="56"/>
      <c r="R166" s="56"/>
      <c r="S166" s="56"/>
      <c r="T166" s="56"/>
      <c r="U166" s="56"/>
      <c r="V166" s="57"/>
      <c r="W166">
        <f>IF(Q166="Disponible",COUNTIFS($D$2:D166,D166,$Q$2:Q166,"Disponible"),"")</f>
      </c>
      <c r="X166">
        <f>IF(W166&lt;&gt;"",D166&amp;"|"&amp;W166,"")</f>
      </c>
      <c r="Y166">
        <f>IF(X166&lt;&gt;"",IF(K166&lt;&gt;"",K166&amp;" ("&amp;M166&amp;")",M166),"")</f>
      </c>
      <c r="Z166">
        <f>IF(O166="Sí",COUNTIFS($D$2:D166,D166,$O$2:O166,"Sí"),"")</f>
      </c>
      <c r="AA166">
        <f>IF(Z166&lt;&gt;"",D166&amp;"|"&amp;Z166,"")</f>
      </c>
      <c r="AB166">
        <f>IF(AA166&lt;&gt;"",IF(K166&lt;&gt;"",K166&amp;" ("&amp;M166&amp;")",M166),"")</f>
      </c>
      <c r="AC166">
        <f>IF($B166="","fecha, ","")&amp;IF($C166="","quién lo introduce, ","")&amp;IF($I166="","motivo, ","")&amp;IF($K166="","docente, ","")&amp;IF($L166="","horario, ","")&amp;IF($N166="","duración, ","")&amp;IF($Q166="","estado, ","")&amp;IF(AND($I166="Otros",$J166=""),"detalle del motivo, ","")&amp;IF(AND($O166="Sí",$P166=""),"detalle del refuerzo, ","")&amp;IF(AND(OR($I166="Renuncia (hasta 30 nov)",$I166="Baja (desde 1 dic)",$I166="Renuncia excepcional (art. 25.3)",$I166="Traslado de expediente"),OR($E166="",$F166="",$G166="")),"quién deja la plaza, ","")&amp;IF(AND($Q166="No disponible",$R166=""),"vía de cobertura, ","")&amp;IF(AND(OR($R166="Lista de espera · propio centro",$R166="Traslado de expediente",$R166="Lista de espera · otro centro"),OR($S166="",$T166="",$U166="")),"quién ocupa la plaza, ","")</f>
      </c>
      <c r="AD166" s="24">
        <f>IF($D166="","",IF(AND(LEN($AC166)=0,LEN($AK166)=0),"Completa",IF(LEN($AC166)=0,"Revisar: "&amp;LEFT($AK166,LEN($AK166)-2),"Falta: "&amp;LEFT($AC166,LEN($AC166)-2)&amp;IF(LEN($AK166)&gt;0,"  ·  Revisar: "&amp;LEFT($AK166,LEN($AK166)-2),""))))</f>
      </c>
      <c r="AE166">
        <f>IF(AND($D166&lt;&gt;"",OR($I166="Renuncia (hasta 30 nov)",$I166="Baja (desde 1 dic)",$I166="Renuncia excepcional (art. 25.3)",$I166="Traslado de expediente")),COUNTIF($AE$1:AE165,"&gt;0")+1,"")</f>
      </c>
      <c r="AF166">
        <f>IF($Q166="Disponible",COUNTIF($AF$1:AF165,"&gt;0")+1,"")</f>
      </c>
      <c r="AG166">
        <f>IF($O166="Sí",COUNTIF($AG$1:AG165,"&gt;0")+1,"")</f>
      </c>
      <c r="AH166">
        <f>IF(AND($Q166="Disponible",$O166&lt;&gt;"Sí"),COUNTIF($AH$1:AH165,"&gt;0")+1,"")</f>
      </c>
      <c r="AI166">
        <f>IF(AND($Q166="Disponible",$K166&lt;&gt;""),COUNTIFS($K$2:K166,K166,$Q$2:Q166,"Disponible"),"")</f>
      </c>
      <c r="AJ166">
        <f>IF(AI166&lt;&gt;"",K166&amp;"|"&amp;AI166,"")</f>
      </c>
      <c r="AK166">
        <f>IF(AND($Q166="No disponible",OR($R166="Lista de espera · propio centro",$R166="Traslado de expediente",$R166="Lista de espera · otro centro"),$O166="Sí"),"la plaza ya tiene alumno y sigue marcada como refuerzo, ","")&amp;IF(AND($R166="Reconvertida en refuerzo",$O166&lt;&gt;"Sí"),"reconvertida en refuerzo pero sin marcar «En uso como refuerzo», ","")</f>
      </c>
    </row>
    <row r="167" spans="1:37">
      <c r="A167" s="20">
        <f>IF(D167&lt;&gt;"",ROW()-1,"")</f>
      </c>
      <c r="B167" s="55"/>
      <c r="C167" s="56"/>
      <c r="D167" s="56"/>
      <c r="E167" s="56"/>
      <c r="F167" s="56"/>
      <c r="G167" s="56"/>
      <c r="H167" s="56"/>
      <c r="I167" s="56"/>
      <c r="J167" s="57"/>
      <c r="K167" s="56"/>
      <c r="L167" s="58"/>
      <c r="M167" s="58">
        <f>IF(L167="","",L167)</f>
      </c>
      <c r="N167" s="56"/>
      <c r="O167" s="56"/>
      <c r="P167" s="57"/>
      <c r="Q167" s="56"/>
      <c r="R167" s="56"/>
      <c r="S167" s="56"/>
      <c r="T167" s="56"/>
      <c r="U167" s="56"/>
      <c r="V167" s="57"/>
      <c r="W167">
        <f>IF(Q167="Disponible",COUNTIFS($D$2:D167,D167,$Q$2:Q167,"Disponible"),"")</f>
      </c>
      <c r="X167">
        <f>IF(W167&lt;&gt;"",D167&amp;"|"&amp;W167,"")</f>
      </c>
      <c r="Y167">
        <f>IF(X167&lt;&gt;"",IF(K167&lt;&gt;"",K167&amp;" ("&amp;M167&amp;")",M167),"")</f>
      </c>
      <c r="Z167">
        <f>IF(O167="Sí",COUNTIFS($D$2:D167,D167,$O$2:O167,"Sí"),"")</f>
      </c>
      <c r="AA167">
        <f>IF(Z167&lt;&gt;"",D167&amp;"|"&amp;Z167,"")</f>
      </c>
      <c r="AB167">
        <f>IF(AA167&lt;&gt;"",IF(K167&lt;&gt;"",K167&amp;" ("&amp;M167&amp;")",M167),"")</f>
      </c>
      <c r="AC167">
        <f>IF($B167="","fecha, ","")&amp;IF($C167="","quién lo introduce, ","")&amp;IF($I167="","motivo, ","")&amp;IF($K167="","docente, ","")&amp;IF($L167="","horario, ","")&amp;IF($N167="","duración, ","")&amp;IF($Q167="","estado, ","")&amp;IF(AND($I167="Otros",$J167=""),"detalle del motivo, ","")&amp;IF(AND($O167="Sí",$P167=""),"detalle del refuerzo, ","")&amp;IF(AND(OR($I167="Renuncia (hasta 30 nov)",$I167="Baja (desde 1 dic)",$I167="Renuncia excepcional (art. 25.3)",$I167="Traslado de expediente"),OR($E167="",$F167="",$G167="")),"quién deja la plaza, ","")&amp;IF(AND($Q167="No disponible",$R167=""),"vía de cobertura, ","")&amp;IF(AND(OR($R167="Lista de espera · propio centro",$R167="Traslado de expediente",$R167="Lista de espera · otro centro"),OR($S167="",$T167="",$U167="")),"quién ocupa la plaza, ","")</f>
      </c>
      <c r="AD167" s="24">
        <f>IF($D167="","",IF(AND(LEN($AC167)=0,LEN($AK167)=0),"Completa",IF(LEN($AC167)=0,"Revisar: "&amp;LEFT($AK167,LEN($AK167)-2),"Falta: "&amp;LEFT($AC167,LEN($AC167)-2)&amp;IF(LEN($AK167)&gt;0,"  ·  Revisar: "&amp;LEFT($AK167,LEN($AK167)-2),""))))</f>
      </c>
      <c r="AE167">
        <f>IF(AND($D167&lt;&gt;"",OR($I167="Renuncia (hasta 30 nov)",$I167="Baja (desde 1 dic)",$I167="Renuncia excepcional (art. 25.3)",$I167="Traslado de expediente")),COUNTIF($AE$1:AE166,"&gt;0")+1,"")</f>
      </c>
      <c r="AF167">
        <f>IF($Q167="Disponible",COUNTIF($AF$1:AF166,"&gt;0")+1,"")</f>
      </c>
      <c r="AG167">
        <f>IF($O167="Sí",COUNTIF($AG$1:AG166,"&gt;0")+1,"")</f>
      </c>
      <c r="AH167">
        <f>IF(AND($Q167="Disponible",$O167&lt;&gt;"Sí"),COUNTIF($AH$1:AH166,"&gt;0")+1,"")</f>
      </c>
      <c r="AI167">
        <f>IF(AND($Q167="Disponible",$K167&lt;&gt;""),COUNTIFS($K$2:K167,K167,$Q$2:Q167,"Disponible"),"")</f>
      </c>
      <c r="AJ167">
        <f>IF(AI167&lt;&gt;"",K167&amp;"|"&amp;AI167,"")</f>
      </c>
      <c r="AK167">
        <f>IF(AND($Q167="No disponible",OR($R167="Lista de espera · propio centro",$R167="Traslado de expediente",$R167="Lista de espera · otro centro"),$O167="Sí"),"la plaza ya tiene alumno y sigue marcada como refuerzo, ","")&amp;IF(AND($R167="Reconvertida en refuerzo",$O167&lt;&gt;"Sí"),"reconvertida en refuerzo pero sin marcar «En uso como refuerzo», ","")</f>
      </c>
    </row>
    <row r="168" spans="1:37">
      <c r="A168" s="20">
        <f>IF(D168&lt;&gt;"",ROW()-1,"")</f>
      </c>
      <c r="B168" s="55"/>
      <c r="C168" s="56"/>
      <c r="D168" s="56"/>
      <c r="E168" s="56"/>
      <c r="F168" s="56"/>
      <c r="G168" s="56"/>
      <c r="H168" s="56"/>
      <c r="I168" s="56"/>
      <c r="J168" s="57"/>
      <c r="K168" s="56"/>
      <c r="L168" s="58"/>
      <c r="M168" s="58">
        <f>IF(L168="","",L168)</f>
      </c>
      <c r="N168" s="56"/>
      <c r="O168" s="56"/>
      <c r="P168" s="57"/>
      <c r="Q168" s="56"/>
      <c r="R168" s="56"/>
      <c r="S168" s="56"/>
      <c r="T168" s="56"/>
      <c r="U168" s="56"/>
      <c r="V168" s="57"/>
      <c r="W168">
        <f>IF(Q168="Disponible",COUNTIFS($D$2:D168,D168,$Q$2:Q168,"Disponible"),"")</f>
      </c>
      <c r="X168">
        <f>IF(W168&lt;&gt;"",D168&amp;"|"&amp;W168,"")</f>
      </c>
      <c r="Y168">
        <f>IF(X168&lt;&gt;"",IF(K168&lt;&gt;"",K168&amp;" ("&amp;M168&amp;")",M168),"")</f>
      </c>
      <c r="Z168">
        <f>IF(O168="Sí",COUNTIFS($D$2:D168,D168,$O$2:O168,"Sí"),"")</f>
      </c>
      <c r="AA168">
        <f>IF(Z168&lt;&gt;"",D168&amp;"|"&amp;Z168,"")</f>
      </c>
      <c r="AB168">
        <f>IF(AA168&lt;&gt;"",IF(K168&lt;&gt;"",K168&amp;" ("&amp;M168&amp;")",M168),"")</f>
      </c>
      <c r="AC168">
        <f>IF($B168="","fecha, ","")&amp;IF($C168="","quién lo introduce, ","")&amp;IF($I168="","motivo, ","")&amp;IF($K168="","docente, ","")&amp;IF($L168="","horario, ","")&amp;IF($N168="","duración, ","")&amp;IF($Q168="","estado, ","")&amp;IF(AND($I168="Otros",$J168=""),"detalle del motivo, ","")&amp;IF(AND($O168="Sí",$P168=""),"detalle del refuerzo, ","")&amp;IF(AND(OR($I168="Renuncia (hasta 30 nov)",$I168="Baja (desde 1 dic)",$I168="Renuncia excepcional (art. 25.3)",$I168="Traslado de expediente"),OR($E168="",$F168="",$G168="")),"quién deja la plaza, ","")&amp;IF(AND($Q168="No disponible",$R168=""),"vía de cobertura, ","")&amp;IF(AND(OR($R168="Lista de espera · propio centro",$R168="Traslado de expediente",$R168="Lista de espera · otro centro"),OR($S168="",$T168="",$U168="")),"quién ocupa la plaza, ","")</f>
      </c>
      <c r="AD168" s="24">
        <f>IF($D168="","",IF(AND(LEN($AC168)=0,LEN($AK168)=0),"Completa",IF(LEN($AC168)=0,"Revisar: "&amp;LEFT($AK168,LEN($AK168)-2),"Falta: "&amp;LEFT($AC168,LEN($AC168)-2)&amp;IF(LEN($AK168)&gt;0,"  ·  Revisar: "&amp;LEFT($AK168,LEN($AK168)-2),""))))</f>
      </c>
      <c r="AE168">
        <f>IF(AND($D168&lt;&gt;"",OR($I168="Renuncia (hasta 30 nov)",$I168="Baja (desde 1 dic)",$I168="Renuncia excepcional (art. 25.3)",$I168="Traslado de expediente")),COUNTIF($AE$1:AE167,"&gt;0")+1,"")</f>
      </c>
      <c r="AF168">
        <f>IF($Q168="Disponible",COUNTIF($AF$1:AF167,"&gt;0")+1,"")</f>
      </c>
      <c r="AG168">
        <f>IF($O168="Sí",COUNTIF($AG$1:AG167,"&gt;0")+1,"")</f>
      </c>
      <c r="AH168">
        <f>IF(AND($Q168="Disponible",$O168&lt;&gt;"Sí"),COUNTIF($AH$1:AH167,"&gt;0")+1,"")</f>
      </c>
      <c r="AI168">
        <f>IF(AND($Q168="Disponible",$K168&lt;&gt;""),COUNTIFS($K$2:K168,K168,$Q$2:Q168,"Disponible"),"")</f>
      </c>
      <c r="AJ168">
        <f>IF(AI168&lt;&gt;"",K168&amp;"|"&amp;AI168,"")</f>
      </c>
      <c r="AK168">
        <f>IF(AND($Q168="No disponible",OR($R168="Lista de espera · propio centro",$R168="Traslado de expediente",$R168="Lista de espera · otro centro"),$O168="Sí"),"la plaza ya tiene alumno y sigue marcada como refuerzo, ","")&amp;IF(AND($R168="Reconvertida en refuerzo",$O168&lt;&gt;"Sí"),"reconvertida en refuerzo pero sin marcar «En uso como refuerzo», ","")</f>
      </c>
    </row>
    <row r="169" spans="1:37">
      <c r="A169" s="20">
        <f>IF(D169&lt;&gt;"",ROW()-1,"")</f>
      </c>
      <c r="B169" s="55"/>
      <c r="C169" s="56"/>
      <c r="D169" s="56"/>
      <c r="E169" s="56"/>
      <c r="F169" s="56"/>
      <c r="G169" s="56"/>
      <c r="H169" s="56"/>
      <c r="I169" s="56"/>
      <c r="J169" s="57"/>
      <c r="K169" s="56"/>
      <c r="L169" s="58"/>
      <c r="M169" s="58">
        <f>IF(L169="","",L169)</f>
      </c>
      <c r="N169" s="56"/>
      <c r="O169" s="56"/>
      <c r="P169" s="57"/>
      <c r="Q169" s="56"/>
      <c r="R169" s="56"/>
      <c r="S169" s="56"/>
      <c r="T169" s="56"/>
      <c r="U169" s="56"/>
      <c r="V169" s="57"/>
      <c r="W169">
        <f>IF(Q169="Disponible",COUNTIFS($D$2:D169,D169,$Q$2:Q169,"Disponible"),"")</f>
      </c>
      <c r="X169">
        <f>IF(W169&lt;&gt;"",D169&amp;"|"&amp;W169,"")</f>
      </c>
      <c r="Y169">
        <f>IF(X169&lt;&gt;"",IF(K169&lt;&gt;"",K169&amp;" ("&amp;M169&amp;")",M169),"")</f>
      </c>
      <c r="Z169">
        <f>IF(O169="Sí",COUNTIFS($D$2:D169,D169,$O$2:O169,"Sí"),"")</f>
      </c>
      <c r="AA169">
        <f>IF(Z169&lt;&gt;"",D169&amp;"|"&amp;Z169,"")</f>
      </c>
      <c r="AB169">
        <f>IF(AA169&lt;&gt;"",IF(K169&lt;&gt;"",K169&amp;" ("&amp;M169&amp;")",M169),"")</f>
      </c>
      <c r="AC169">
        <f>IF($B169="","fecha, ","")&amp;IF($C169="","quién lo introduce, ","")&amp;IF($I169="","motivo, ","")&amp;IF($K169="","docente, ","")&amp;IF($L169="","horario, ","")&amp;IF($N169="","duración, ","")&amp;IF($Q169="","estado, ","")&amp;IF(AND($I169="Otros",$J169=""),"detalle del motivo, ","")&amp;IF(AND($O169="Sí",$P169=""),"detalle del refuerzo, ","")&amp;IF(AND(OR($I169="Renuncia (hasta 30 nov)",$I169="Baja (desde 1 dic)",$I169="Renuncia excepcional (art. 25.3)",$I169="Traslado de expediente"),OR($E169="",$F169="",$G169="")),"quién deja la plaza, ","")&amp;IF(AND($Q169="No disponible",$R169=""),"vía de cobertura, ","")&amp;IF(AND(OR($R169="Lista de espera · propio centro",$R169="Traslado de expediente",$R169="Lista de espera · otro centro"),OR($S169="",$T169="",$U169="")),"quién ocupa la plaza, ","")</f>
      </c>
      <c r="AD169" s="24">
        <f>IF($D169="","",IF(AND(LEN($AC169)=0,LEN($AK169)=0),"Completa",IF(LEN($AC169)=0,"Revisar: "&amp;LEFT($AK169,LEN($AK169)-2),"Falta: "&amp;LEFT($AC169,LEN($AC169)-2)&amp;IF(LEN($AK169)&gt;0,"  ·  Revisar: "&amp;LEFT($AK169,LEN($AK169)-2),""))))</f>
      </c>
      <c r="AE169">
        <f>IF(AND($D169&lt;&gt;"",OR($I169="Renuncia (hasta 30 nov)",$I169="Baja (desde 1 dic)",$I169="Renuncia excepcional (art. 25.3)",$I169="Traslado de expediente")),COUNTIF($AE$1:AE168,"&gt;0")+1,"")</f>
      </c>
      <c r="AF169">
        <f>IF($Q169="Disponible",COUNTIF($AF$1:AF168,"&gt;0")+1,"")</f>
      </c>
      <c r="AG169">
        <f>IF($O169="Sí",COUNTIF($AG$1:AG168,"&gt;0")+1,"")</f>
      </c>
      <c r="AH169">
        <f>IF(AND($Q169="Disponible",$O169&lt;&gt;"Sí"),COUNTIF($AH$1:AH168,"&gt;0")+1,"")</f>
      </c>
      <c r="AI169">
        <f>IF(AND($Q169="Disponible",$K169&lt;&gt;""),COUNTIFS($K$2:K169,K169,$Q$2:Q169,"Disponible"),"")</f>
      </c>
      <c r="AJ169">
        <f>IF(AI169&lt;&gt;"",K169&amp;"|"&amp;AI169,"")</f>
      </c>
      <c r="AK169">
        <f>IF(AND($Q169="No disponible",OR($R169="Lista de espera · propio centro",$R169="Traslado de expediente",$R169="Lista de espera · otro centro"),$O169="Sí"),"la plaza ya tiene alumno y sigue marcada como refuerzo, ","")&amp;IF(AND($R169="Reconvertida en refuerzo",$O169&lt;&gt;"Sí"),"reconvertida en refuerzo pero sin marcar «En uso como refuerzo», ","")</f>
      </c>
    </row>
    <row r="170" spans="1:37">
      <c r="A170" s="20">
        <f>IF(D170&lt;&gt;"",ROW()-1,"")</f>
      </c>
      <c r="B170" s="55"/>
      <c r="C170" s="56"/>
      <c r="D170" s="56"/>
      <c r="E170" s="56"/>
      <c r="F170" s="56"/>
      <c r="G170" s="56"/>
      <c r="H170" s="56"/>
      <c r="I170" s="56"/>
      <c r="J170" s="57"/>
      <c r="K170" s="56"/>
      <c r="L170" s="58"/>
      <c r="M170" s="58">
        <f>IF(L170="","",L170)</f>
      </c>
      <c r="N170" s="56"/>
      <c r="O170" s="56"/>
      <c r="P170" s="57"/>
      <c r="Q170" s="56"/>
      <c r="R170" s="56"/>
      <c r="S170" s="56"/>
      <c r="T170" s="56"/>
      <c r="U170" s="56"/>
      <c r="V170" s="57"/>
      <c r="W170">
        <f>IF(Q170="Disponible",COUNTIFS($D$2:D170,D170,$Q$2:Q170,"Disponible"),"")</f>
      </c>
      <c r="X170">
        <f>IF(W170&lt;&gt;"",D170&amp;"|"&amp;W170,"")</f>
      </c>
      <c r="Y170">
        <f>IF(X170&lt;&gt;"",IF(K170&lt;&gt;"",K170&amp;" ("&amp;M170&amp;")",M170),"")</f>
      </c>
      <c r="Z170">
        <f>IF(O170="Sí",COUNTIFS($D$2:D170,D170,$O$2:O170,"Sí"),"")</f>
      </c>
      <c r="AA170">
        <f>IF(Z170&lt;&gt;"",D170&amp;"|"&amp;Z170,"")</f>
      </c>
      <c r="AB170">
        <f>IF(AA170&lt;&gt;"",IF(K170&lt;&gt;"",K170&amp;" ("&amp;M170&amp;")",M170),"")</f>
      </c>
      <c r="AC170">
        <f>IF($B170="","fecha, ","")&amp;IF($C170="","quién lo introduce, ","")&amp;IF($I170="","motivo, ","")&amp;IF($K170="","docente, ","")&amp;IF($L170="","horario, ","")&amp;IF($N170="","duración, ","")&amp;IF($Q170="","estado, ","")&amp;IF(AND($I170="Otros",$J170=""),"detalle del motivo, ","")&amp;IF(AND($O170="Sí",$P170=""),"detalle del refuerzo, ","")&amp;IF(AND(OR($I170="Renuncia (hasta 30 nov)",$I170="Baja (desde 1 dic)",$I170="Renuncia excepcional (art. 25.3)",$I170="Traslado de expediente"),OR($E170="",$F170="",$G170="")),"quién deja la plaza, ","")&amp;IF(AND($Q170="No disponible",$R170=""),"vía de cobertura, ","")&amp;IF(AND(OR($R170="Lista de espera · propio centro",$R170="Traslado de expediente",$R170="Lista de espera · otro centro"),OR($S170="",$T170="",$U170="")),"quién ocupa la plaza, ","")</f>
      </c>
      <c r="AD170" s="24">
        <f>IF($D170="","",IF(AND(LEN($AC170)=0,LEN($AK170)=0),"Completa",IF(LEN($AC170)=0,"Revisar: "&amp;LEFT($AK170,LEN($AK170)-2),"Falta: "&amp;LEFT($AC170,LEN($AC170)-2)&amp;IF(LEN($AK170)&gt;0,"  ·  Revisar: "&amp;LEFT($AK170,LEN($AK170)-2),""))))</f>
      </c>
      <c r="AE170">
        <f>IF(AND($D170&lt;&gt;"",OR($I170="Renuncia (hasta 30 nov)",$I170="Baja (desde 1 dic)",$I170="Renuncia excepcional (art. 25.3)",$I170="Traslado de expediente")),COUNTIF($AE$1:AE169,"&gt;0")+1,"")</f>
      </c>
      <c r="AF170">
        <f>IF($Q170="Disponible",COUNTIF($AF$1:AF169,"&gt;0")+1,"")</f>
      </c>
      <c r="AG170">
        <f>IF($O170="Sí",COUNTIF($AG$1:AG169,"&gt;0")+1,"")</f>
      </c>
      <c r="AH170">
        <f>IF(AND($Q170="Disponible",$O170&lt;&gt;"Sí"),COUNTIF($AH$1:AH169,"&gt;0")+1,"")</f>
      </c>
      <c r="AI170">
        <f>IF(AND($Q170="Disponible",$K170&lt;&gt;""),COUNTIFS($K$2:K170,K170,$Q$2:Q170,"Disponible"),"")</f>
      </c>
      <c r="AJ170">
        <f>IF(AI170&lt;&gt;"",K170&amp;"|"&amp;AI170,"")</f>
      </c>
      <c r="AK170">
        <f>IF(AND($Q170="No disponible",OR($R170="Lista de espera · propio centro",$R170="Traslado de expediente",$R170="Lista de espera · otro centro"),$O170="Sí"),"la plaza ya tiene alumno y sigue marcada como refuerzo, ","")&amp;IF(AND($R170="Reconvertida en refuerzo",$O170&lt;&gt;"Sí"),"reconvertida en refuerzo pero sin marcar «En uso como refuerzo», ","")</f>
      </c>
    </row>
    <row r="171" spans="1:37">
      <c r="A171" s="20">
        <f>IF(D171&lt;&gt;"",ROW()-1,"")</f>
      </c>
      <c r="B171" s="55"/>
      <c r="C171" s="56"/>
      <c r="D171" s="56"/>
      <c r="E171" s="56"/>
      <c r="F171" s="56"/>
      <c r="G171" s="56"/>
      <c r="H171" s="56"/>
      <c r="I171" s="56"/>
      <c r="J171" s="57"/>
      <c r="K171" s="56"/>
      <c r="L171" s="58"/>
      <c r="M171" s="58">
        <f>IF(L171="","",L171)</f>
      </c>
      <c r="N171" s="56"/>
      <c r="O171" s="56"/>
      <c r="P171" s="57"/>
      <c r="Q171" s="56"/>
      <c r="R171" s="56"/>
      <c r="S171" s="56"/>
      <c r="T171" s="56"/>
      <c r="U171" s="56"/>
      <c r="V171" s="57"/>
      <c r="W171">
        <f>IF(Q171="Disponible",COUNTIFS($D$2:D171,D171,$Q$2:Q171,"Disponible"),"")</f>
      </c>
      <c r="X171">
        <f>IF(W171&lt;&gt;"",D171&amp;"|"&amp;W171,"")</f>
      </c>
      <c r="Y171">
        <f>IF(X171&lt;&gt;"",IF(K171&lt;&gt;"",K171&amp;" ("&amp;M171&amp;")",M171),"")</f>
      </c>
      <c r="Z171">
        <f>IF(O171="Sí",COUNTIFS($D$2:D171,D171,$O$2:O171,"Sí"),"")</f>
      </c>
      <c r="AA171">
        <f>IF(Z171&lt;&gt;"",D171&amp;"|"&amp;Z171,"")</f>
      </c>
      <c r="AB171">
        <f>IF(AA171&lt;&gt;"",IF(K171&lt;&gt;"",K171&amp;" ("&amp;M171&amp;")",M171),"")</f>
      </c>
      <c r="AC171">
        <f>IF($B171="","fecha, ","")&amp;IF($C171="","quién lo introduce, ","")&amp;IF($I171="","motivo, ","")&amp;IF($K171="","docente, ","")&amp;IF($L171="","horario, ","")&amp;IF($N171="","duración, ","")&amp;IF($Q171="","estado, ","")&amp;IF(AND($I171="Otros",$J171=""),"detalle del motivo, ","")&amp;IF(AND($O171="Sí",$P171=""),"detalle del refuerzo, ","")&amp;IF(AND(OR($I171="Renuncia (hasta 30 nov)",$I171="Baja (desde 1 dic)",$I171="Renuncia excepcional (art. 25.3)",$I171="Traslado de expediente"),OR($E171="",$F171="",$G171="")),"quién deja la plaza, ","")&amp;IF(AND($Q171="No disponible",$R171=""),"vía de cobertura, ","")&amp;IF(AND(OR($R171="Lista de espera · propio centro",$R171="Traslado de expediente",$R171="Lista de espera · otro centro"),OR($S171="",$T171="",$U171="")),"quién ocupa la plaza, ","")</f>
      </c>
      <c r="AD171" s="24">
        <f>IF($D171="","",IF(AND(LEN($AC171)=0,LEN($AK171)=0),"Completa",IF(LEN($AC171)=0,"Revisar: "&amp;LEFT($AK171,LEN($AK171)-2),"Falta: "&amp;LEFT($AC171,LEN($AC171)-2)&amp;IF(LEN($AK171)&gt;0,"  ·  Revisar: "&amp;LEFT($AK171,LEN($AK171)-2),""))))</f>
      </c>
      <c r="AE171">
        <f>IF(AND($D171&lt;&gt;"",OR($I171="Renuncia (hasta 30 nov)",$I171="Baja (desde 1 dic)",$I171="Renuncia excepcional (art. 25.3)",$I171="Traslado de expediente")),COUNTIF($AE$1:AE170,"&gt;0")+1,"")</f>
      </c>
      <c r="AF171">
        <f>IF($Q171="Disponible",COUNTIF($AF$1:AF170,"&gt;0")+1,"")</f>
      </c>
      <c r="AG171">
        <f>IF($O171="Sí",COUNTIF($AG$1:AG170,"&gt;0")+1,"")</f>
      </c>
      <c r="AH171">
        <f>IF(AND($Q171="Disponible",$O171&lt;&gt;"Sí"),COUNTIF($AH$1:AH170,"&gt;0")+1,"")</f>
      </c>
      <c r="AI171">
        <f>IF(AND($Q171="Disponible",$K171&lt;&gt;""),COUNTIFS($K$2:K171,K171,$Q$2:Q171,"Disponible"),"")</f>
      </c>
      <c r="AJ171">
        <f>IF(AI171&lt;&gt;"",K171&amp;"|"&amp;AI171,"")</f>
      </c>
      <c r="AK171">
        <f>IF(AND($Q171="No disponible",OR($R171="Lista de espera · propio centro",$R171="Traslado de expediente",$R171="Lista de espera · otro centro"),$O171="Sí"),"la plaza ya tiene alumno y sigue marcada como refuerzo, ","")&amp;IF(AND($R171="Reconvertida en refuerzo",$O171&lt;&gt;"Sí"),"reconvertida en refuerzo pero sin marcar «En uso como refuerzo», ","")</f>
      </c>
    </row>
    <row r="172" spans="1:37">
      <c r="A172" s="20">
        <f>IF(D172&lt;&gt;"",ROW()-1,"")</f>
      </c>
      <c r="B172" s="55"/>
      <c r="C172" s="56"/>
      <c r="D172" s="56"/>
      <c r="E172" s="56"/>
      <c r="F172" s="56"/>
      <c r="G172" s="56"/>
      <c r="H172" s="56"/>
      <c r="I172" s="56"/>
      <c r="J172" s="57"/>
      <c r="K172" s="56"/>
      <c r="L172" s="58"/>
      <c r="M172" s="58">
        <f>IF(L172="","",L172)</f>
      </c>
      <c r="N172" s="56"/>
      <c r="O172" s="56"/>
      <c r="P172" s="57"/>
      <c r="Q172" s="56"/>
      <c r="R172" s="56"/>
      <c r="S172" s="56"/>
      <c r="T172" s="56"/>
      <c r="U172" s="56"/>
      <c r="V172" s="57"/>
      <c r="W172">
        <f>IF(Q172="Disponible",COUNTIFS($D$2:D172,D172,$Q$2:Q172,"Disponible"),"")</f>
      </c>
      <c r="X172">
        <f>IF(W172&lt;&gt;"",D172&amp;"|"&amp;W172,"")</f>
      </c>
      <c r="Y172">
        <f>IF(X172&lt;&gt;"",IF(K172&lt;&gt;"",K172&amp;" ("&amp;M172&amp;")",M172),"")</f>
      </c>
      <c r="Z172">
        <f>IF(O172="Sí",COUNTIFS($D$2:D172,D172,$O$2:O172,"Sí"),"")</f>
      </c>
      <c r="AA172">
        <f>IF(Z172&lt;&gt;"",D172&amp;"|"&amp;Z172,"")</f>
      </c>
      <c r="AB172">
        <f>IF(AA172&lt;&gt;"",IF(K172&lt;&gt;"",K172&amp;" ("&amp;M172&amp;")",M172),"")</f>
      </c>
      <c r="AC172">
        <f>IF($B172="","fecha, ","")&amp;IF($C172="","quién lo introduce, ","")&amp;IF($I172="","motivo, ","")&amp;IF($K172="","docente, ","")&amp;IF($L172="","horario, ","")&amp;IF($N172="","duración, ","")&amp;IF($Q172="","estado, ","")&amp;IF(AND($I172="Otros",$J172=""),"detalle del motivo, ","")&amp;IF(AND($O172="Sí",$P172=""),"detalle del refuerzo, ","")&amp;IF(AND(OR($I172="Renuncia (hasta 30 nov)",$I172="Baja (desde 1 dic)",$I172="Renuncia excepcional (art. 25.3)",$I172="Traslado de expediente"),OR($E172="",$F172="",$G172="")),"quién deja la plaza, ","")&amp;IF(AND($Q172="No disponible",$R172=""),"vía de cobertura, ","")&amp;IF(AND(OR($R172="Lista de espera · propio centro",$R172="Traslado de expediente",$R172="Lista de espera · otro centro"),OR($S172="",$T172="",$U172="")),"quién ocupa la plaza, ","")</f>
      </c>
      <c r="AD172" s="24">
        <f>IF($D172="","",IF(AND(LEN($AC172)=0,LEN($AK172)=0),"Completa",IF(LEN($AC172)=0,"Revisar: "&amp;LEFT($AK172,LEN($AK172)-2),"Falta: "&amp;LEFT($AC172,LEN($AC172)-2)&amp;IF(LEN($AK172)&gt;0,"  ·  Revisar: "&amp;LEFT($AK172,LEN($AK172)-2),""))))</f>
      </c>
      <c r="AE172">
        <f>IF(AND($D172&lt;&gt;"",OR($I172="Renuncia (hasta 30 nov)",$I172="Baja (desde 1 dic)",$I172="Renuncia excepcional (art. 25.3)",$I172="Traslado de expediente")),COUNTIF($AE$1:AE171,"&gt;0")+1,"")</f>
      </c>
      <c r="AF172">
        <f>IF($Q172="Disponible",COUNTIF($AF$1:AF171,"&gt;0")+1,"")</f>
      </c>
      <c r="AG172">
        <f>IF($O172="Sí",COUNTIF($AG$1:AG171,"&gt;0")+1,"")</f>
      </c>
      <c r="AH172">
        <f>IF(AND($Q172="Disponible",$O172&lt;&gt;"Sí"),COUNTIF($AH$1:AH171,"&gt;0")+1,"")</f>
      </c>
      <c r="AI172">
        <f>IF(AND($Q172="Disponible",$K172&lt;&gt;""),COUNTIFS($K$2:K172,K172,$Q$2:Q172,"Disponible"),"")</f>
      </c>
      <c r="AJ172">
        <f>IF(AI172&lt;&gt;"",K172&amp;"|"&amp;AI172,"")</f>
      </c>
      <c r="AK172">
        <f>IF(AND($Q172="No disponible",OR($R172="Lista de espera · propio centro",$R172="Traslado de expediente",$R172="Lista de espera · otro centro"),$O172="Sí"),"la plaza ya tiene alumno y sigue marcada como refuerzo, ","")&amp;IF(AND($R172="Reconvertida en refuerzo",$O172&lt;&gt;"Sí"),"reconvertida en refuerzo pero sin marcar «En uso como refuerzo», ","")</f>
      </c>
    </row>
    <row r="173" spans="1:37">
      <c r="A173" s="20">
        <f>IF(D173&lt;&gt;"",ROW()-1,"")</f>
      </c>
      <c r="B173" s="55"/>
      <c r="C173" s="56"/>
      <c r="D173" s="56"/>
      <c r="E173" s="56"/>
      <c r="F173" s="56"/>
      <c r="G173" s="56"/>
      <c r="H173" s="56"/>
      <c r="I173" s="56"/>
      <c r="J173" s="57"/>
      <c r="K173" s="56"/>
      <c r="L173" s="58"/>
      <c r="M173" s="58">
        <f>IF(L173="","",L173)</f>
      </c>
      <c r="N173" s="56"/>
      <c r="O173" s="56"/>
      <c r="P173" s="57"/>
      <c r="Q173" s="56"/>
      <c r="R173" s="56"/>
      <c r="S173" s="56"/>
      <c r="T173" s="56"/>
      <c r="U173" s="56"/>
      <c r="V173" s="57"/>
      <c r="W173">
        <f>IF(Q173="Disponible",COUNTIFS($D$2:D173,D173,$Q$2:Q173,"Disponible"),"")</f>
      </c>
      <c r="X173">
        <f>IF(W173&lt;&gt;"",D173&amp;"|"&amp;W173,"")</f>
      </c>
      <c r="Y173">
        <f>IF(X173&lt;&gt;"",IF(K173&lt;&gt;"",K173&amp;" ("&amp;M173&amp;")",M173),"")</f>
      </c>
      <c r="Z173">
        <f>IF(O173="Sí",COUNTIFS($D$2:D173,D173,$O$2:O173,"Sí"),"")</f>
      </c>
      <c r="AA173">
        <f>IF(Z173&lt;&gt;"",D173&amp;"|"&amp;Z173,"")</f>
      </c>
      <c r="AB173">
        <f>IF(AA173&lt;&gt;"",IF(K173&lt;&gt;"",K173&amp;" ("&amp;M173&amp;")",M173),"")</f>
      </c>
      <c r="AC173">
        <f>IF($B173="","fecha, ","")&amp;IF($C173="","quién lo introduce, ","")&amp;IF($I173="","motivo, ","")&amp;IF($K173="","docente, ","")&amp;IF($L173="","horario, ","")&amp;IF($N173="","duración, ","")&amp;IF($Q173="","estado, ","")&amp;IF(AND($I173="Otros",$J173=""),"detalle del motivo, ","")&amp;IF(AND($O173="Sí",$P173=""),"detalle del refuerzo, ","")&amp;IF(AND(OR($I173="Renuncia (hasta 30 nov)",$I173="Baja (desde 1 dic)",$I173="Renuncia excepcional (art. 25.3)",$I173="Traslado de expediente"),OR($E173="",$F173="",$G173="")),"quién deja la plaza, ","")&amp;IF(AND($Q173="No disponible",$R173=""),"vía de cobertura, ","")&amp;IF(AND(OR($R173="Lista de espera · propio centro",$R173="Traslado de expediente",$R173="Lista de espera · otro centro"),OR($S173="",$T173="",$U173="")),"quién ocupa la plaza, ","")</f>
      </c>
      <c r="AD173" s="24">
        <f>IF($D173="","",IF(AND(LEN($AC173)=0,LEN($AK173)=0),"Completa",IF(LEN($AC173)=0,"Revisar: "&amp;LEFT($AK173,LEN($AK173)-2),"Falta: "&amp;LEFT($AC173,LEN($AC173)-2)&amp;IF(LEN($AK173)&gt;0,"  ·  Revisar: "&amp;LEFT($AK173,LEN($AK173)-2),""))))</f>
      </c>
      <c r="AE173">
        <f>IF(AND($D173&lt;&gt;"",OR($I173="Renuncia (hasta 30 nov)",$I173="Baja (desde 1 dic)",$I173="Renuncia excepcional (art. 25.3)",$I173="Traslado de expediente")),COUNTIF($AE$1:AE172,"&gt;0")+1,"")</f>
      </c>
      <c r="AF173">
        <f>IF($Q173="Disponible",COUNTIF($AF$1:AF172,"&gt;0")+1,"")</f>
      </c>
      <c r="AG173">
        <f>IF($O173="Sí",COUNTIF($AG$1:AG172,"&gt;0")+1,"")</f>
      </c>
      <c r="AH173">
        <f>IF(AND($Q173="Disponible",$O173&lt;&gt;"Sí"),COUNTIF($AH$1:AH172,"&gt;0")+1,"")</f>
      </c>
      <c r="AI173">
        <f>IF(AND($Q173="Disponible",$K173&lt;&gt;""),COUNTIFS($K$2:K173,K173,$Q$2:Q173,"Disponible"),"")</f>
      </c>
      <c r="AJ173">
        <f>IF(AI173&lt;&gt;"",K173&amp;"|"&amp;AI173,"")</f>
      </c>
      <c r="AK173">
        <f>IF(AND($Q173="No disponible",OR($R173="Lista de espera · propio centro",$R173="Traslado de expediente",$R173="Lista de espera · otro centro"),$O173="Sí"),"la plaza ya tiene alumno y sigue marcada como refuerzo, ","")&amp;IF(AND($R173="Reconvertida en refuerzo",$O173&lt;&gt;"Sí"),"reconvertida en refuerzo pero sin marcar «En uso como refuerzo», ","")</f>
      </c>
    </row>
    <row r="174" spans="1:37">
      <c r="A174" s="20">
        <f>IF(D174&lt;&gt;"",ROW()-1,"")</f>
      </c>
      <c r="B174" s="55"/>
      <c r="C174" s="56"/>
      <c r="D174" s="56"/>
      <c r="E174" s="56"/>
      <c r="F174" s="56"/>
      <c r="G174" s="56"/>
      <c r="H174" s="56"/>
      <c r="I174" s="56"/>
      <c r="J174" s="57"/>
      <c r="K174" s="56"/>
      <c r="L174" s="58"/>
      <c r="M174" s="58">
        <f>IF(L174="","",L174)</f>
      </c>
      <c r="N174" s="56"/>
      <c r="O174" s="56"/>
      <c r="P174" s="57"/>
      <c r="Q174" s="56"/>
      <c r="R174" s="56"/>
      <c r="S174" s="56"/>
      <c r="T174" s="56"/>
      <c r="U174" s="56"/>
      <c r="V174" s="57"/>
      <c r="W174">
        <f>IF(Q174="Disponible",COUNTIFS($D$2:D174,D174,$Q$2:Q174,"Disponible"),"")</f>
      </c>
      <c r="X174">
        <f>IF(W174&lt;&gt;"",D174&amp;"|"&amp;W174,"")</f>
      </c>
      <c r="Y174">
        <f>IF(X174&lt;&gt;"",IF(K174&lt;&gt;"",K174&amp;" ("&amp;M174&amp;")",M174),"")</f>
      </c>
      <c r="Z174">
        <f>IF(O174="Sí",COUNTIFS($D$2:D174,D174,$O$2:O174,"Sí"),"")</f>
      </c>
      <c r="AA174">
        <f>IF(Z174&lt;&gt;"",D174&amp;"|"&amp;Z174,"")</f>
      </c>
      <c r="AB174">
        <f>IF(AA174&lt;&gt;"",IF(K174&lt;&gt;"",K174&amp;" ("&amp;M174&amp;")",M174),"")</f>
      </c>
      <c r="AC174">
        <f>IF($B174="","fecha, ","")&amp;IF($C174="","quién lo introduce, ","")&amp;IF($I174="","motivo, ","")&amp;IF($K174="","docente, ","")&amp;IF($L174="","horario, ","")&amp;IF($N174="","duración, ","")&amp;IF($Q174="","estado, ","")&amp;IF(AND($I174="Otros",$J174=""),"detalle del motivo, ","")&amp;IF(AND($O174="Sí",$P174=""),"detalle del refuerzo, ","")&amp;IF(AND(OR($I174="Renuncia (hasta 30 nov)",$I174="Baja (desde 1 dic)",$I174="Renuncia excepcional (art. 25.3)",$I174="Traslado de expediente"),OR($E174="",$F174="",$G174="")),"quién deja la plaza, ","")&amp;IF(AND($Q174="No disponible",$R174=""),"vía de cobertura, ","")&amp;IF(AND(OR($R174="Lista de espera · propio centro",$R174="Traslado de expediente",$R174="Lista de espera · otro centro"),OR($S174="",$T174="",$U174="")),"quién ocupa la plaza, ","")</f>
      </c>
      <c r="AD174" s="24">
        <f>IF($D174="","",IF(AND(LEN($AC174)=0,LEN($AK174)=0),"Completa",IF(LEN($AC174)=0,"Revisar: "&amp;LEFT($AK174,LEN($AK174)-2),"Falta: "&amp;LEFT($AC174,LEN($AC174)-2)&amp;IF(LEN($AK174)&gt;0,"  ·  Revisar: "&amp;LEFT($AK174,LEN($AK174)-2),""))))</f>
      </c>
      <c r="AE174">
        <f>IF(AND($D174&lt;&gt;"",OR($I174="Renuncia (hasta 30 nov)",$I174="Baja (desde 1 dic)",$I174="Renuncia excepcional (art. 25.3)",$I174="Traslado de expediente")),COUNTIF($AE$1:AE173,"&gt;0")+1,"")</f>
      </c>
      <c r="AF174">
        <f>IF($Q174="Disponible",COUNTIF($AF$1:AF173,"&gt;0")+1,"")</f>
      </c>
      <c r="AG174">
        <f>IF($O174="Sí",COUNTIF($AG$1:AG173,"&gt;0")+1,"")</f>
      </c>
      <c r="AH174">
        <f>IF(AND($Q174="Disponible",$O174&lt;&gt;"Sí"),COUNTIF($AH$1:AH173,"&gt;0")+1,"")</f>
      </c>
      <c r="AI174">
        <f>IF(AND($Q174="Disponible",$K174&lt;&gt;""),COUNTIFS($K$2:K174,K174,$Q$2:Q174,"Disponible"),"")</f>
      </c>
      <c r="AJ174">
        <f>IF(AI174&lt;&gt;"",K174&amp;"|"&amp;AI174,"")</f>
      </c>
      <c r="AK174">
        <f>IF(AND($Q174="No disponible",OR($R174="Lista de espera · propio centro",$R174="Traslado de expediente",$R174="Lista de espera · otro centro"),$O174="Sí"),"la plaza ya tiene alumno y sigue marcada como refuerzo, ","")&amp;IF(AND($R174="Reconvertida en refuerzo",$O174&lt;&gt;"Sí"),"reconvertida en refuerzo pero sin marcar «En uso como refuerzo», ","")</f>
      </c>
    </row>
    <row r="175" spans="1:37">
      <c r="A175" s="20">
        <f>IF(D175&lt;&gt;"",ROW()-1,"")</f>
      </c>
      <c r="B175" s="55"/>
      <c r="C175" s="56"/>
      <c r="D175" s="56"/>
      <c r="E175" s="56"/>
      <c r="F175" s="56"/>
      <c r="G175" s="56"/>
      <c r="H175" s="56"/>
      <c r="I175" s="56"/>
      <c r="J175" s="57"/>
      <c r="K175" s="56"/>
      <c r="L175" s="58"/>
      <c r="M175" s="58">
        <f>IF(L175="","",L175)</f>
      </c>
      <c r="N175" s="56"/>
      <c r="O175" s="56"/>
      <c r="P175" s="57"/>
      <c r="Q175" s="56"/>
      <c r="R175" s="56"/>
      <c r="S175" s="56"/>
      <c r="T175" s="56"/>
      <c r="U175" s="56"/>
      <c r="V175" s="57"/>
      <c r="W175">
        <f>IF(Q175="Disponible",COUNTIFS($D$2:D175,D175,$Q$2:Q175,"Disponible"),"")</f>
      </c>
      <c r="X175">
        <f>IF(W175&lt;&gt;"",D175&amp;"|"&amp;W175,"")</f>
      </c>
      <c r="Y175">
        <f>IF(X175&lt;&gt;"",IF(K175&lt;&gt;"",K175&amp;" ("&amp;M175&amp;")",M175),"")</f>
      </c>
      <c r="Z175">
        <f>IF(O175="Sí",COUNTIFS($D$2:D175,D175,$O$2:O175,"Sí"),"")</f>
      </c>
      <c r="AA175">
        <f>IF(Z175&lt;&gt;"",D175&amp;"|"&amp;Z175,"")</f>
      </c>
      <c r="AB175">
        <f>IF(AA175&lt;&gt;"",IF(K175&lt;&gt;"",K175&amp;" ("&amp;M175&amp;")",M175),"")</f>
      </c>
      <c r="AC175">
        <f>IF($B175="","fecha, ","")&amp;IF($C175="","quién lo introduce, ","")&amp;IF($I175="","motivo, ","")&amp;IF($K175="","docente, ","")&amp;IF($L175="","horario, ","")&amp;IF($N175="","duración, ","")&amp;IF($Q175="","estado, ","")&amp;IF(AND($I175="Otros",$J175=""),"detalle del motivo, ","")&amp;IF(AND($O175="Sí",$P175=""),"detalle del refuerzo, ","")&amp;IF(AND(OR($I175="Renuncia (hasta 30 nov)",$I175="Baja (desde 1 dic)",$I175="Renuncia excepcional (art. 25.3)",$I175="Traslado de expediente"),OR($E175="",$F175="",$G175="")),"quién deja la plaza, ","")&amp;IF(AND($Q175="No disponible",$R175=""),"vía de cobertura, ","")&amp;IF(AND(OR($R175="Lista de espera · propio centro",$R175="Traslado de expediente",$R175="Lista de espera · otro centro"),OR($S175="",$T175="",$U175="")),"quién ocupa la plaza, ","")</f>
      </c>
      <c r="AD175" s="24">
        <f>IF($D175="","",IF(AND(LEN($AC175)=0,LEN($AK175)=0),"Completa",IF(LEN($AC175)=0,"Revisar: "&amp;LEFT($AK175,LEN($AK175)-2),"Falta: "&amp;LEFT($AC175,LEN($AC175)-2)&amp;IF(LEN($AK175)&gt;0,"  ·  Revisar: "&amp;LEFT($AK175,LEN($AK175)-2),""))))</f>
      </c>
      <c r="AE175">
        <f>IF(AND($D175&lt;&gt;"",OR($I175="Renuncia (hasta 30 nov)",$I175="Baja (desde 1 dic)",$I175="Renuncia excepcional (art. 25.3)",$I175="Traslado de expediente")),COUNTIF($AE$1:AE174,"&gt;0")+1,"")</f>
      </c>
      <c r="AF175">
        <f>IF($Q175="Disponible",COUNTIF($AF$1:AF174,"&gt;0")+1,"")</f>
      </c>
      <c r="AG175">
        <f>IF($O175="Sí",COUNTIF($AG$1:AG174,"&gt;0")+1,"")</f>
      </c>
      <c r="AH175">
        <f>IF(AND($Q175="Disponible",$O175&lt;&gt;"Sí"),COUNTIF($AH$1:AH174,"&gt;0")+1,"")</f>
      </c>
      <c r="AI175">
        <f>IF(AND($Q175="Disponible",$K175&lt;&gt;""),COUNTIFS($K$2:K175,K175,$Q$2:Q175,"Disponible"),"")</f>
      </c>
      <c r="AJ175">
        <f>IF(AI175&lt;&gt;"",K175&amp;"|"&amp;AI175,"")</f>
      </c>
      <c r="AK175">
        <f>IF(AND($Q175="No disponible",OR($R175="Lista de espera · propio centro",$R175="Traslado de expediente",$R175="Lista de espera · otro centro"),$O175="Sí"),"la plaza ya tiene alumno y sigue marcada como refuerzo, ","")&amp;IF(AND($R175="Reconvertida en refuerzo",$O175&lt;&gt;"Sí"),"reconvertida en refuerzo pero sin marcar «En uso como refuerzo», ","")</f>
      </c>
    </row>
    <row r="176" spans="1:37">
      <c r="A176" s="20">
        <f>IF(D176&lt;&gt;"",ROW()-1,"")</f>
      </c>
      <c r="B176" s="55"/>
      <c r="C176" s="56"/>
      <c r="D176" s="56"/>
      <c r="E176" s="56"/>
      <c r="F176" s="56"/>
      <c r="G176" s="56"/>
      <c r="H176" s="56"/>
      <c r="I176" s="56"/>
      <c r="J176" s="57"/>
      <c r="K176" s="56"/>
      <c r="L176" s="58"/>
      <c r="M176" s="58">
        <f>IF(L176="","",L176)</f>
      </c>
      <c r="N176" s="56"/>
      <c r="O176" s="56"/>
      <c r="P176" s="57"/>
      <c r="Q176" s="56"/>
      <c r="R176" s="56"/>
      <c r="S176" s="56"/>
      <c r="T176" s="56"/>
      <c r="U176" s="56"/>
      <c r="V176" s="57"/>
      <c r="W176">
        <f>IF(Q176="Disponible",COUNTIFS($D$2:D176,D176,$Q$2:Q176,"Disponible"),"")</f>
      </c>
      <c r="X176">
        <f>IF(W176&lt;&gt;"",D176&amp;"|"&amp;W176,"")</f>
      </c>
      <c r="Y176">
        <f>IF(X176&lt;&gt;"",IF(K176&lt;&gt;"",K176&amp;" ("&amp;M176&amp;")",M176),"")</f>
      </c>
      <c r="Z176">
        <f>IF(O176="Sí",COUNTIFS($D$2:D176,D176,$O$2:O176,"Sí"),"")</f>
      </c>
      <c r="AA176">
        <f>IF(Z176&lt;&gt;"",D176&amp;"|"&amp;Z176,"")</f>
      </c>
      <c r="AB176">
        <f>IF(AA176&lt;&gt;"",IF(K176&lt;&gt;"",K176&amp;" ("&amp;M176&amp;")",M176),"")</f>
      </c>
      <c r="AC176">
        <f>IF($B176="","fecha, ","")&amp;IF($C176="","quién lo introduce, ","")&amp;IF($I176="","motivo, ","")&amp;IF($K176="","docente, ","")&amp;IF($L176="","horario, ","")&amp;IF($N176="","duración, ","")&amp;IF($Q176="","estado, ","")&amp;IF(AND($I176="Otros",$J176=""),"detalle del motivo, ","")&amp;IF(AND($O176="Sí",$P176=""),"detalle del refuerzo, ","")&amp;IF(AND(OR($I176="Renuncia (hasta 30 nov)",$I176="Baja (desde 1 dic)",$I176="Renuncia excepcional (art. 25.3)",$I176="Traslado de expediente"),OR($E176="",$F176="",$G176="")),"quién deja la plaza, ","")&amp;IF(AND($Q176="No disponible",$R176=""),"vía de cobertura, ","")&amp;IF(AND(OR($R176="Lista de espera · propio centro",$R176="Traslado de expediente",$R176="Lista de espera · otro centro"),OR($S176="",$T176="",$U176="")),"quién ocupa la plaza, ","")</f>
      </c>
      <c r="AD176" s="24">
        <f>IF($D176="","",IF(AND(LEN($AC176)=0,LEN($AK176)=0),"Completa",IF(LEN($AC176)=0,"Revisar: "&amp;LEFT($AK176,LEN($AK176)-2),"Falta: "&amp;LEFT($AC176,LEN($AC176)-2)&amp;IF(LEN($AK176)&gt;0,"  ·  Revisar: "&amp;LEFT($AK176,LEN($AK176)-2),""))))</f>
      </c>
      <c r="AE176">
        <f>IF(AND($D176&lt;&gt;"",OR($I176="Renuncia (hasta 30 nov)",$I176="Baja (desde 1 dic)",$I176="Renuncia excepcional (art. 25.3)",$I176="Traslado de expediente")),COUNTIF($AE$1:AE175,"&gt;0")+1,"")</f>
      </c>
      <c r="AF176">
        <f>IF($Q176="Disponible",COUNTIF($AF$1:AF175,"&gt;0")+1,"")</f>
      </c>
      <c r="AG176">
        <f>IF($O176="Sí",COUNTIF($AG$1:AG175,"&gt;0")+1,"")</f>
      </c>
      <c r="AH176">
        <f>IF(AND($Q176="Disponible",$O176&lt;&gt;"Sí"),COUNTIF($AH$1:AH175,"&gt;0")+1,"")</f>
      </c>
      <c r="AI176">
        <f>IF(AND($Q176="Disponible",$K176&lt;&gt;""),COUNTIFS($K$2:K176,K176,$Q$2:Q176,"Disponible"),"")</f>
      </c>
      <c r="AJ176">
        <f>IF(AI176&lt;&gt;"",K176&amp;"|"&amp;AI176,"")</f>
      </c>
      <c r="AK176">
        <f>IF(AND($Q176="No disponible",OR($R176="Lista de espera · propio centro",$R176="Traslado de expediente",$R176="Lista de espera · otro centro"),$O176="Sí"),"la plaza ya tiene alumno y sigue marcada como refuerzo, ","")&amp;IF(AND($R176="Reconvertida en refuerzo",$O176&lt;&gt;"Sí"),"reconvertida en refuerzo pero sin marcar «En uso como refuerzo», ","")</f>
      </c>
    </row>
    <row r="177" spans="1:37">
      <c r="A177" s="20">
        <f>IF(D177&lt;&gt;"",ROW()-1,"")</f>
      </c>
      <c r="B177" s="55"/>
      <c r="C177" s="56"/>
      <c r="D177" s="56"/>
      <c r="E177" s="56"/>
      <c r="F177" s="56"/>
      <c r="G177" s="56"/>
      <c r="H177" s="56"/>
      <c r="I177" s="56"/>
      <c r="J177" s="57"/>
      <c r="K177" s="56"/>
      <c r="L177" s="58"/>
      <c r="M177" s="58">
        <f>IF(L177="","",L177)</f>
      </c>
      <c r="N177" s="56"/>
      <c r="O177" s="56"/>
      <c r="P177" s="57"/>
      <c r="Q177" s="56"/>
      <c r="R177" s="56"/>
      <c r="S177" s="56"/>
      <c r="T177" s="56"/>
      <c r="U177" s="56"/>
      <c r="V177" s="57"/>
      <c r="W177">
        <f>IF(Q177="Disponible",COUNTIFS($D$2:D177,D177,$Q$2:Q177,"Disponible"),"")</f>
      </c>
      <c r="X177">
        <f>IF(W177&lt;&gt;"",D177&amp;"|"&amp;W177,"")</f>
      </c>
      <c r="Y177">
        <f>IF(X177&lt;&gt;"",IF(K177&lt;&gt;"",K177&amp;" ("&amp;M177&amp;")",M177),"")</f>
      </c>
      <c r="Z177">
        <f>IF(O177="Sí",COUNTIFS($D$2:D177,D177,$O$2:O177,"Sí"),"")</f>
      </c>
      <c r="AA177">
        <f>IF(Z177&lt;&gt;"",D177&amp;"|"&amp;Z177,"")</f>
      </c>
      <c r="AB177">
        <f>IF(AA177&lt;&gt;"",IF(K177&lt;&gt;"",K177&amp;" ("&amp;M177&amp;")",M177),"")</f>
      </c>
      <c r="AC177">
        <f>IF($B177="","fecha, ","")&amp;IF($C177="","quién lo introduce, ","")&amp;IF($I177="","motivo, ","")&amp;IF($K177="","docente, ","")&amp;IF($L177="","horario, ","")&amp;IF($N177="","duración, ","")&amp;IF($Q177="","estado, ","")&amp;IF(AND($I177="Otros",$J177=""),"detalle del motivo, ","")&amp;IF(AND($O177="Sí",$P177=""),"detalle del refuerzo, ","")&amp;IF(AND(OR($I177="Renuncia (hasta 30 nov)",$I177="Baja (desde 1 dic)",$I177="Renuncia excepcional (art. 25.3)",$I177="Traslado de expediente"),OR($E177="",$F177="",$G177="")),"quién deja la plaza, ","")&amp;IF(AND($Q177="No disponible",$R177=""),"vía de cobertura, ","")&amp;IF(AND(OR($R177="Lista de espera · propio centro",$R177="Traslado de expediente",$R177="Lista de espera · otro centro"),OR($S177="",$T177="",$U177="")),"quién ocupa la plaza, ","")</f>
      </c>
      <c r="AD177" s="24">
        <f>IF($D177="","",IF(AND(LEN($AC177)=0,LEN($AK177)=0),"Completa",IF(LEN($AC177)=0,"Revisar: "&amp;LEFT($AK177,LEN($AK177)-2),"Falta: "&amp;LEFT($AC177,LEN($AC177)-2)&amp;IF(LEN($AK177)&gt;0,"  ·  Revisar: "&amp;LEFT($AK177,LEN($AK177)-2),""))))</f>
      </c>
      <c r="AE177">
        <f>IF(AND($D177&lt;&gt;"",OR($I177="Renuncia (hasta 30 nov)",$I177="Baja (desde 1 dic)",$I177="Renuncia excepcional (art. 25.3)",$I177="Traslado de expediente")),COUNTIF($AE$1:AE176,"&gt;0")+1,"")</f>
      </c>
      <c r="AF177">
        <f>IF($Q177="Disponible",COUNTIF($AF$1:AF176,"&gt;0")+1,"")</f>
      </c>
      <c r="AG177">
        <f>IF($O177="Sí",COUNTIF($AG$1:AG176,"&gt;0")+1,"")</f>
      </c>
      <c r="AH177">
        <f>IF(AND($Q177="Disponible",$O177&lt;&gt;"Sí"),COUNTIF($AH$1:AH176,"&gt;0")+1,"")</f>
      </c>
      <c r="AI177">
        <f>IF(AND($Q177="Disponible",$K177&lt;&gt;""),COUNTIFS($K$2:K177,K177,$Q$2:Q177,"Disponible"),"")</f>
      </c>
      <c r="AJ177">
        <f>IF(AI177&lt;&gt;"",K177&amp;"|"&amp;AI177,"")</f>
      </c>
      <c r="AK177">
        <f>IF(AND($Q177="No disponible",OR($R177="Lista de espera · propio centro",$R177="Traslado de expediente",$R177="Lista de espera · otro centro"),$O177="Sí"),"la plaza ya tiene alumno y sigue marcada como refuerzo, ","")&amp;IF(AND($R177="Reconvertida en refuerzo",$O177&lt;&gt;"Sí"),"reconvertida en refuerzo pero sin marcar «En uso como refuerzo», ","")</f>
      </c>
    </row>
    <row r="178" spans="1:37">
      <c r="A178" s="20">
        <f>IF(D178&lt;&gt;"",ROW()-1,"")</f>
      </c>
      <c r="B178" s="55"/>
      <c r="C178" s="56"/>
      <c r="D178" s="56"/>
      <c r="E178" s="56"/>
      <c r="F178" s="56"/>
      <c r="G178" s="56"/>
      <c r="H178" s="56"/>
      <c r="I178" s="56"/>
      <c r="J178" s="57"/>
      <c r="K178" s="56"/>
      <c r="L178" s="58"/>
      <c r="M178" s="58">
        <f>IF(L178="","",L178)</f>
      </c>
      <c r="N178" s="56"/>
      <c r="O178" s="56"/>
      <c r="P178" s="57"/>
      <c r="Q178" s="56"/>
      <c r="R178" s="56"/>
      <c r="S178" s="56"/>
      <c r="T178" s="56"/>
      <c r="U178" s="56"/>
      <c r="V178" s="57"/>
      <c r="W178">
        <f>IF(Q178="Disponible",COUNTIFS($D$2:D178,D178,$Q$2:Q178,"Disponible"),"")</f>
      </c>
      <c r="X178">
        <f>IF(W178&lt;&gt;"",D178&amp;"|"&amp;W178,"")</f>
      </c>
      <c r="Y178">
        <f>IF(X178&lt;&gt;"",IF(K178&lt;&gt;"",K178&amp;" ("&amp;M178&amp;")",M178),"")</f>
      </c>
      <c r="Z178">
        <f>IF(O178="Sí",COUNTIFS($D$2:D178,D178,$O$2:O178,"Sí"),"")</f>
      </c>
      <c r="AA178">
        <f>IF(Z178&lt;&gt;"",D178&amp;"|"&amp;Z178,"")</f>
      </c>
      <c r="AB178">
        <f>IF(AA178&lt;&gt;"",IF(K178&lt;&gt;"",K178&amp;" ("&amp;M178&amp;")",M178),"")</f>
      </c>
      <c r="AC178">
        <f>IF($B178="","fecha, ","")&amp;IF($C178="","quién lo introduce, ","")&amp;IF($I178="","motivo, ","")&amp;IF($K178="","docente, ","")&amp;IF($L178="","horario, ","")&amp;IF($N178="","duración, ","")&amp;IF($Q178="","estado, ","")&amp;IF(AND($I178="Otros",$J178=""),"detalle del motivo, ","")&amp;IF(AND($O178="Sí",$P178=""),"detalle del refuerzo, ","")&amp;IF(AND(OR($I178="Renuncia (hasta 30 nov)",$I178="Baja (desde 1 dic)",$I178="Renuncia excepcional (art. 25.3)",$I178="Traslado de expediente"),OR($E178="",$F178="",$G178="")),"quién deja la plaza, ","")&amp;IF(AND($Q178="No disponible",$R178=""),"vía de cobertura, ","")&amp;IF(AND(OR($R178="Lista de espera · propio centro",$R178="Traslado de expediente",$R178="Lista de espera · otro centro"),OR($S178="",$T178="",$U178="")),"quién ocupa la plaza, ","")</f>
      </c>
      <c r="AD178" s="24">
        <f>IF($D178="","",IF(AND(LEN($AC178)=0,LEN($AK178)=0),"Completa",IF(LEN($AC178)=0,"Revisar: "&amp;LEFT($AK178,LEN($AK178)-2),"Falta: "&amp;LEFT($AC178,LEN($AC178)-2)&amp;IF(LEN($AK178)&gt;0,"  ·  Revisar: "&amp;LEFT($AK178,LEN($AK178)-2),""))))</f>
      </c>
      <c r="AE178">
        <f>IF(AND($D178&lt;&gt;"",OR($I178="Renuncia (hasta 30 nov)",$I178="Baja (desde 1 dic)",$I178="Renuncia excepcional (art. 25.3)",$I178="Traslado de expediente")),COUNTIF($AE$1:AE177,"&gt;0")+1,"")</f>
      </c>
      <c r="AF178">
        <f>IF($Q178="Disponible",COUNTIF($AF$1:AF177,"&gt;0")+1,"")</f>
      </c>
      <c r="AG178">
        <f>IF($O178="Sí",COUNTIF($AG$1:AG177,"&gt;0")+1,"")</f>
      </c>
      <c r="AH178">
        <f>IF(AND($Q178="Disponible",$O178&lt;&gt;"Sí"),COUNTIF($AH$1:AH177,"&gt;0")+1,"")</f>
      </c>
      <c r="AI178">
        <f>IF(AND($Q178="Disponible",$K178&lt;&gt;""),COUNTIFS($K$2:K178,K178,$Q$2:Q178,"Disponible"),"")</f>
      </c>
      <c r="AJ178">
        <f>IF(AI178&lt;&gt;"",K178&amp;"|"&amp;AI178,"")</f>
      </c>
      <c r="AK178">
        <f>IF(AND($Q178="No disponible",OR($R178="Lista de espera · propio centro",$R178="Traslado de expediente",$R178="Lista de espera · otro centro"),$O178="Sí"),"la plaza ya tiene alumno y sigue marcada como refuerzo, ","")&amp;IF(AND($R178="Reconvertida en refuerzo",$O178&lt;&gt;"Sí"),"reconvertida en refuerzo pero sin marcar «En uso como refuerzo», ","")</f>
      </c>
    </row>
    <row r="179" spans="1:37">
      <c r="A179" s="20">
        <f>IF(D179&lt;&gt;"",ROW()-1,"")</f>
      </c>
      <c r="B179" s="55"/>
      <c r="C179" s="56"/>
      <c r="D179" s="56"/>
      <c r="E179" s="56"/>
      <c r="F179" s="56"/>
      <c r="G179" s="56"/>
      <c r="H179" s="56"/>
      <c r="I179" s="56"/>
      <c r="J179" s="57"/>
      <c r="K179" s="56"/>
      <c r="L179" s="58"/>
      <c r="M179" s="58">
        <f>IF(L179="","",L179)</f>
      </c>
      <c r="N179" s="56"/>
      <c r="O179" s="56"/>
      <c r="P179" s="57"/>
      <c r="Q179" s="56"/>
      <c r="R179" s="56"/>
      <c r="S179" s="56"/>
      <c r="T179" s="56"/>
      <c r="U179" s="56"/>
      <c r="V179" s="57"/>
      <c r="W179">
        <f>IF(Q179="Disponible",COUNTIFS($D$2:D179,D179,$Q$2:Q179,"Disponible"),"")</f>
      </c>
      <c r="X179">
        <f>IF(W179&lt;&gt;"",D179&amp;"|"&amp;W179,"")</f>
      </c>
      <c r="Y179">
        <f>IF(X179&lt;&gt;"",IF(K179&lt;&gt;"",K179&amp;" ("&amp;M179&amp;")",M179),"")</f>
      </c>
      <c r="Z179">
        <f>IF(O179="Sí",COUNTIFS($D$2:D179,D179,$O$2:O179,"Sí"),"")</f>
      </c>
      <c r="AA179">
        <f>IF(Z179&lt;&gt;"",D179&amp;"|"&amp;Z179,"")</f>
      </c>
      <c r="AB179">
        <f>IF(AA179&lt;&gt;"",IF(K179&lt;&gt;"",K179&amp;" ("&amp;M179&amp;")",M179),"")</f>
      </c>
      <c r="AC179">
        <f>IF($B179="","fecha, ","")&amp;IF($C179="","quién lo introduce, ","")&amp;IF($I179="","motivo, ","")&amp;IF($K179="","docente, ","")&amp;IF($L179="","horario, ","")&amp;IF($N179="","duración, ","")&amp;IF($Q179="","estado, ","")&amp;IF(AND($I179="Otros",$J179=""),"detalle del motivo, ","")&amp;IF(AND($O179="Sí",$P179=""),"detalle del refuerzo, ","")&amp;IF(AND(OR($I179="Renuncia (hasta 30 nov)",$I179="Baja (desde 1 dic)",$I179="Renuncia excepcional (art. 25.3)",$I179="Traslado de expediente"),OR($E179="",$F179="",$G179="")),"quién deja la plaza, ","")&amp;IF(AND($Q179="No disponible",$R179=""),"vía de cobertura, ","")&amp;IF(AND(OR($R179="Lista de espera · propio centro",$R179="Traslado de expediente",$R179="Lista de espera · otro centro"),OR($S179="",$T179="",$U179="")),"quién ocupa la plaza, ","")</f>
      </c>
      <c r="AD179" s="24">
        <f>IF($D179="","",IF(AND(LEN($AC179)=0,LEN($AK179)=0),"Completa",IF(LEN($AC179)=0,"Revisar: "&amp;LEFT($AK179,LEN($AK179)-2),"Falta: "&amp;LEFT($AC179,LEN($AC179)-2)&amp;IF(LEN($AK179)&gt;0,"  ·  Revisar: "&amp;LEFT($AK179,LEN($AK179)-2),""))))</f>
      </c>
      <c r="AE179">
        <f>IF(AND($D179&lt;&gt;"",OR($I179="Renuncia (hasta 30 nov)",$I179="Baja (desde 1 dic)",$I179="Renuncia excepcional (art. 25.3)",$I179="Traslado de expediente")),COUNTIF($AE$1:AE178,"&gt;0")+1,"")</f>
      </c>
      <c r="AF179">
        <f>IF($Q179="Disponible",COUNTIF($AF$1:AF178,"&gt;0")+1,"")</f>
      </c>
      <c r="AG179">
        <f>IF($O179="Sí",COUNTIF($AG$1:AG178,"&gt;0")+1,"")</f>
      </c>
      <c r="AH179">
        <f>IF(AND($Q179="Disponible",$O179&lt;&gt;"Sí"),COUNTIF($AH$1:AH178,"&gt;0")+1,"")</f>
      </c>
      <c r="AI179">
        <f>IF(AND($Q179="Disponible",$K179&lt;&gt;""),COUNTIFS($K$2:K179,K179,$Q$2:Q179,"Disponible"),"")</f>
      </c>
      <c r="AJ179">
        <f>IF(AI179&lt;&gt;"",K179&amp;"|"&amp;AI179,"")</f>
      </c>
      <c r="AK179">
        <f>IF(AND($Q179="No disponible",OR($R179="Lista de espera · propio centro",$R179="Traslado de expediente",$R179="Lista de espera · otro centro"),$O179="Sí"),"la plaza ya tiene alumno y sigue marcada como refuerzo, ","")&amp;IF(AND($R179="Reconvertida en refuerzo",$O179&lt;&gt;"Sí"),"reconvertida en refuerzo pero sin marcar «En uso como refuerzo», ","")</f>
      </c>
    </row>
    <row r="180" spans="1:37">
      <c r="A180" s="20">
        <f>IF(D180&lt;&gt;"",ROW()-1,"")</f>
      </c>
      <c r="B180" s="55"/>
      <c r="C180" s="56"/>
      <c r="D180" s="56"/>
      <c r="E180" s="56"/>
      <c r="F180" s="56"/>
      <c r="G180" s="56"/>
      <c r="H180" s="56"/>
      <c r="I180" s="56"/>
      <c r="J180" s="57"/>
      <c r="K180" s="56"/>
      <c r="L180" s="58"/>
      <c r="M180" s="58">
        <f>IF(L180="","",L180)</f>
      </c>
      <c r="N180" s="56"/>
      <c r="O180" s="56"/>
      <c r="P180" s="57"/>
      <c r="Q180" s="56"/>
      <c r="R180" s="56"/>
      <c r="S180" s="56"/>
      <c r="T180" s="56"/>
      <c r="U180" s="56"/>
      <c r="V180" s="57"/>
      <c r="W180">
        <f>IF(Q180="Disponible",COUNTIFS($D$2:D180,D180,$Q$2:Q180,"Disponible"),"")</f>
      </c>
      <c r="X180">
        <f>IF(W180&lt;&gt;"",D180&amp;"|"&amp;W180,"")</f>
      </c>
      <c r="Y180">
        <f>IF(X180&lt;&gt;"",IF(K180&lt;&gt;"",K180&amp;" ("&amp;M180&amp;")",M180),"")</f>
      </c>
      <c r="Z180">
        <f>IF(O180="Sí",COUNTIFS($D$2:D180,D180,$O$2:O180,"Sí"),"")</f>
      </c>
      <c r="AA180">
        <f>IF(Z180&lt;&gt;"",D180&amp;"|"&amp;Z180,"")</f>
      </c>
      <c r="AB180">
        <f>IF(AA180&lt;&gt;"",IF(K180&lt;&gt;"",K180&amp;" ("&amp;M180&amp;")",M180),"")</f>
      </c>
      <c r="AC180">
        <f>IF($B180="","fecha, ","")&amp;IF($C180="","quién lo introduce, ","")&amp;IF($I180="","motivo, ","")&amp;IF($K180="","docente, ","")&amp;IF($L180="","horario, ","")&amp;IF($N180="","duración, ","")&amp;IF($Q180="","estado, ","")&amp;IF(AND($I180="Otros",$J180=""),"detalle del motivo, ","")&amp;IF(AND($O180="Sí",$P180=""),"detalle del refuerzo, ","")&amp;IF(AND(OR($I180="Renuncia (hasta 30 nov)",$I180="Baja (desde 1 dic)",$I180="Renuncia excepcional (art. 25.3)",$I180="Traslado de expediente"),OR($E180="",$F180="",$G180="")),"quién deja la plaza, ","")&amp;IF(AND($Q180="No disponible",$R180=""),"vía de cobertura, ","")&amp;IF(AND(OR($R180="Lista de espera · propio centro",$R180="Traslado de expediente",$R180="Lista de espera · otro centro"),OR($S180="",$T180="",$U180="")),"quién ocupa la plaza, ","")</f>
      </c>
      <c r="AD180" s="24">
        <f>IF($D180="","",IF(AND(LEN($AC180)=0,LEN($AK180)=0),"Completa",IF(LEN($AC180)=0,"Revisar: "&amp;LEFT($AK180,LEN($AK180)-2),"Falta: "&amp;LEFT($AC180,LEN($AC180)-2)&amp;IF(LEN($AK180)&gt;0,"  ·  Revisar: "&amp;LEFT($AK180,LEN($AK180)-2),""))))</f>
      </c>
      <c r="AE180">
        <f>IF(AND($D180&lt;&gt;"",OR($I180="Renuncia (hasta 30 nov)",$I180="Baja (desde 1 dic)",$I180="Renuncia excepcional (art. 25.3)",$I180="Traslado de expediente")),COUNTIF($AE$1:AE179,"&gt;0")+1,"")</f>
      </c>
      <c r="AF180">
        <f>IF($Q180="Disponible",COUNTIF($AF$1:AF179,"&gt;0")+1,"")</f>
      </c>
      <c r="AG180">
        <f>IF($O180="Sí",COUNTIF($AG$1:AG179,"&gt;0")+1,"")</f>
      </c>
      <c r="AH180">
        <f>IF(AND($Q180="Disponible",$O180&lt;&gt;"Sí"),COUNTIF($AH$1:AH179,"&gt;0")+1,"")</f>
      </c>
      <c r="AI180">
        <f>IF(AND($Q180="Disponible",$K180&lt;&gt;""),COUNTIFS($K$2:K180,K180,$Q$2:Q180,"Disponible"),"")</f>
      </c>
      <c r="AJ180">
        <f>IF(AI180&lt;&gt;"",K180&amp;"|"&amp;AI180,"")</f>
      </c>
      <c r="AK180">
        <f>IF(AND($Q180="No disponible",OR($R180="Lista de espera · propio centro",$R180="Traslado de expediente",$R180="Lista de espera · otro centro"),$O180="Sí"),"la plaza ya tiene alumno y sigue marcada como refuerzo, ","")&amp;IF(AND($R180="Reconvertida en refuerzo",$O180&lt;&gt;"Sí"),"reconvertida en refuerzo pero sin marcar «En uso como refuerzo», ","")</f>
      </c>
    </row>
    <row r="181" spans="1:37">
      <c r="A181" s="20">
        <f>IF(D181&lt;&gt;"",ROW()-1,"")</f>
      </c>
      <c r="B181" s="55"/>
      <c r="C181" s="56"/>
      <c r="D181" s="56"/>
      <c r="E181" s="56"/>
      <c r="F181" s="56"/>
      <c r="G181" s="56"/>
      <c r="H181" s="56"/>
      <c r="I181" s="56"/>
      <c r="J181" s="57"/>
      <c r="K181" s="56"/>
      <c r="L181" s="58"/>
      <c r="M181" s="58">
        <f>IF(L181="","",L181)</f>
      </c>
      <c r="N181" s="56"/>
      <c r="O181" s="56"/>
      <c r="P181" s="57"/>
      <c r="Q181" s="56"/>
      <c r="R181" s="56"/>
      <c r="S181" s="56"/>
      <c r="T181" s="56"/>
      <c r="U181" s="56"/>
      <c r="V181" s="57"/>
      <c r="W181">
        <f>IF(Q181="Disponible",COUNTIFS($D$2:D181,D181,$Q$2:Q181,"Disponible"),"")</f>
      </c>
      <c r="X181">
        <f>IF(W181&lt;&gt;"",D181&amp;"|"&amp;W181,"")</f>
      </c>
      <c r="Y181">
        <f>IF(X181&lt;&gt;"",IF(K181&lt;&gt;"",K181&amp;" ("&amp;M181&amp;")",M181),"")</f>
      </c>
      <c r="Z181">
        <f>IF(O181="Sí",COUNTIFS($D$2:D181,D181,$O$2:O181,"Sí"),"")</f>
      </c>
      <c r="AA181">
        <f>IF(Z181&lt;&gt;"",D181&amp;"|"&amp;Z181,"")</f>
      </c>
      <c r="AB181">
        <f>IF(AA181&lt;&gt;"",IF(K181&lt;&gt;"",K181&amp;" ("&amp;M181&amp;")",M181),"")</f>
      </c>
      <c r="AC181">
        <f>IF($B181="","fecha, ","")&amp;IF($C181="","quién lo introduce, ","")&amp;IF($I181="","motivo, ","")&amp;IF($K181="","docente, ","")&amp;IF($L181="","horario, ","")&amp;IF($N181="","duración, ","")&amp;IF($Q181="","estado, ","")&amp;IF(AND($I181="Otros",$J181=""),"detalle del motivo, ","")&amp;IF(AND($O181="Sí",$P181=""),"detalle del refuerzo, ","")&amp;IF(AND(OR($I181="Renuncia (hasta 30 nov)",$I181="Baja (desde 1 dic)",$I181="Renuncia excepcional (art. 25.3)",$I181="Traslado de expediente"),OR($E181="",$F181="",$G181="")),"quién deja la plaza, ","")&amp;IF(AND($Q181="No disponible",$R181=""),"vía de cobertura, ","")&amp;IF(AND(OR($R181="Lista de espera · propio centro",$R181="Traslado de expediente",$R181="Lista de espera · otro centro"),OR($S181="",$T181="",$U181="")),"quién ocupa la plaza, ","")</f>
      </c>
      <c r="AD181" s="24">
        <f>IF($D181="","",IF(AND(LEN($AC181)=0,LEN($AK181)=0),"Completa",IF(LEN($AC181)=0,"Revisar: "&amp;LEFT($AK181,LEN($AK181)-2),"Falta: "&amp;LEFT($AC181,LEN($AC181)-2)&amp;IF(LEN($AK181)&gt;0,"  ·  Revisar: "&amp;LEFT($AK181,LEN($AK181)-2),""))))</f>
      </c>
      <c r="AE181">
        <f>IF(AND($D181&lt;&gt;"",OR($I181="Renuncia (hasta 30 nov)",$I181="Baja (desde 1 dic)",$I181="Renuncia excepcional (art. 25.3)",$I181="Traslado de expediente")),COUNTIF($AE$1:AE180,"&gt;0")+1,"")</f>
      </c>
      <c r="AF181">
        <f>IF($Q181="Disponible",COUNTIF($AF$1:AF180,"&gt;0")+1,"")</f>
      </c>
      <c r="AG181">
        <f>IF($O181="Sí",COUNTIF($AG$1:AG180,"&gt;0")+1,"")</f>
      </c>
      <c r="AH181">
        <f>IF(AND($Q181="Disponible",$O181&lt;&gt;"Sí"),COUNTIF($AH$1:AH180,"&gt;0")+1,"")</f>
      </c>
      <c r="AI181">
        <f>IF(AND($Q181="Disponible",$K181&lt;&gt;""),COUNTIFS($K$2:K181,K181,$Q$2:Q181,"Disponible"),"")</f>
      </c>
      <c r="AJ181">
        <f>IF(AI181&lt;&gt;"",K181&amp;"|"&amp;AI181,"")</f>
      </c>
      <c r="AK181">
        <f>IF(AND($Q181="No disponible",OR($R181="Lista de espera · propio centro",$R181="Traslado de expediente",$R181="Lista de espera · otro centro"),$O181="Sí"),"la plaza ya tiene alumno y sigue marcada como refuerzo, ","")&amp;IF(AND($R181="Reconvertida en refuerzo",$O181&lt;&gt;"Sí"),"reconvertida en refuerzo pero sin marcar «En uso como refuerzo», ","")</f>
      </c>
    </row>
    <row r="182" spans="1:37">
      <c r="A182" s="20">
        <f>IF(D182&lt;&gt;"",ROW()-1,"")</f>
      </c>
      <c r="B182" s="55"/>
      <c r="C182" s="56"/>
      <c r="D182" s="56"/>
      <c r="E182" s="56"/>
      <c r="F182" s="56"/>
      <c r="G182" s="56"/>
      <c r="H182" s="56"/>
      <c r="I182" s="56"/>
      <c r="J182" s="57"/>
      <c r="K182" s="56"/>
      <c r="L182" s="58"/>
      <c r="M182" s="58">
        <f>IF(L182="","",L182)</f>
      </c>
      <c r="N182" s="56"/>
      <c r="O182" s="56"/>
      <c r="P182" s="57"/>
      <c r="Q182" s="56"/>
      <c r="R182" s="56"/>
      <c r="S182" s="56"/>
      <c r="T182" s="56"/>
      <c r="U182" s="56"/>
      <c r="V182" s="57"/>
      <c r="W182">
        <f>IF(Q182="Disponible",COUNTIFS($D$2:D182,D182,$Q$2:Q182,"Disponible"),"")</f>
      </c>
      <c r="X182">
        <f>IF(W182&lt;&gt;"",D182&amp;"|"&amp;W182,"")</f>
      </c>
      <c r="Y182">
        <f>IF(X182&lt;&gt;"",IF(K182&lt;&gt;"",K182&amp;" ("&amp;M182&amp;")",M182),"")</f>
      </c>
      <c r="Z182">
        <f>IF(O182="Sí",COUNTIFS($D$2:D182,D182,$O$2:O182,"Sí"),"")</f>
      </c>
      <c r="AA182">
        <f>IF(Z182&lt;&gt;"",D182&amp;"|"&amp;Z182,"")</f>
      </c>
      <c r="AB182">
        <f>IF(AA182&lt;&gt;"",IF(K182&lt;&gt;"",K182&amp;" ("&amp;M182&amp;")",M182),"")</f>
      </c>
      <c r="AC182">
        <f>IF($B182="","fecha, ","")&amp;IF($C182="","quién lo introduce, ","")&amp;IF($I182="","motivo, ","")&amp;IF($K182="","docente, ","")&amp;IF($L182="","horario, ","")&amp;IF($N182="","duración, ","")&amp;IF($Q182="","estado, ","")&amp;IF(AND($I182="Otros",$J182=""),"detalle del motivo, ","")&amp;IF(AND($O182="Sí",$P182=""),"detalle del refuerzo, ","")&amp;IF(AND(OR($I182="Renuncia (hasta 30 nov)",$I182="Baja (desde 1 dic)",$I182="Renuncia excepcional (art. 25.3)",$I182="Traslado de expediente"),OR($E182="",$F182="",$G182="")),"quién deja la plaza, ","")&amp;IF(AND($Q182="No disponible",$R182=""),"vía de cobertura, ","")&amp;IF(AND(OR($R182="Lista de espera · propio centro",$R182="Traslado de expediente",$R182="Lista de espera · otro centro"),OR($S182="",$T182="",$U182="")),"quién ocupa la plaza, ","")</f>
      </c>
      <c r="AD182" s="24">
        <f>IF($D182="","",IF(AND(LEN($AC182)=0,LEN($AK182)=0),"Completa",IF(LEN($AC182)=0,"Revisar: "&amp;LEFT($AK182,LEN($AK182)-2),"Falta: "&amp;LEFT($AC182,LEN($AC182)-2)&amp;IF(LEN($AK182)&gt;0,"  ·  Revisar: "&amp;LEFT($AK182,LEN($AK182)-2),""))))</f>
      </c>
      <c r="AE182">
        <f>IF(AND($D182&lt;&gt;"",OR($I182="Renuncia (hasta 30 nov)",$I182="Baja (desde 1 dic)",$I182="Renuncia excepcional (art. 25.3)",$I182="Traslado de expediente")),COUNTIF($AE$1:AE181,"&gt;0")+1,"")</f>
      </c>
      <c r="AF182">
        <f>IF($Q182="Disponible",COUNTIF($AF$1:AF181,"&gt;0")+1,"")</f>
      </c>
      <c r="AG182">
        <f>IF($O182="Sí",COUNTIF($AG$1:AG181,"&gt;0")+1,"")</f>
      </c>
      <c r="AH182">
        <f>IF(AND($Q182="Disponible",$O182&lt;&gt;"Sí"),COUNTIF($AH$1:AH181,"&gt;0")+1,"")</f>
      </c>
      <c r="AI182">
        <f>IF(AND($Q182="Disponible",$K182&lt;&gt;""),COUNTIFS($K$2:K182,K182,$Q$2:Q182,"Disponible"),"")</f>
      </c>
      <c r="AJ182">
        <f>IF(AI182&lt;&gt;"",K182&amp;"|"&amp;AI182,"")</f>
      </c>
      <c r="AK182">
        <f>IF(AND($Q182="No disponible",OR($R182="Lista de espera · propio centro",$R182="Traslado de expediente",$R182="Lista de espera · otro centro"),$O182="Sí"),"la plaza ya tiene alumno y sigue marcada como refuerzo, ","")&amp;IF(AND($R182="Reconvertida en refuerzo",$O182&lt;&gt;"Sí"),"reconvertida en refuerzo pero sin marcar «En uso como refuerzo», ","")</f>
      </c>
    </row>
    <row r="183" spans="1:37">
      <c r="A183" s="20">
        <f>IF(D183&lt;&gt;"",ROW()-1,"")</f>
      </c>
      <c r="B183" s="55"/>
      <c r="C183" s="56"/>
      <c r="D183" s="56"/>
      <c r="E183" s="56"/>
      <c r="F183" s="56"/>
      <c r="G183" s="56"/>
      <c r="H183" s="56"/>
      <c r="I183" s="56"/>
      <c r="J183" s="57"/>
      <c r="K183" s="56"/>
      <c r="L183" s="58"/>
      <c r="M183" s="58">
        <f>IF(L183="","",L183)</f>
      </c>
      <c r="N183" s="56"/>
      <c r="O183" s="56"/>
      <c r="P183" s="57"/>
      <c r="Q183" s="56"/>
      <c r="R183" s="56"/>
      <c r="S183" s="56"/>
      <c r="T183" s="56"/>
      <c r="U183" s="56"/>
      <c r="V183" s="57"/>
      <c r="W183">
        <f>IF(Q183="Disponible",COUNTIFS($D$2:D183,D183,$Q$2:Q183,"Disponible"),"")</f>
      </c>
      <c r="X183">
        <f>IF(W183&lt;&gt;"",D183&amp;"|"&amp;W183,"")</f>
      </c>
      <c r="Y183">
        <f>IF(X183&lt;&gt;"",IF(K183&lt;&gt;"",K183&amp;" ("&amp;M183&amp;")",M183),"")</f>
      </c>
      <c r="Z183">
        <f>IF(O183="Sí",COUNTIFS($D$2:D183,D183,$O$2:O183,"Sí"),"")</f>
      </c>
      <c r="AA183">
        <f>IF(Z183&lt;&gt;"",D183&amp;"|"&amp;Z183,"")</f>
      </c>
      <c r="AB183">
        <f>IF(AA183&lt;&gt;"",IF(K183&lt;&gt;"",K183&amp;" ("&amp;M183&amp;")",M183),"")</f>
      </c>
      <c r="AC183">
        <f>IF($B183="","fecha, ","")&amp;IF($C183="","quién lo introduce, ","")&amp;IF($I183="","motivo, ","")&amp;IF($K183="","docente, ","")&amp;IF($L183="","horario, ","")&amp;IF($N183="","duración, ","")&amp;IF($Q183="","estado, ","")&amp;IF(AND($I183="Otros",$J183=""),"detalle del motivo, ","")&amp;IF(AND($O183="Sí",$P183=""),"detalle del refuerzo, ","")&amp;IF(AND(OR($I183="Renuncia (hasta 30 nov)",$I183="Baja (desde 1 dic)",$I183="Renuncia excepcional (art. 25.3)",$I183="Traslado de expediente"),OR($E183="",$F183="",$G183="")),"quién deja la plaza, ","")&amp;IF(AND($Q183="No disponible",$R183=""),"vía de cobertura, ","")&amp;IF(AND(OR($R183="Lista de espera · propio centro",$R183="Traslado de expediente",$R183="Lista de espera · otro centro"),OR($S183="",$T183="",$U183="")),"quién ocupa la plaza, ","")</f>
      </c>
      <c r="AD183" s="24">
        <f>IF($D183="","",IF(AND(LEN($AC183)=0,LEN($AK183)=0),"Completa",IF(LEN($AC183)=0,"Revisar: "&amp;LEFT($AK183,LEN($AK183)-2),"Falta: "&amp;LEFT($AC183,LEN($AC183)-2)&amp;IF(LEN($AK183)&gt;0,"  ·  Revisar: "&amp;LEFT($AK183,LEN($AK183)-2),""))))</f>
      </c>
      <c r="AE183">
        <f>IF(AND($D183&lt;&gt;"",OR($I183="Renuncia (hasta 30 nov)",$I183="Baja (desde 1 dic)",$I183="Renuncia excepcional (art. 25.3)",$I183="Traslado de expediente")),COUNTIF($AE$1:AE182,"&gt;0")+1,"")</f>
      </c>
      <c r="AF183">
        <f>IF($Q183="Disponible",COUNTIF($AF$1:AF182,"&gt;0")+1,"")</f>
      </c>
      <c r="AG183">
        <f>IF($O183="Sí",COUNTIF($AG$1:AG182,"&gt;0")+1,"")</f>
      </c>
      <c r="AH183">
        <f>IF(AND($Q183="Disponible",$O183&lt;&gt;"Sí"),COUNTIF($AH$1:AH182,"&gt;0")+1,"")</f>
      </c>
      <c r="AI183">
        <f>IF(AND($Q183="Disponible",$K183&lt;&gt;""),COUNTIFS($K$2:K183,K183,$Q$2:Q183,"Disponible"),"")</f>
      </c>
      <c r="AJ183">
        <f>IF(AI183&lt;&gt;"",K183&amp;"|"&amp;AI183,"")</f>
      </c>
      <c r="AK183">
        <f>IF(AND($Q183="No disponible",OR($R183="Lista de espera · propio centro",$R183="Traslado de expediente",$R183="Lista de espera · otro centro"),$O183="Sí"),"la plaza ya tiene alumno y sigue marcada como refuerzo, ","")&amp;IF(AND($R183="Reconvertida en refuerzo",$O183&lt;&gt;"Sí"),"reconvertida en refuerzo pero sin marcar «En uso como refuerzo», ","")</f>
      </c>
    </row>
    <row r="184" spans="1:37">
      <c r="A184" s="20">
        <f>IF(D184&lt;&gt;"",ROW()-1,"")</f>
      </c>
      <c r="B184" s="55"/>
      <c r="C184" s="56"/>
      <c r="D184" s="56"/>
      <c r="E184" s="56"/>
      <c r="F184" s="56"/>
      <c r="G184" s="56"/>
      <c r="H184" s="56"/>
      <c r="I184" s="56"/>
      <c r="J184" s="57"/>
      <c r="K184" s="56"/>
      <c r="L184" s="58"/>
      <c r="M184" s="58">
        <f>IF(L184="","",L184)</f>
      </c>
      <c r="N184" s="56"/>
      <c r="O184" s="56"/>
      <c r="P184" s="57"/>
      <c r="Q184" s="56"/>
      <c r="R184" s="56"/>
      <c r="S184" s="56"/>
      <c r="T184" s="56"/>
      <c r="U184" s="56"/>
      <c r="V184" s="57"/>
      <c r="W184">
        <f>IF(Q184="Disponible",COUNTIFS($D$2:D184,D184,$Q$2:Q184,"Disponible"),"")</f>
      </c>
      <c r="X184">
        <f>IF(W184&lt;&gt;"",D184&amp;"|"&amp;W184,"")</f>
      </c>
      <c r="Y184">
        <f>IF(X184&lt;&gt;"",IF(K184&lt;&gt;"",K184&amp;" ("&amp;M184&amp;")",M184),"")</f>
      </c>
      <c r="Z184">
        <f>IF(O184="Sí",COUNTIFS($D$2:D184,D184,$O$2:O184,"Sí"),"")</f>
      </c>
      <c r="AA184">
        <f>IF(Z184&lt;&gt;"",D184&amp;"|"&amp;Z184,"")</f>
      </c>
      <c r="AB184">
        <f>IF(AA184&lt;&gt;"",IF(K184&lt;&gt;"",K184&amp;" ("&amp;M184&amp;")",M184),"")</f>
      </c>
      <c r="AC184">
        <f>IF($B184="","fecha, ","")&amp;IF($C184="","quién lo introduce, ","")&amp;IF($I184="","motivo, ","")&amp;IF($K184="","docente, ","")&amp;IF($L184="","horario, ","")&amp;IF($N184="","duración, ","")&amp;IF($Q184="","estado, ","")&amp;IF(AND($I184="Otros",$J184=""),"detalle del motivo, ","")&amp;IF(AND($O184="Sí",$P184=""),"detalle del refuerzo, ","")&amp;IF(AND(OR($I184="Renuncia (hasta 30 nov)",$I184="Baja (desde 1 dic)",$I184="Renuncia excepcional (art. 25.3)",$I184="Traslado de expediente"),OR($E184="",$F184="",$G184="")),"quién deja la plaza, ","")&amp;IF(AND($Q184="No disponible",$R184=""),"vía de cobertura, ","")&amp;IF(AND(OR($R184="Lista de espera · propio centro",$R184="Traslado de expediente",$R184="Lista de espera · otro centro"),OR($S184="",$T184="",$U184="")),"quién ocupa la plaza, ","")</f>
      </c>
      <c r="AD184" s="24">
        <f>IF($D184="","",IF(AND(LEN($AC184)=0,LEN($AK184)=0),"Completa",IF(LEN($AC184)=0,"Revisar: "&amp;LEFT($AK184,LEN($AK184)-2),"Falta: "&amp;LEFT($AC184,LEN($AC184)-2)&amp;IF(LEN($AK184)&gt;0,"  ·  Revisar: "&amp;LEFT($AK184,LEN($AK184)-2),""))))</f>
      </c>
      <c r="AE184">
        <f>IF(AND($D184&lt;&gt;"",OR($I184="Renuncia (hasta 30 nov)",$I184="Baja (desde 1 dic)",$I184="Renuncia excepcional (art. 25.3)",$I184="Traslado de expediente")),COUNTIF($AE$1:AE183,"&gt;0")+1,"")</f>
      </c>
      <c r="AF184">
        <f>IF($Q184="Disponible",COUNTIF($AF$1:AF183,"&gt;0")+1,"")</f>
      </c>
      <c r="AG184">
        <f>IF($O184="Sí",COUNTIF($AG$1:AG183,"&gt;0")+1,"")</f>
      </c>
      <c r="AH184">
        <f>IF(AND($Q184="Disponible",$O184&lt;&gt;"Sí"),COUNTIF($AH$1:AH183,"&gt;0")+1,"")</f>
      </c>
      <c r="AI184">
        <f>IF(AND($Q184="Disponible",$K184&lt;&gt;""),COUNTIFS($K$2:K184,K184,$Q$2:Q184,"Disponible"),"")</f>
      </c>
      <c r="AJ184">
        <f>IF(AI184&lt;&gt;"",K184&amp;"|"&amp;AI184,"")</f>
      </c>
      <c r="AK184">
        <f>IF(AND($Q184="No disponible",OR($R184="Lista de espera · propio centro",$R184="Traslado de expediente",$R184="Lista de espera · otro centro"),$O184="Sí"),"la plaza ya tiene alumno y sigue marcada como refuerzo, ","")&amp;IF(AND($R184="Reconvertida en refuerzo",$O184&lt;&gt;"Sí"),"reconvertida en refuerzo pero sin marcar «En uso como refuerzo», ","")</f>
      </c>
    </row>
    <row r="185" spans="1:37">
      <c r="A185" s="20">
        <f>IF(D185&lt;&gt;"",ROW()-1,"")</f>
      </c>
      <c r="B185" s="55"/>
      <c r="C185" s="56"/>
      <c r="D185" s="56"/>
      <c r="E185" s="56"/>
      <c r="F185" s="56"/>
      <c r="G185" s="56"/>
      <c r="H185" s="56"/>
      <c r="I185" s="56"/>
      <c r="J185" s="57"/>
      <c r="K185" s="56"/>
      <c r="L185" s="58"/>
      <c r="M185" s="58">
        <f>IF(L185="","",L185)</f>
      </c>
      <c r="N185" s="56"/>
      <c r="O185" s="56"/>
      <c r="P185" s="57"/>
      <c r="Q185" s="56"/>
      <c r="R185" s="56"/>
      <c r="S185" s="56"/>
      <c r="T185" s="56"/>
      <c r="U185" s="56"/>
      <c r="V185" s="57"/>
      <c r="W185">
        <f>IF(Q185="Disponible",COUNTIFS($D$2:D185,D185,$Q$2:Q185,"Disponible"),"")</f>
      </c>
      <c r="X185">
        <f>IF(W185&lt;&gt;"",D185&amp;"|"&amp;W185,"")</f>
      </c>
      <c r="Y185">
        <f>IF(X185&lt;&gt;"",IF(K185&lt;&gt;"",K185&amp;" ("&amp;M185&amp;")",M185),"")</f>
      </c>
      <c r="Z185">
        <f>IF(O185="Sí",COUNTIFS($D$2:D185,D185,$O$2:O185,"Sí"),"")</f>
      </c>
      <c r="AA185">
        <f>IF(Z185&lt;&gt;"",D185&amp;"|"&amp;Z185,"")</f>
      </c>
      <c r="AB185">
        <f>IF(AA185&lt;&gt;"",IF(K185&lt;&gt;"",K185&amp;" ("&amp;M185&amp;")",M185),"")</f>
      </c>
      <c r="AC185">
        <f>IF($B185="","fecha, ","")&amp;IF($C185="","quién lo introduce, ","")&amp;IF($I185="","motivo, ","")&amp;IF($K185="","docente, ","")&amp;IF($L185="","horario, ","")&amp;IF($N185="","duración, ","")&amp;IF($Q185="","estado, ","")&amp;IF(AND($I185="Otros",$J185=""),"detalle del motivo, ","")&amp;IF(AND($O185="Sí",$P185=""),"detalle del refuerzo, ","")&amp;IF(AND(OR($I185="Renuncia (hasta 30 nov)",$I185="Baja (desde 1 dic)",$I185="Renuncia excepcional (art. 25.3)",$I185="Traslado de expediente"),OR($E185="",$F185="",$G185="")),"quién deja la plaza, ","")&amp;IF(AND($Q185="No disponible",$R185=""),"vía de cobertura, ","")&amp;IF(AND(OR($R185="Lista de espera · propio centro",$R185="Traslado de expediente",$R185="Lista de espera · otro centro"),OR($S185="",$T185="",$U185="")),"quién ocupa la plaza, ","")</f>
      </c>
      <c r="AD185" s="24">
        <f>IF($D185="","",IF(AND(LEN($AC185)=0,LEN($AK185)=0),"Completa",IF(LEN($AC185)=0,"Revisar: "&amp;LEFT($AK185,LEN($AK185)-2),"Falta: "&amp;LEFT($AC185,LEN($AC185)-2)&amp;IF(LEN($AK185)&gt;0,"  ·  Revisar: "&amp;LEFT($AK185,LEN($AK185)-2),""))))</f>
      </c>
      <c r="AE185">
        <f>IF(AND($D185&lt;&gt;"",OR($I185="Renuncia (hasta 30 nov)",$I185="Baja (desde 1 dic)",$I185="Renuncia excepcional (art. 25.3)",$I185="Traslado de expediente")),COUNTIF($AE$1:AE184,"&gt;0")+1,"")</f>
      </c>
      <c r="AF185">
        <f>IF($Q185="Disponible",COUNTIF($AF$1:AF184,"&gt;0")+1,"")</f>
      </c>
      <c r="AG185">
        <f>IF($O185="Sí",COUNTIF($AG$1:AG184,"&gt;0")+1,"")</f>
      </c>
      <c r="AH185">
        <f>IF(AND($Q185="Disponible",$O185&lt;&gt;"Sí"),COUNTIF($AH$1:AH184,"&gt;0")+1,"")</f>
      </c>
      <c r="AI185">
        <f>IF(AND($Q185="Disponible",$K185&lt;&gt;""),COUNTIFS($K$2:K185,K185,$Q$2:Q185,"Disponible"),"")</f>
      </c>
      <c r="AJ185">
        <f>IF(AI185&lt;&gt;"",K185&amp;"|"&amp;AI185,"")</f>
      </c>
      <c r="AK185">
        <f>IF(AND($Q185="No disponible",OR($R185="Lista de espera · propio centro",$R185="Traslado de expediente",$R185="Lista de espera · otro centro"),$O185="Sí"),"la plaza ya tiene alumno y sigue marcada como refuerzo, ","")&amp;IF(AND($R185="Reconvertida en refuerzo",$O185&lt;&gt;"Sí"),"reconvertida en refuerzo pero sin marcar «En uso como refuerzo», ","")</f>
      </c>
    </row>
    <row r="186" spans="1:37">
      <c r="A186" s="20">
        <f>IF(D186&lt;&gt;"",ROW()-1,"")</f>
      </c>
      <c r="B186" s="55"/>
      <c r="C186" s="56"/>
      <c r="D186" s="56"/>
      <c r="E186" s="56"/>
      <c r="F186" s="56"/>
      <c r="G186" s="56"/>
      <c r="H186" s="56"/>
      <c r="I186" s="56"/>
      <c r="J186" s="57"/>
      <c r="K186" s="56"/>
      <c r="L186" s="58"/>
      <c r="M186" s="58">
        <f>IF(L186="","",L186)</f>
      </c>
      <c r="N186" s="56"/>
      <c r="O186" s="56"/>
      <c r="P186" s="57"/>
      <c r="Q186" s="56"/>
      <c r="R186" s="56"/>
      <c r="S186" s="56"/>
      <c r="T186" s="56"/>
      <c r="U186" s="56"/>
      <c r="V186" s="57"/>
      <c r="W186">
        <f>IF(Q186="Disponible",COUNTIFS($D$2:D186,D186,$Q$2:Q186,"Disponible"),"")</f>
      </c>
      <c r="X186">
        <f>IF(W186&lt;&gt;"",D186&amp;"|"&amp;W186,"")</f>
      </c>
      <c r="Y186">
        <f>IF(X186&lt;&gt;"",IF(K186&lt;&gt;"",K186&amp;" ("&amp;M186&amp;")",M186),"")</f>
      </c>
      <c r="Z186">
        <f>IF(O186="Sí",COUNTIFS($D$2:D186,D186,$O$2:O186,"Sí"),"")</f>
      </c>
      <c r="AA186">
        <f>IF(Z186&lt;&gt;"",D186&amp;"|"&amp;Z186,"")</f>
      </c>
      <c r="AB186">
        <f>IF(AA186&lt;&gt;"",IF(K186&lt;&gt;"",K186&amp;" ("&amp;M186&amp;")",M186),"")</f>
      </c>
      <c r="AC186">
        <f>IF($B186="","fecha, ","")&amp;IF($C186="","quién lo introduce, ","")&amp;IF($I186="","motivo, ","")&amp;IF($K186="","docente, ","")&amp;IF($L186="","horario, ","")&amp;IF($N186="","duración, ","")&amp;IF($Q186="","estado, ","")&amp;IF(AND($I186="Otros",$J186=""),"detalle del motivo, ","")&amp;IF(AND($O186="Sí",$P186=""),"detalle del refuerzo, ","")&amp;IF(AND(OR($I186="Renuncia (hasta 30 nov)",$I186="Baja (desde 1 dic)",$I186="Renuncia excepcional (art. 25.3)",$I186="Traslado de expediente"),OR($E186="",$F186="",$G186="")),"quién deja la plaza, ","")&amp;IF(AND($Q186="No disponible",$R186=""),"vía de cobertura, ","")&amp;IF(AND(OR($R186="Lista de espera · propio centro",$R186="Traslado de expediente",$R186="Lista de espera · otro centro"),OR($S186="",$T186="",$U186="")),"quién ocupa la plaza, ","")</f>
      </c>
      <c r="AD186" s="24">
        <f>IF($D186="","",IF(AND(LEN($AC186)=0,LEN($AK186)=0),"Completa",IF(LEN($AC186)=0,"Revisar: "&amp;LEFT($AK186,LEN($AK186)-2),"Falta: "&amp;LEFT($AC186,LEN($AC186)-2)&amp;IF(LEN($AK186)&gt;0,"  ·  Revisar: "&amp;LEFT($AK186,LEN($AK186)-2),""))))</f>
      </c>
      <c r="AE186">
        <f>IF(AND($D186&lt;&gt;"",OR($I186="Renuncia (hasta 30 nov)",$I186="Baja (desde 1 dic)",$I186="Renuncia excepcional (art. 25.3)",$I186="Traslado de expediente")),COUNTIF($AE$1:AE185,"&gt;0")+1,"")</f>
      </c>
      <c r="AF186">
        <f>IF($Q186="Disponible",COUNTIF($AF$1:AF185,"&gt;0")+1,"")</f>
      </c>
      <c r="AG186">
        <f>IF($O186="Sí",COUNTIF($AG$1:AG185,"&gt;0")+1,"")</f>
      </c>
      <c r="AH186">
        <f>IF(AND($Q186="Disponible",$O186&lt;&gt;"Sí"),COUNTIF($AH$1:AH185,"&gt;0")+1,"")</f>
      </c>
      <c r="AI186">
        <f>IF(AND($Q186="Disponible",$K186&lt;&gt;""),COUNTIFS($K$2:K186,K186,$Q$2:Q186,"Disponible"),"")</f>
      </c>
      <c r="AJ186">
        <f>IF(AI186&lt;&gt;"",K186&amp;"|"&amp;AI186,"")</f>
      </c>
      <c r="AK186">
        <f>IF(AND($Q186="No disponible",OR($R186="Lista de espera · propio centro",$R186="Traslado de expediente",$R186="Lista de espera · otro centro"),$O186="Sí"),"la plaza ya tiene alumno y sigue marcada como refuerzo, ","")&amp;IF(AND($R186="Reconvertida en refuerzo",$O186&lt;&gt;"Sí"),"reconvertida en refuerzo pero sin marcar «En uso como refuerzo», ","")</f>
      </c>
    </row>
    <row r="187" spans="1:37">
      <c r="A187" s="20">
        <f>IF(D187&lt;&gt;"",ROW()-1,"")</f>
      </c>
      <c r="B187" s="55"/>
      <c r="C187" s="56"/>
      <c r="D187" s="56"/>
      <c r="E187" s="56"/>
      <c r="F187" s="56"/>
      <c r="G187" s="56"/>
      <c r="H187" s="56"/>
      <c r="I187" s="56"/>
      <c r="J187" s="57"/>
      <c r="K187" s="56"/>
      <c r="L187" s="58"/>
      <c r="M187" s="58">
        <f>IF(L187="","",L187)</f>
      </c>
      <c r="N187" s="56"/>
      <c r="O187" s="56"/>
      <c r="P187" s="57"/>
      <c r="Q187" s="56"/>
      <c r="R187" s="56"/>
      <c r="S187" s="56"/>
      <c r="T187" s="56"/>
      <c r="U187" s="56"/>
      <c r="V187" s="57"/>
      <c r="W187">
        <f>IF(Q187="Disponible",COUNTIFS($D$2:D187,D187,$Q$2:Q187,"Disponible"),"")</f>
      </c>
      <c r="X187">
        <f>IF(W187&lt;&gt;"",D187&amp;"|"&amp;W187,"")</f>
      </c>
      <c r="Y187">
        <f>IF(X187&lt;&gt;"",IF(K187&lt;&gt;"",K187&amp;" ("&amp;M187&amp;")",M187),"")</f>
      </c>
      <c r="Z187">
        <f>IF(O187="Sí",COUNTIFS($D$2:D187,D187,$O$2:O187,"Sí"),"")</f>
      </c>
      <c r="AA187">
        <f>IF(Z187&lt;&gt;"",D187&amp;"|"&amp;Z187,"")</f>
      </c>
      <c r="AB187">
        <f>IF(AA187&lt;&gt;"",IF(K187&lt;&gt;"",K187&amp;" ("&amp;M187&amp;")",M187),"")</f>
      </c>
      <c r="AC187">
        <f>IF($B187="","fecha, ","")&amp;IF($C187="","quién lo introduce, ","")&amp;IF($I187="","motivo, ","")&amp;IF($K187="","docente, ","")&amp;IF($L187="","horario, ","")&amp;IF($N187="","duración, ","")&amp;IF($Q187="","estado, ","")&amp;IF(AND($I187="Otros",$J187=""),"detalle del motivo, ","")&amp;IF(AND($O187="Sí",$P187=""),"detalle del refuerzo, ","")&amp;IF(AND(OR($I187="Renuncia (hasta 30 nov)",$I187="Baja (desde 1 dic)",$I187="Renuncia excepcional (art. 25.3)",$I187="Traslado de expediente"),OR($E187="",$F187="",$G187="")),"quién deja la plaza, ","")&amp;IF(AND($Q187="No disponible",$R187=""),"vía de cobertura, ","")&amp;IF(AND(OR($R187="Lista de espera · propio centro",$R187="Traslado de expediente",$R187="Lista de espera · otro centro"),OR($S187="",$T187="",$U187="")),"quién ocupa la plaza, ","")</f>
      </c>
      <c r="AD187" s="24">
        <f>IF($D187="","",IF(AND(LEN($AC187)=0,LEN($AK187)=0),"Completa",IF(LEN($AC187)=0,"Revisar: "&amp;LEFT($AK187,LEN($AK187)-2),"Falta: "&amp;LEFT($AC187,LEN($AC187)-2)&amp;IF(LEN($AK187)&gt;0,"  ·  Revisar: "&amp;LEFT($AK187,LEN($AK187)-2),""))))</f>
      </c>
      <c r="AE187">
        <f>IF(AND($D187&lt;&gt;"",OR($I187="Renuncia (hasta 30 nov)",$I187="Baja (desde 1 dic)",$I187="Renuncia excepcional (art. 25.3)",$I187="Traslado de expediente")),COUNTIF($AE$1:AE186,"&gt;0")+1,"")</f>
      </c>
      <c r="AF187">
        <f>IF($Q187="Disponible",COUNTIF($AF$1:AF186,"&gt;0")+1,"")</f>
      </c>
      <c r="AG187">
        <f>IF($O187="Sí",COUNTIF($AG$1:AG186,"&gt;0")+1,"")</f>
      </c>
      <c r="AH187">
        <f>IF(AND($Q187="Disponible",$O187&lt;&gt;"Sí"),COUNTIF($AH$1:AH186,"&gt;0")+1,"")</f>
      </c>
      <c r="AI187">
        <f>IF(AND($Q187="Disponible",$K187&lt;&gt;""),COUNTIFS($K$2:K187,K187,$Q$2:Q187,"Disponible"),"")</f>
      </c>
      <c r="AJ187">
        <f>IF(AI187&lt;&gt;"",K187&amp;"|"&amp;AI187,"")</f>
      </c>
      <c r="AK187">
        <f>IF(AND($Q187="No disponible",OR($R187="Lista de espera · propio centro",$R187="Traslado de expediente",$R187="Lista de espera · otro centro"),$O187="Sí"),"la plaza ya tiene alumno y sigue marcada como refuerzo, ","")&amp;IF(AND($R187="Reconvertida en refuerzo",$O187&lt;&gt;"Sí"),"reconvertida en refuerzo pero sin marcar «En uso como refuerzo», ","")</f>
      </c>
    </row>
    <row r="188" spans="1:37">
      <c r="A188" s="20">
        <f>IF(D188&lt;&gt;"",ROW()-1,"")</f>
      </c>
      <c r="B188" s="55"/>
      <c r="C188" s="56"/>
      <c r="D188" s="56"/>
      <c r="E188" s="56"/>
      <c r="F188" s="56"/>
      <c r="G188" s="56"/>
      <c r="H188" s="56"/>
      <c r="I188" s="56"/>
      <c r="J188" s="57"/>
      <c r="K188" s="56"/>
      <c r="L188" s="58"/>
      <c r="M188" s="58">
        <f>IF(L188="","",L188)</f>
      </c>
      <c r="N188" s="56"/>
      <c r="O188" s="56"/>
      <c r="P188" s="57"/>
      <c r="Q188" s="56"/>
      <c r="R188" s="56"/>
      <c r="S188" s="56"/>
      <c r="T188" s="56"/>
      <c r="U188" s="56"/>
      <c r="V188" s="57"/>
      <c r="W188">
        <f>IF(Q188="Disponible",COUNTIFS($D$2:D188,D188,$Q$2:Q188,"Disponible"),"")</f>
      </c>
      <c r="X188">
        <f>IF(W188&lt;&gt;"",D188&amp;"|"&amp;W188,"")</f>
      </c>
      <c r="Y188">
        <f>IF(X188&lt;&gt;"",IF(K188&lt;&gt;"",K188&amp;" ("&amp;M188&amp;")",M188),"")</f>
      </c>
      <c r="Z188">
        <f>IF(O188="Sí",COUNTIFS($D$2:D188,D188,$O$2:O188,"Sí"),"")</f>
      </c>
      <c r="AA188">
        <f>IF(Z188&lt;&gt;"",D188&amp;"|"&amp;Z188,"")</f>
      </c>
      <c r="AB188">
        <f>IF(AA188&lt;&gt;"",IF(K188&lt;&gt;"",K188&amp;" ("&amp;M188&amp;")",M188),"")</f>
      </c>
      <c r="AC188">
        <f>IF($B188="","fecha, ","")&amp;IF($C188="","quién lo introduce, ","")&amp;IF($I188="","motivo, ","")&amp;IF($K188="","docente, ","")&amp;IF($L188="","horario, ","")&amp;IF($N188="","duración, ","")&amp;IF($Q188="","estado, ","")&amp;IF(AND($I188="Otros",$J188=""),"detalle del motivo, ","")&amp;IF(AND($O188="Sí",$P188=""),"detalle del refuerzo, ","")&amp;IF(AND(OR($I188="Renuncia (hasta 30 nov)",$I188="Baja (desde 1 dic)",$I188="Renuncia excepcional (art. 25.3)",$I188="Traslado de expediente"),OR($E188="",$F188="",$G188="")),"quién deja la plaza, ","")&amp;IF(AND($Q188="No disponible",$R188=""),"vía de cobertura, ","")&amp;IF(AND(OR($R188="Lista de espera · propio centro",$R188="Traslado de expediente",$R188="Lista de espera · otro centro"),OR($S188="",$T188="",$U188="")),"quién ocupa la plaza, ","")</f>
      </c>
      <c r="AD188" s="24">
        <f>IF($D188="","",IF(AND(LEN($AC188)=0,LEN($AK188)=0),"Completa",IF(LEN($AC188)=0,"Revisar: "&amp;LEFT($AK188,LEN($AK188)-2),"Falta: "&amp;LEFT($AC188,LEN($AC188)-2)&amp;IF(LEN($AK188)&gt;0,"  ·  Revisar: "&amp;LEFT($AK188,LEN($AK188)-2),""))))</f>
      </c>
      <c r="AE188">
        <f>IF(AND($D188&lt;&gt;"",OR($I188="Renuncia (hasta 30 nov)",$I188="Baja (desde 1 dic)",$I188="Renuncia excepcional (art. 25.3)",$I188="Traslado de expediente")),COUNTIF($AE$1:AE187,"&gt;0")+1,"")</f>
      </c>
      <c r="AF188">
        <f>IF($Q188="Disponible",COUNTIF($AF$1:AF187,"&gt;0")+1,"")</f>
      </c>
      <c r="AG188">
        <f>IF($O188="Sí",COUNTIF($AG$1:AG187,"&gt;0")+1,"")</f>
      </c>
      <c r="AH188">
        <f>IF(AND($Q188="Disponible",$O188&lt;&gt;"Sí"),COUNTIF($AH$1:AH187,"&gt;0")+1,"")</f>
      </c>
      <c r="AI188">
        <f>IF(AND($Q188="Disponible",$K188&lt;&gt;""),COUNTIFS($K$2:K188,K188,$Q$2:Q188,"Disponible"),"")</f>
      </c>
      <c r="AJ188">
        <f>IF(AI188&lt;&gt;"",K188&amp;"|"&amp;AI188,"")</f>
      </c>
      <c r="AK188">
        <f>IF(AND($Q188="No disponible",OR($R188="Lista de espera · propio centro",$R188="Traslado de expediente",$R188="Lista de espera · otro centro"),$O188="Sí"),"la plaza ya tiene alumno y sigue marcada como refuerzo, ","")&amp;IF(AND($R188="Reconvertida en refuerzo",$O188&lt;&gt;"Sí"),"reconvertida en refuerzo pero sin marcar «En uso como refuerzo», ","")</f>
      </c>
    </row>
    <row r="189" spans="1:37">
      <c r="A189" s="20">
        <f>IF(D189&lt;&gt;"",ROW()-1,"")</f>
      </c>
      <c r="B189" s="55"/>
      <c r="C189" s="56"/>
      <c r="D189" s="56"/>
      <c r="E189" s="56"/>
      <c r="F189" s="56"/>
      <c r="G189" s="56"/>
      <c r="H189" s="56"/>
      <c r="I189" s="56"/>
      <c r="J189" s="57"/>
      <c r="K189" s="56"/>
      <c r="L189" s="58"/>
      <c r="M189" s="58">
        <f>IF(L189="","",L189)</f>
      </c>
      <c r="N189" s="56"/>
      <c r="O189" s="56"/>
      <c r="P189" s="57"/>
      <c r="Q189" s="56"/>
      <c r="R189" s="56"/>
      <c r="S189" s="56"/>
      <c r="T189" s="56"/>
      <c r="U189" s="56"/>
      <c r="V189" s="57"/>
      <c r="W189">
        <f>IF(Q189="Disponible",COUNTIFS($D$2:D189,D189,$Q$2:Q189,"Disponible"),"")</f>
      </c>
      <c r="X189">
        <f>IF(W189&lt;&gt;"",D189&amp;"|"&amp;W189,"")</f>
      </c>
      <c r="Y189">
        <f>IF(X189&lt;&gt;"",IF(K189&lt;&gt;"",K189&amp;" ("&amp;M189&amp;")",M189),"")</f>
      </c>
      <c r="Z189">
        <f>IF(O189="Sí",COUNTIFS($D$2:D189,D189,$O$2:O189,"Sí"),"")</f>
      </c>
      <c r="AA189">
        <f>IF(Z189&lt;&gt;"",D189&amp;"|"&amp;Z189,"")</f>
      </c>
      <c r="AB189">
        <f>IF(AA189&lt;&gt;"",IF(K189&lt;&gt;"",K189&amp;" ("&amp;M189&amp;")",M189),"")</f>
      </c>
      <c r="AC189">
        <f>IF($B189="","fecha, ","")&amp;IF($C189="","quién lo introduce, ","")&amp;IF($I189="","motivo, ","")&amp;IF($K189="","docente, ","")&amp;IF($L189="","horario, ","")&amp;IF($N189="","duración, ","")&amp;IF($Q189="","estado, ","")&amp;IF(AND($I189="Otros",$J189=""),"detalle del motivo, ","")&amp;IF(AND($O189="Sí",$P189=""),"detalle del refuerzo, ","")&amp;IF(AND(OR($I189="Renuncia (hasta 30 nov)",$I189="Baja (desde 1 dic)",$I189="Renuncia excepcional (art. 25.3)",$I189="Traslado de expediente"),OR($E189="",$F189="",$G189="")),"quién deja la plaza, ","")&amp;IF(AND($Q189="No disponible",$R189=""),"vía de cobertura, ","")&amp;IF(AND(OR($R189="Lista de espera · propio centro",$R189="Traslado de expediente",$R189="Lista de espera · otro centro"),OR($S189="",$T189="",$U189="")),"quién ocupa la plaza, ","")</f>
      </c>
      <c r="AD189" s="24">
        <f>IF($D189="","",IF(AND(LEN($AC189)=0,LEN($AK189)=0),"Completa",IF(LEN($AC189)=0,"Revisar: "&amp;LEFT($AK189,LEN($AK189)-2),"Falta: "&amp;LEFT($AC189,LEN($AC189)-2)&amp;IF(LEN($AK189)&gt;0,"  ·  Revisar: "&amp;LEFT($AK189,LEN($AK189)-2),""))))</f>
      </c>
      <c r="AE189">
        <f>IF(AND($D189&lt;&gt;"",OR($I189="Renuncia (hasta 30 nov)",$I189="Baja (desde 1 dic)",$I189="Renuncia excepcional (art. 25.3)",$I189="Traslado de expediente")),COUNTIF($AE$1:AE188,"&gt;0")+1,"")</f>
      </c>
      <c r="AF189">
        <f>IF($Q189="Disponible",COUNTIF($AF$1:AF188,"&gt;0")+1,"")</f>
      </c>
      <c r="AG189">
        <f>IF($O189="Sí",COUNTIF($AG$1:AG188,"&gt;0")+1,"")</f>
      </c>
      <c r="AH189">
        <f>IF(AND($Q189="Disponible",$O189&lt;&gt;"Sí"),COUNTIF($AH$1:AH188,"&gt;0")+1,"")</f>
      </c>
      <c r="AI189">
        <f>IF(AND($Q189="Disponible",$K189&lt;&gt;""),COUNTIFS($K$2:K189,K189,$Q$2:Q189,"Disponible"),"")</f>
      </c>
      <c r="AJ189">
        <f>IF(AI189&lt;&gt;"",K189&amp;"|"&amp;AI189,"")</f>
      </c>
      <c r="AK189">
        <f>IF(AND($Q189="No disponible",OR($R189="Lista de espera · propio centro",$R189="Traslado de expediente",$R189="Lista de espera · otro centro"),$O189="Sí"),"la plaza ya tiene alumno y sigue marcada como refuerzo, ","")&amp;IF(AND($R189="Reconvertida en refuerzo",$O189&lt;&gt;"Sí"),"reconvertida en refuerzo pero sin marcar «En uso como refuerzo», ","")</f>
      </c>
    </row>
    <row r="190" spans="1:37">
      <c r="A190" s="20">
        <f>IF(D190&lt;&gt;"",ROW()-1,"")</f>
      </c>
      <c r="B190" s="55"/>
      <c r="C190" s="56"/>
      <c r="D190" s="56"/>
      <c r="E190" s="56"/>
      <c r="F190" s="56"/>
      <c r="G190" s="56"/>
      <c r="H190" s="56"/>
      <c r="I190" s="56"/>
      <c r="J190" s="57"/>
      <c r="K190" s="56"/>
      <c r="L190" s="58"/>
      <c r="M190" s="58">
        <f>IF(L190="","",L190)</f>
      </c>
      <c r="N190" s="56"/>
      <c r="O190" s="56"/>
      <c r="P190" s="57"/>
      <c r="Q190" s="56"/>
      <c r="R190" s="56"/>
      <c r="S190" s="56"/>
      <c r="T190" s="56"/>
      <c r="U190" s="56"/>
      <c r="V190" s="57"/>
      <c r="W190">
        <f>IF(Q190="Disponible",COUNTIFS($D$2:D190,D190,$Q$2:Q190,"Disponible"),"")</f>
      </c>
      <c r="X190">
        <f>IF(W190&lt;&gt;"",D190&amp;"|"&amp;W190,"")</f>
      </c>
      <c r="Y190">
        <f>IF(X190&lt;&gt;"",IF(K190&lt;&gt;"",K190&amp;" ("&amp;M190&amp;")",M190),"")</f>
      </c>
      <c r="Z190">
        <f>IF(O190="Sí",COUNTIFS($D$2:D190,D190,$O$2:O190,"Sí"),"")</f>
      </c>
      <c r="AA190">
        <f>IF(Z190&lt;&gt;"",D190&amp;"|"&amp;Z190,"")</f>
      </c>
      <c r="AB190">
        <f>IF(AA190&lt;&gt;"",IF(K190&lt;&gt;"",K190&amp;" ("&amp;M190&amp;")",M190),"")</f>
      </c>
      <c r="AC190">
        <f>IF($B190="","fecha, ","")&amp;IF($C190="","quién lo introduce, ","")&amp;IF($I190="","motivo, ","")&amp;IF($K190="","docente, ","")&amp;IF($L190="","horario, ","")&amp;IF($N190="","duración, ","")&amp;IF($Q190="","estado, ","")&amp;IF(AND($I190="Otros",$J190=""),"detalle del motivo, ","")&amp;IF(AND($O190="Sí",$P190=""),"detalle del refuerzo, ","")&amp;IF(AND(OR($I190="Renuncia (hasta 30 nov)",$I190="Baja (desde 1 dic)",$I190="Renuncia excepcional (art. 25.3)",$I190="Traslado de expediente"),OR($E190="",$F190="",$G190="")),"quién deja la plaza, ","")&amp;IF(AND($Q190="No disponible",$R190=""),"vía de cobertura, ","")&amp;IF(AND(OR($R190="Lista de espera · propio centro",$R190="Traslado de expediente",$R190="Lista de espera · otro centro"),OR($S190="",$T190="",$U190="")),"quién ocupa la plaza, ","")</f>
      </c>
      <c r="AD190" s="24">
        <f>IF($D190="","",IF(AND(LEN($AC190)=0,LEN($AK190)=0),"Completa",IF(LEN($AC190)=0,"Revisar: "&amp;LEFT($AK190,LEN($AK190)-2),"Falta: "&amp;LEFT($AC190,LEN($AC190)-2)&amp;IF(LEN($AK190)&gt;0,"  ·  Revisar: "&amp;LEFT($AK190,LEN($AK190)-2),""))))</f>
      </c>
      <c r="AE190">
        <f>IF(AND($D190&lt;&gt;"",OR($I190="Renuncia (hasta 30 nov)",$I190="Baja (desde 1 dic)",$I190="Renuncia excepcional (art. 25.3)",$I190="Traslado de expediente")),COUNTIF($AE$1:AE189,"&gt;0")+1,"")</f>
      </c>
      <c r="AF190">
        <f>IF($Q190="Disponible",COUNTIF($AF$1:AF189,"&gt;0")+1,"")</f>
      </c>
      <c r="AG190">
        <f>IF($O190="Sí",COUNTIF($AG$1:AG189,"&gt;0")+1,"")</f>
      </c>
      <c r="AH190">
        <f>IF(AND($Q190="Disponible",$O190&lt;&gt;"Sí"),COUNTIF($AH$1:AH189,"&gt;0")+1,"")</f>
      </c>
      <c r="AI190">
        <f>IF(AND($Q190="Disponible",$K190&lt;&gt;""),COUNTIFS($K$2:K190,K190,$Q$2:Q190,"Disponible"),"")</f>
      </c>
      <c r="AJ190">
        <f>IF(AI190&lt;&gt;"",K190&amp;"|"&amp;AI190,"")</f>
      </c>
      <c r="AK190">
        <f>IF(AND($Q190="No disponible",OR($R190="Lista de espera · propio centro",$R190="Traslado de expediente",$R190="Lista de espera · otro centro"),$O190="Sí"),"la plaza ya tiene alumno y sigue marcada como refuerzo, ","")&amp;IF(AND($R190="Reconvertida en refuerzo",$O190&lt;&gt;"Sí"),"reconvertida en refuerzo pero sin marcar «En uso como refuerzo», ","")</f>
      </c>
    </row>
    <row r="191" spans="1:37">
      <c r="A191" s="20">
        <f>IF(D191&lt;&gt;"",ROW()-1,"")</f>
      </c>
      <c r="B191" s="55"/>
      <c r="C191" s="56"/>
      <c r="D191" s="56"/>
      <c r="E191" s="56"/>
      <c r="F191" s="56"/>
      <c r="G191" s="56"/>
      <c r="H191" s="56"/>
      <c r="I191" s="56"/>
      <c r="J191" s="57"/>
      <c r="K191" s="56"/>
      <c r="L191" s="58"/>
      <c r="M191" s="58">
        <f>IF(L191="","",L191)</f>
      </c>
      <c r="N191" s="56"/>
      <c r="O191" s="56"/>
      <c r="P191" s="57"/>
      <c r="Q191" s="56"/>
      <c r="R191" s="56"/>
      <c r="S191" s="56"/>
      <c r="T191" s="56"/>
      <c r="U191" s="56"/>
      <c r="V191" s="57"/>
      <c r="W191">
        <f>IF(Q191="Disponible",COUNTIFS($D$2:D191,D191,$Q$2:Q191,"Disponible"),"")</f>
      </c>
      <c r="X191">
        <f>IF(W191&lt;&gt;"",D191&amp;"|"&amp;W191,"")</f>
      </c>
      <c r="Y191">
        <f>IF(X191&lt;&gt;"",IF(K191&lt;&gt;"",K191&amp;" ("&amp;M191&amp;")",M191),"")</f>
      </c>
      <c r="Z191">
        <f>IF(O191="Sí",COUNTIFS($D$2:D191,D191,$O$2:O191,"Sí"),"")</f>
      </c>
      <c r="AA191">
        <f>IF(Z191&lt;&gt;"",D191&amp;"|"&amp;Z191,"")</f>
      </c>
      <c r="AB191">
        <f>IF(AA191&lt;&gt;"",IF(K191&lt;&gt;"",K191&amp;" ("&amp;M191&amp;")",M191),"")</f>
      </c>
      <c r="AC191">
        <f>IF($B191="","fecha, ","")&amp;IF($C191="","quién lo introduce, ","")&amp;IF($I191="","motivo, ","")&amp;IF($K191="","docente, ","")&amp;IF($L191="","horario, ","")&amp;IF($N191="","duración, ","")&amp;IF($Q191="","estado, ","")&amp;IF(AND($I191="Otros",$J191=""),"detalle del motivo, ","")&amp;IF(AND($O191="Sí",$P191=""),"detalle del refuerzo, ","")&amp;IF(AND(OR($I191="Renuncia (hasta 30 nov)",$I191="Baja (desde 1 dic)",$I191="Renuncia excepcional (art. 25.3)",$I191="Traslado de expediente"),OR($E191="",$F191="",$G191="")),"quién deja la plaza, ","")&amp;IF(AND($Q191="No disponible",$R191=""),"vía de cobertura, ","")&amp;IF(AND(OR($R191="Lista de espera · propio centro",$R191="Traslado de expediente",$R191="Lista de espera · otro centro"),OR($S191="",$T191="",$U191="")),"quién ocupa la plaza, ","")</f>
      </c>
      <c r="AD191" s="24">
        <f>IF($D191="","",IF(AND(LEN($AC191)=0,LEN($AK191)=0),"Completa",IF(LEN($AC191)=0,"Revisar: "&amp;LEFT($AK191,LEN($AK191)-2),"Falta: "&amp;LEFT($AC191,LEN($AC191)-2)&amp;IF(LEN($AK191)&gt;0,"  ·  Revisar: "&amp;LEFT($AK191,LEN($AK191)-2),""))))</f>
      </c>
      <c r="AE191">
        <f>IF(AND($D191&lt;&gt;"",OR($I191="Renuncia (hasta 30 nov)",$I191="Baja (desde 1 dic)",$I191="Renuncia excepcional (art. 25.3)",$I191="Traslado de expediente")),COUNTIF($AE$1:AE190,"&gt;0")+1,"")</f>
      </c>
      <c r="AF191">
        <f>IF($Q191="Disponible",COUNTIF($AF$1:AF190,"&gt;0")+1,"")</f>
      </c>
      <c r="AG191">
        <f>IF($O191="Sí",COUNTIF($AG$1:AG190,"&gt;0")+1,"")</f>
      </c>
      <c r="AH191">
        <f>IF(AND($Q191="Disponible",$O191&lt;&gt;"Sí"),COUNTIF($AH$1:AH190,"&gt;0")+1,"")</f>
      </c>
      <c r="AI191">
        <f>IF(AND($Q191="Disponible",$K191&lt;&gt;""),COUNTIFS($K$2:K191,K191,$Q$2:Q191,"Disponible"),"")</f>
      </c>
      <c r="AJ191">
        <f>IF(AI191&lt;&gt;"",K191&amp;"|"&amp;AI191,"")</f>
      </c>
      <c r="AK191">
        <f>IF(AND($Q191="No disponible",OR($R191="Lista de espera · propio centro",$R191="Traslado de expediente",$R191="Lista de espera · otro centro"),$O191="Sí"),"la plaza ya tiene alumno y sigue marcada como refuerzo, ","")&amp;IF(AND($R191="Reconvertida en refuerzo",$O191&lt;&gt;"Sí"),"reconvertida en refuerzo pero sin marcar «En uso como refuerzo», ","")</f>
      </c>
    </row>
    <row r="192" spans="1:37">
      <c r="A192" s="20">
        <f>IF(D192&lt;&gt;"",ROW()-1,"")</f>
      </c>
      <c r="B192" s="55"/>
      <c r="C192" s="56"/>
      <c r="D192" s="56"/>
      <c r="E192" s="56"/>
      <c r="F192" s="56"/>
      <c r="G192" s="56"/>
      <c r="H192" s="56"/>
      <c r="I192" s="56"/>
      <c r="J192" s="57"/>
      <c r="K192" s="56"/>
      <c r="L192" s="58"/>
      <c r="M192" s="58">
        <f>IF(L192="","",L192)</f>
      </c>
      <c r="N192" s="56"/>
      <c r="O192" s="56"/>
      <c r="P192" s="57"/>
      <c r="Q192" s="56"/>
      <c r="R192" s="56"/>
      <c r="S192" s="56"/>
      <c r="T192" s="56"/>
      <c r="U192" s="56"/>
      <c r="V192" s="57"/>
      <c r="W192">
        <f>IF(Q192="Disponible",COUNTIFS($D$2:D192,D192,$Q$2:Q192,"Disponible"),"")</f>
      </c>
      <c r="X192">
        <f>IF(W192&lt;&gt;"",D192&amp;"|"&amp;W192,"")</f>
      </c>
      <c r="Y192">
        <f>IF(X192&lt;&gt;"",IF(K192&lt;&gt;"",K192&amp;" ("&amp;M192&amp;")",M192),"")</f>
      </c>
      <c r="Z192">
        <f>IF(O192="Sí",COUNTIFS($D$2:D192,D192,$O$2:O192,"Sí"),"")</f>
      </c>
      <c r="AA192">
        <f>IF(Z192&lt;&gt;"",D192&amp;"|"&amp;Z192,"")</f>
      </c>
      <c r="AB192">
        <f>IF(AA192&lt;&gt;"",IF(K192&lt;&gt;"",K192&amp;" ("&amp;M192&amp;")",M192),"")</f>
      </c>
      <c r="AC192">
        <f>IF($B192="","fecha, ","")&amp;IF($C192="","quién lo introduce, ","")&amp;IF($I192="","motivo, ","")&amp;IF($K192="","docente, ","")&amp;IF($L192="","horario, ","")&amp;IF($N192="","duración, ","")&amp;IF($Q192="","estado, ","")&amp;IF(AND($I192="Otros",$J192=""),"detalle del motivo, ","")&amp;IF(AND($O192="Sí",$P192=""),"detalle del refuerzo, ","")&amp;IF(AND(OR($I192="Renuncia (hasta 30 nov)",$I192="Baja (desde 1 dic)",$I192="Renuncia excepcional (art. 25.3)",$I192="Traslado de expediente"),OR($E192="",$F192="",$G192="")),"quién deja la plaza, ","")&amp;IF(AND($Q192="No disponible",$R192=""),"vía de cobertura, ","")&amp;IF(AND(OR($R192="Lista de espera · propio centro",$R192="Traslado de expediente",$R192="Lista de espera · otro centro"),OR($S192="",$T192="",$U192="")),"quién ocupa la plaza, ","")</f>
      </c>
      <c r="AD192" s="24">
        <f>IF($D192="","",IF(AND(LEN($AC192)=0,LEN($AK192)=0),"Completa",IF(LEN($AC192)=0,"Revisar: "&amp;LEFT($AK192,LEN($AK192)-2),"Falta: "&amp;LEFT($AC192,LEN($AC192)-2)&amp;IF(LEN($AK192)&gt;0,"  ·  Revisar: "&amp;LEFT($AK192,LEN($AK192)-2),""))))</f>
      </c>
      <c r="AE192">
        <f>IF(AND($D192&lt;&gt;"",OR($I192="Renuncia (hasta 30 nov)",$I192="Baja (desde 1 dic)",$I192="Renuncia excepcional (art. 25.3)",$I192="Traslado de expediente")),COUNTIF($AE$1:AE191,"&gt;0")+1,"")</f>
      </c>
      <c r="AF192">
        <f>IF($Q192="Disponible",COUNTIF($AF$1:AF191,"&gt;0")+1,"")</f>
      </c>
      <c r="AG192">
        <f>IF($O192="Sí",COUNTIF($AG$1:AG191,"&gt;0")+1,"")</f>
      </c>
      <c r="AH192">
        <f>IF(AND($Q192="Disponible",$O192&lt;&gt;"Sí"),COUNTIF($AH$1:AH191,"&gt;0")+1,"")</f>
      </c>
      <c r="AI192">
        <f>IF(AND($Q192="Disponible",$K192&lt;&gt;""),COUNTIFS($K$2:K192,K192,$Q$2:Q192,"Disponible"),"")</f>
      </c>
      <c r="AJ192">
        <f>IF(AI192&lt;&gt;"",K192&amp;"|"&amp;AI192,"")</f>
      </c>
      <c r="AK192">
        <f>IF(AND($Q192="No disponible",OR($R192="Lista de espera · propio centro",$R192="Traslado de expediente",$R192="Lista de espera · otro centro"),$O192="Sí"),"la plaza ya tiene alumno y sigue marcada como refuerzo, ","")&amp;IF(AND($R192="Reconvertida en refuerzo",$O192&lt;&gt;"Sí"),"reconvertida en refuerzo pero sin marcar «En uso como refuerzo», ","")</f>
      </c>
    </row>
    <row r="193" spans="1:37">
      <c r="A193" s="20">
        <f>IF(D193&lt;&gt;"",ROW()-1,"")</f>
      </c>
      <c r="B193" s="55"/>
      <c r="C193" s="56"/>
      <c r="D193" s="56"/>
      <c r="E193" s="56"/>
      <c r="F193" s="56"/>
      <c r="G193" s="56"/>
      <c r="H193" s="56"/>
      <c r="I193" s="56"/>
      <c r="J193" s="57"/>
      <c r="K193" s="56"/>
      <c r="L193" s="58"/>
      <c r="M193" s="58">
        <f>IF(L193="","",L193)</f>
      </c>
      <c r="N193" s="56"/>
      <c r="O193" s="56"/>
      <c r="P193" s="57"/>
      <c r="Q193" s="56"/>
      <c r="R193" s="56"/>
      <c r="S193" s="56"/>
      <c r="T193" s="56"/>
      <c r="U193" s="56"/>
      <c r="V193" s="57"/>
      <c r="W193">
        <f>IF(Q193="Disponible",COUNTIFS($D$2:D193,D193,$Q$2:Q193,"Disponible"),"")</f>
      </c>
      <c r="X193">
        <f>IF(W193&lt;&gt;"",D193&amp;"|"&amp;W193,"")</f>
      </c>
      <c r="Y193">
        <f>IF(X193&lt;&gt;"",IF(K193&lt;&gt;"",K193&amp;" ("&amp;M193&amp;")",M193),"")</f>
      </c>
      <c r="Z193">
        <f>IF(O193="Sí",COUNTIFS($D$2:D193,D193,$O$2:O193,"Sí"),"")</f>
      </c>
      <c r="AA193">
        <f>IF(Z193&lt;&gt;"",D193&amp;"|"&amp;Z193,"")</f>
      </c>
      <c r="AB193">
        <f>IF(AA193&lt;&gt;"",IF(K193&lt;&gt;"",K193&amp;" ("&amp;M193&amp;")",M193),"")</f>
      </c>
      <c r="AC193">
        <f>IF($B193="","fecha, ","")&amp;IF($C193="","quién lo introduce, ","")&amp;IF($I193="","motivo, ","")&amp;IF($K193="","docente, ","")&amp;IF($L193="","horario, ","")&amp;IF($N193="","duración, ","")&amp;IF($Q193="","estado, ","")&amp;IF(AND($I193="Otros",$J193=""),"detalle del motivo, ","")&amp;IF(AND($O193="Sí",$P193=""),"detalle del refuerzo, ","")&amp;IF(AND(OR($I193="Renuncia (hasta 30 nov)",$I193="Baja (desde 1 dic)",$I193="Renuncia excepcional (art. 25.3)",$I193="Traslado de expediente"),OR($E193="",$F193="",$G193="")),"quién deja la plaza, ","")&amp;IF(AND($Q193="No disponible",$R193=""),"vía de cobertura, ","")&amp;IF(AND(OR($R193="Lista de espera · propio centro",$R193="Traslado de expediente",$R193="Lista de espera · otro centro"),OR($S193="",$T193="",$U193="")),"quién ocupa la plaza, ","")</f>
      </c>
      <c r="AD193" s="24">
        <f>IF($D193="","",IF(AND(LEN($AC193)=0,LEN($AK193)=0),"Completa",IF(LEN($AC193)=0,"Revisar: "&amp;LEFT($AK193,LEN($AK193)-2),"Falta: "&amp;LEFT($AC193,LEN($AC193)-2)&amp;IF(LEN($AK193)&gt;0,"  ·  Revisar: "&amp;LEFT($AK193,LEN($AK193)-2),""))))</f>
      </c>
      <c r="AE193">
        <f>IF(AND($D193&lt;&gt;"",OR($I193="Renuncia (hasta 30 nov)",$I193="Baja (desde 1 dic)",$I193="Renuncia excepcional (art. 25.3)",$I193="Traslado de expediente")),COUNTIF($AE$1:AE192,"&gt;0")+1,"")</f>
      </c>
      <c r="AF193">
        <f>IF($Q193="Disponible",COUNTIF($AF$1:AF192,"&gt;0")+1,"")</f>
      </c>
      <c r="AG193">
        <f>IF($O193="Sí",COUNTIF($AG$1:AG192,"&gt;0")+1,"")</f>
      </c>
      <c r="AH193">
        <f>IF(AND($Q193="Disponible",$O193&lt;&gt;"Sí"),COUNTIF($AH$1:AH192,"&gt;0")+1,"")</f>
      </c>
      <c r="AI193">
        <f>IF(AND($Q193="Disponible",$K193&lt;&gt;""),COUNTIFS($K$2:K193,K193,$Q$2:Q193,"Disponible"),"")</f>
      </c>
      <c r="AJ193">
        <f>IF(AI193&lt;&gt;"",K193&amp;"|"&amp;AI193,"")</f>
      </c>
      <c r="AK193">
        <f>IF(AND($Q193="No disponible",OR($R193="Lista de espera · propio centro",$R193="Traslado de expediente",$R193="Lista de espera · otro centro"),$O193="Sí"),"la plaza ya tiene alumno y sigue marcada como refuerzo, ","")&amp;IF(AND($R193="Reconvertida en refuerzo",$O193&lt;&gt;"Sí"),"reconvertida en refuerzo pero sin marcar «En uso como refuerzo», ","")</f>
      </c>
    </row>
    <row r="194" spans="1:37">
      <c r="A194" s="20">
        <f>IF(D194&lt;&gt;"",ROW()-1,"")</f>
      </c>
      <c r="B194" s="55"/>
      <c r="C194" s="56"/>
      <c r="D194" s="56"/>
      <c r="E194" s="56"/>
      <c r="F194" s="56"/>
      <c r="G194" s="56"/>
      <c r="H194" s="56"/>
      <c r="I194" s="56"/>
      <c r="J194" s="57"/>
      <c r="K194" s="56"/>
      <c r="L194" s="58"/>
      <c r="M194" s="58">
        <f>IF(L194="","",L194)</f>
      </c>
      <c r="N194" s="56"/>
      <c r="O194" s="56"/>
      <c r="P194" s="57"/>
      <c r="Q194" s="56"/>
      <c r="R194" s="56"/>
      <c r="S194" s="56"/>
      <c r="T194" s="56"/>
      <c r="U194" s="56"/>
      <c r="V194" s="57"/>
      <c r="W194">
        <f>IF(Q194="Disponible",COUNTIFS($D$2:D194,D194,$Q$2:Q194,"Disponible"),"")</f>
      </c>
      <c r="X194">
        <f>IF(W194&lt;&gt;"",D194&amp;"|"&amp;W194,"")</f>
      </c>
      <c r="Y194">
        <f>IF(X194&lt;&gt;"",IF(K194&lt;&gt;"",K194&amp;" ("&amp;M194&amp;")",M194),"")</f>
      </c>
      <c r="Z194">
        <f>IF(O194="Sí",COUNTIFS($D$2:D194,D194,$O$2:O194,"Sí"),"")</f>
      </c>
      <c r="AA194">
        <f>IF(Z194&lt;&gt;"",D194&amp;"|"&amp;Z194,"")</f>
      </c>
      <c r="AB194">
        <f>IF(AA194&lt;&gt;"",IF(K194&lt;&gt;"",K194&amp;" ("&amp;M194&amp;")",M194),"")</f>
      </c>
      <c r="AC194">
        <f>IF($B194="","fecha, ","")&amp;IF($C194="","quién lo introduce, ","")&amp;IF($I194="","motivo, ","")&amp;IF($K194="","docente, ","")&amp;IF($L194="","horario, ","")&amp;IF($N194="","duración, ","")&amp;IF($Q194="","estado, ","")&amp;IF(AND($I194="Otros",$J194=""),"detalle del motivo, ","")&amp;IF(AND($O194="Sí",$P194=""),"detalle del refuerzo, ","")&amp;IF(AND(OR($I194="Renuncia (hasta 30 nov)",$I194="Baja (desde 1 dic)",$I194="Renuncia excepcional (art. 25.3)",$I194="Traslado de expediente"),OR($E194="",$F194="",$G194="")),"quién deja la plaza, ","")&amp;IF(AND($Q194="No disponible",$R194=""),"vía de cobertura, ","")&amp;IF(AND(OR($R194="Lista de espera · propio centro",$R194="Traslado de expediente",$R194="Lista de espera · otro centro"),OR($S194="",$T194="",$U194="")),"quién ocupa la plaza, ","")</f>
      </c>
      <c r="AD194" s="24">
        <f>IF($D194="","",IF(AND(LEN($AC194)=0,LEN($AK194)=0),"Completa",IF(LEN($AC194)=0,"Revisar: "&amp;LEFT($AK194,LEN($AK194)-2),"Falta: "&amp;LEFT($AC194,LEN($AC194)-2)&amp;IF(LEN($AK194)&gt;0,"  ·  Revisar: "&amp;LEFT($AK194,LEN($AK194)-2),""))))</f>
      </c>
      <c r="AE194">
        <f>IF(AND($D194&lt;&gt;"",OR($I194="Renuncia (hasta 30 nov)",$I194="Baja (desde 1 dic)",$I194="Renuncia excepcional (art. 25.3)",$I194="Traslado de expediente")),COUNTIF($AE$1:AE193,"&gt;0")+1,"")</f>
      </c>
      <c r="AF194">
        <f>IF($Q194="Disponible",COUNTIF($AF$1:AF193,"&gt;0")+1,"")</f>
      </c>
      <c r="AG194">
        <f>IF($O194="Sí",COUNTIF($AG$1:AG193,"&gt;0")+1,"")</f>
      </c>
      <c r="AH194">
        <f>IF(AND($Q194="Disponible",$O194&lt;&gt;"Sí"),COUNTIF($AH$1:AH193,"&gt;0")+1,"")</f>
      </c>
      <c r="AI194">
        <f>IF(AND($Q194="Disponible",$K194&lt;&gt;""),COUNTIFS($K$2:K194,K194,$Q$2:Q194,"Disponible"),"")</f>
      </c>
      <c r="AJ194">
        <f>IF(AI194&lt;&gt;"",K194&amp;"|"&amp;AI194,"")</f>
      </c>
      <c r="AK194">
        <f>IF(AND($Q194="No disponible",OR($R194="Lista de espera · propio centro",$R194="Traslado de expediente",$R194="Lista de espera · otro centro"),$O194="Sí"),"la plaza ya tiene alumno y sigue marcada como refuerzo, ","")&amp;IF(AND($R194="Reconvertida en refuerzo",$O194&lt;&gt;"Sí"),"reconvertida en refuerzo pero sin marcar «En uso como refuerzo», ","")</f>
      </c>
    </row>
    <row r="195" spans="1:37">
      <c r="A195" s="20">
        <f>IF(D195&lt;&gt;"",ROW()-1,"")</f>
      </c>
      <c r="B195" s="55"/>
      <c r="C195" s="56"/>
      <c r="D195" s="56"/>
      <c r="E195" s="56"/>
      <c r="F195" s="56"/>
      <c r="G195" s="56"/>
      <c r="H195" s="56"/>
      <c r="I195" s="56"/>
      <c r="J195" s="57"/>
      <c r="K195" s="56"/>
      <c r="L195" s="58"/>
      <c r="M195" s="58">
        <f>IF(L195="","",L195)</f>
      </c>
      <c r="N195" s="56"/>
      <c r="O195" s="56"/>
      <c r="P195" s="57"/>
      <c r="Q195" s="56"/>
      <c r="R195" s="56"/>
      <c r="S195" s="56"/>
      <c r="T195" s="56"/>
      <c r="U195" s="56"/>
      <c r="V195" s="57"/>
      <c r="W195">
        <f>IF(Q195="Disponible",COUNTIFS($D$2:D195,D195,$Q$2:Q195,"Disponible"),"")</f>
      </c>
      <c r="X195">
        <f>IF(W195&lt;&gt;"",D195&amp;"|"&amp;W195,"")</f>
      </c>
      <c r="Y195">
        <f>IF(X195&lt;&gt;"",IF(K195&lt;&gt;"",K195&amp;" ("&amp;M195&amp;")",M195),"")</f>
      </c>
      <c r="Z195">
        <f>IF(O195="Sí",COUNTIFS($D$2:D195,D195,$O$2:O195,"Sí"),"")</f>
      </c>
      <c r="AA195">
        <f>IF(Z195&lt;&gt;"",D195&amp;"|"&amp;Z195,"")</f>
      </c>
      <c r="AB195">
        <f>IF(AA195&lt;&gt;"",IF(K195&lt;&gt;"",K195&amp;" ("&amp;M195&amp;")",M195),"")</f>
      </c>
      <c r="AC195">
        <f>IF($B195="","fecha, ","")&amp;IF($C195="","quién lo introduce, ","")&amp;IF($I195="","motivo, ","")&amp;IF($K195="","docente, ","")&amp;IF($L195="","horario, ","")&amp;IF($N195="","duración, ","")&amp;IF($Q195="","estado, ","")&amp;IF(AND($I195="Otros",$J195=""),"detalle del motivo, ","")&amp;IF(AND($O195="Sí",$P195=""),"detalle del refuerzo, ","")&amp;IF(AND(OR($I195="Renuncia (hasta 30 nov)",$I195="Baja (desde 1 dic)",$I195="Renuncia excepcional (art. 25.3)",$I195="Traslado de expediente"),OR($E195="",$F195="",$G195="")),"quién deja la plaza, ","")&amp;IF(AND($Q195="No disponible",$R195=""),"vía de cobertura, ","")&amp;IF(AND(OR($R195="Lista de espera · propio centro",$R195="Traslado de expediente",$R195="Lista de espera · otro centro"),OR($S195="",$T195="",$U195="")),"quién ocupa la plaza, ","")</f>
      </c>
      <c r="AD195" s="24">
        <f>IF($D195="","",IF(AND(LEN($AC195)=0,LEN($AK195)=0),"Completa",IF(LEN($AC195)=0,"Revisar: "&amp;LEFT($AK195,LEN($AK195)-2),"Falta: "&amp;LEFT($AC195,LEN($AC195)-2)&amp;IF(LEN($AK195)&gt;0,"  ·  Revisar: "&amp;LEFT($AK195,LEN($AK195)-2),""))))</f>
      </c>
      <c r="AE195">
        <f>IF(AND($D195&lt;&gt;"",OR($I195="Renuncia (hasta 30 nov)",$I195="Baja (desde 1 dic)",$I195="Renuncia excepcional (art. 25.3)",$I195="Traslado de expediente")),COUNTIF($AE$1:AE194,"&gt;0")+1,"")</f>
      </c>
      <c r="AF195">
        <f>IF($Q195="Disponible",COUNTIF($AF$1:AF194,"&gt;0")+1,"")</f>
      </c>
      <c r="AG195">
        <f>IF($O195="Sí",COUNTIF($AG$1:AG194,"&gt;0")+1,"")</f>
      </c>
      <c r="AH195">
        <f>IF(AND($Q195="Disponible",$O195&lt;&gt;"Sí"),COUNTIF($AH$1:AH194,"&gt;0")+1,"")</f>
      </c>
      <c r="AI195">
        <f>IF(AND($Q195="Disponible",$K195&lt;&gt;""),COUNTIFS($K$2:K195,K195,$Q$2:Q195,"Disponible"),"")</f>
      </c>
      <c r="AJ195">
        <f>IF(AI195&lt;&gt;"",K195&amp;"|"&amp;AI195,"")</f>
      </c>
      <c r="AK195">
        <f>IF(AND($Q195="No disponible",OR($R195="Lista de espera · propio centro",$R195="Traslado de expediente",$R195="Lista de espera · otro centro"),$O195="Sí"),"la plaza ya tiene alumno y sigue marcada como refuerzo, ","")&amp;IF(AND($R195="Reconvertida en refuerzo",$O195&lt;&gt;"Sí"),"reconvertida en refuerzo pero sin marcar «En uso como refuerzo», ","")</f>
      </c>
    </row>
    <row r="196" spans="1:37">
      <c r="A196" s="20">
        <f>IF(D196&lt;&gt;"",ROW()-1,"")</f>
      </c>
      <c r="B196" s="55"/>
      <c r="C196" s="56"/>
      <c r="D196" s="56"/>
      <c r="E196" s="56"/>
      <c r="F196" s="56"/>
      <c r="G196" s="56"/>
      <c r="H196" s="56"/>
      <c r="I196" s="56"/>
      <c r="J196" s="57"/>
      <c r="K196" s="56"/>
      <c r="L196" s="58"/>
      <c r="M196" s="58">
        <f>IF(L196="","",L196)</f>
      </c>
      <c r="N196" s="56"/>
      <c r="O196" s="56"/>
      <c r="P196" s="57"/>
      <c r="Q196" s="56"/>
      <c r="R196" s="56"/>
      <c r="S196" s="56"/>
      <c r="T196" s="56"/>
      <c r="U196" s="56"/>
      <c r="V196" s="57"/>
      <c r="W196">
        <f>IF(Q196="Disponible",COUNTIFS($D$2:D196,D196,$Q$2:Q196,"Disponible"),"")</f>
      </c>
      <c r="X196">
        <f>IF(W196&lt;&gt;"",D196&amp;"|"&amp;W196,"")</f>
      </c>
      <c r="Y196">
        <f>IF(X196&lt;&gt;"",IF(K196&lt;&gt;"",K196&amp;" ("&amp;M196&amp;")",M196),"")</f>
      </c>
      <c r="Z196">
        <f>IF(O196="Sí",COUNTIFS($D$2:D196,D196,$O$2:O196,"Sí"),"")</f>
      </c>
      <c r="AA196">
        <f>IF(Z196&lt;&gt;"",D196&amp;"|"&amp;Z196,"")</f>
      </c>
      <c r="AB196">
        <f>IF(AA196&lt;&gt;"",IF(K196&lt;&gt;"",K196&amp;" ("&amp;M196&amp;")",M196),"")</f>
      </c>
      <c r="AC196">
        <f>IF($B196="","fecha, ","")&amp;IF($C196="","quién lo introduce, ","")&amp;IF($I196="","motivo, ","")&amp;IF($K196="","docente, ","")&amp;IF($L196="","horario, ","")&amp;IF($N196="","duración, ","")&amp;IF($Q196="","estado, ","")&amp;IF(AND($I196="Otros",$J196=""),"detalle del motivo, ","")&amp;IF(AND($O196="Sí",$P196=""),"detalle del refuerzo, ","")&amp;IF(AND(OR($I196="Renuncia (hasta 30 nov)",$I196="Baja (desde 1 dic)",$I196="Renuncia excepcional (art. 25.3)",$I196="Traslado de expediente"),OR($E196="",$F196="",$G196="")),"quién deja la plaza, ","")&amp;IF(AND($Q196="No disponible",$R196=""),"vía de cobertura, ","")&amp;IF(AND(OR($R196="Lista de espera · propio centro",$R196="Traslado de expediente",$R196="Lista de espera · otro centro"),OR($S196="",$T196="",$U196="")),"quién ocupa la plaza, ","")</f>
      </c>
      <c r="AD196" s="24">
        <f>IF($D196="","",IF(AND(LEN($AC196)=0,LEN($AK196)=0),"Completa",IF(LEN($AC196)=0,"Revisar: "&amp;LEFT($AK196,LEN($AK196)-2),"Falta: "&amp;LEFT($AC196,LEN($AC196)-2)&amp;IF(LEN($AK196)&gt;0,"  ·  Revisar: "&amp;LEFT($AK196,LEN($AK196)-2),""))))</f>
      </c>
      <c r="AE196">
        <f>IF(AND($D196&lt;&gt;"",OR($I196="Renuncia (hasta 30 nov)",$I196="Baja (desde 1 dic)",$I196="Renuncia excepcional (art. 25.3)",$I196="Traslado de expediente")),COUNTIF($AE$1:AE195,"&gt;0")+1,"")</f>
      </c>
      <c r="AF196">
        <f>IF($Q196="Disponible",COUNTIF($AF$1:AF195,"&gt;0")+1,"")</f>
      </c>
      <c r="AG196">
        <f>IF($O196="Sí",COUNTIF($AG$1:AG195,"&gt;0")+1,"")</f>
      </c>
      <c r="AH196">
        <f>IF(AND($Q196="Disponible",$O196&lt;&gt;"Sí"),COUNTIF($AH$1:AH195,"&gt;0")+1,"")</f>
      </c>
      <c r="AI196">
        <f>IF(AND($Q196="Disponible",$K196&lt;&gt;""),COUNTIFS($K$2:K196,K196,$Q$2:Q196,"Disponible"),"")</f>
      </c>
      <c r="AJ196">
        <f>IF(AI196&lt;&gt;"",K196&amp;"|"&amp;AI196,"")</f>
      </c>
      <c r="AK196">
        <f>IF(AND($Q196="No disponible",OR($R196="Lista de espera · propio centro",$R196="Traslado de expediente",$R196="Lista de espera · otro centro"),$O196="Sí"),"la plaza ya tiene alumno y sigue marcada como refuerzo, ","")&amp;IF(AND($R196="Reconvertida en refuerzo",$O196&lt;&gt;"Sí"),"reconvertida en refuerzo pero sin marcar «En uso como refuerzo», ","")</f>
      </c>
    </row>
    <row r="197" spans="1:37">
      <c r="A197" s="20">
        <f>IF(D197&lt;&gt;"",ROW()-1,"")</f>
      </c>
      <c r="B197" s="55"/>
      <c r="C197" s="56"/>
      <c r="D197" s="56"/>
      <c r="E197" s="56"/>
      <c r="F197" s="56"/>
      <c r="G197" s="56"/>
      <c r="H197" s="56"/>
      <c r="I197" s="56"/>
      <c r="J197" s="57"/>
      <c r="K197" s="56"/>
      <c r="L197" s="58"/>
      <c r="M197" s="58">
        <f>IF(L197="","",L197)</f>
      </c>
      <c r="N197" s="56"/>
      <c r="O197" s="56"/>
      <c r="P197" s="57"/>
      <c r="Q197" s="56"/>
      <c r="R197" s="56"/>
      <c r="S197" s="56"/>
      <c r="T197" s="56"/>
      <c r="U197" s="56"/>
      <c r="V197" s="57"/>
      <c r="W197">
        <f>IF(Q197="Disponible",COUNTIFS($D$2:D197,D197,$Q$2:Q197,"Disponible"),"")</f>
      </c>
      <c r="X197">
        <f>IF(W197&lt;&gt;"",D197&amp;"|"&amp;W197,"")</f>
      </c>
      <c r="Y197">
        <f>IF(X197&lt;&gt;"",IF(K197&lt;&gt;"",K197&amp;" ("&amp;M197&amp;")",M197),"")</f>
      </c>
      <c r="Z197">
        <f>IF(O197="Sí",COUNTIFS($D$2:D197,D197,$O$2:O197,"Sí"),"")</f>
      </c>
      <c r="AA197">
        <f>IF(Z197&lt;&gt;"",D197&amp;"|"&amp;Z197,"")</f>
      </c>
      <c r="AB197">
        <f>IF(AA197&lt;&gt;"",IF(K197&lt;&gt;"",K197&amp;" ("&amp;M197&amp;")",M197),"")</f>
      </c>
      <c r="AC197">
        <f>IF($B197="","fecha, ","")&amp;IF($C197="","quién lo introduce, ","")&amp;IF($I197="","motivo, ","")&amp;IF($K197="","docente, ","")&amp;IF($L197="","horario, ","")&amp;IF($N197="","duración, ","")&amp;IF($Q197="","estado, ","")&amp;IF(AND($I197="Otros",$J197=""),"detalle del motivo, ","")&amp;IF(AND($O197="Sí",$P197=""),"detalle del refuerzo, ","")&amp;IF(AND(OR($I197="Renuncia (hasta 30 nov)",$I197="Baja (desde 1 dic)",$I197="Renuncia excepcional (art. 25.3)",$I197="Traslado de expediente"),OR($E197="",$F197="",$G197="")),"quién deja la plaza, ","")&amp;IF(AND($Q197="No disponible",$R197=""),"vía de cobertura, ","")&amp;IF(AND(OR($R197="Lista de espera · propio centro",$R197="Traslado de expediente",$R197="Lista de espera · otro centro"),OR($S197="",$T197="",$U197="")),"quién ocupa la plaza, ","")</f>
      </c>
      <c r="AD197" s="24">
        <f>IF($D197="","",IF(AND(LEN($AC197)=0,LEN($AK197)=0),"Completa",IF(LEN($AC197)=0,"Revisar: "&amp;LEFT($AK197,LEN($AK197)-2),"Falta: "&amp;LEFT($AC197,LEN($AC197)-2)&amp;IF(LEN($AK197)&gt;0,"  ·  Revisar: "&amp;LEFT($AK197,LEN($AK197)-2),""))))</f>
      </c>
      <c r="AE197">
        <f>IF(AND($D197&lt;&gt;"",OR($I197="Renuncia (hasta 30 nov)",$I197="Baja (desde 1 dic)",$I197="Renuncia excepcional (art. 25.3)",$I197="Traslado de expediente")),COUNTIF($AE$1:AE196,"&gt;0")+1,"")</f>
      </c>
      <c r="AF197">
        <f>IF($Q197="Disponible",COUNTIF($AF$1:AF196,"&gt;0")+1,"")</f>
      </c>
      <c r="AG197">
        <f>IF($O197="Sí",COUNTIF($AG$1:AG196,"&gt;0")+1,"")</f>
      </c>
      <c r="AH197">
        <f>IF(AND($Q197="Disponible",$O197&lt;&gt;"Sí"),COUNTIF($AH$1:AH196,"&gt;0")+1,"")</f>
      </c>
      <c r="AI197">
        <f>IF(AND($Q197="Disponible",$K197&lt;&gt;""),COUNTIFS($K$2:K197,K197,$Q$2:Q197,"Disponible"),"")</f>
      </c>
      <c r="AJ197">
        <f>IF(AI197&lt;&gt;"",K197&amp;"|"&amp;AI197,"")</f>
      </c>
      <c r="AK197">
        <f>IF(AND($Q197="No disponible",OR($R197="Lista de espera · propio centro",$R197="Traslado de expediente",$R197="Lista de espera · otro centro"),$O197="Sí"),"la plaza ya tiene alumno y sigue marcada como refuerzo, ","")&amp;IF(AND($R197="Reconvertida en refuerzo",$O197&lt;&gt;"Sí"),"reconvertida en refuerzo pero sin marcar «En uso como refuerzo», ","")</f>
      </c>
    </row>
    <row r="198" spans="1:37">
      <c r="A198" s="20">
        <f>IF(D198&lt;&gt;"",ROW()-1,"")</f>
      </c>
      <c r="B198" s="55"/>
      <c r="C198" s="56"/>
      <c r="D198" s="56"/>
      <c r="E198" s="56"/>
      <c r="F198" s="56"/>
      <c r="G198" s="56"/>
      <c r="H198" s="56"/>
      <c r="I198" s="56"/>
      <c r="J198" s="57"/>
      <c r="K198" s="56"/>
      <c r="L198" s="58"/>
      <c r="M198" s="58">
        <f>IF(L198="","",L198)</f>
      </c>
      <c r="N198" s="56"/>
      <c r="O198" s="56"/>
      <c r="P198" s="57"/>
      <c r="Q198" s="56"/>
      <c r="R198" s="56"/>
      <c r="S198" s="56"/>
      <c r="T198" s="56"/>
      <c r="U198" s="56"/>
      <c r="V198" s="57"/>
      <c r="W198">
        <f>IF(Q198="Disponible",COUNTIFS($D$2:D198,D198,$Q$2:Q198,"Disponible"),"")</f>
      </c>
      <c r="X198">
        <f>IF(W198&lt;&gt;"",D198&amp;"|"&amp;W198,"")</f>
      </c>
      <c r="Y198">
        <f>IF(X198&lt;&gt;"",IF(K198&lt;&gt;"",K198&amp;" ("&amp;M198&amp;")",M198),"")</f>
      </c>
      <c r="Z198">
        <f>IF(O198="Sí",COUNTIFS($D$2:D198,D198,$O$2:O198,"Sí"),"")</f>
      </c>
      <c r="AA198">
        <f>IF(Z198&lt;&gt;"",D198&amp;"|"&amp;Z198,"")</f>
      </c>
      <c r="AB198">
        <f>IF(AA198&lt;&gt;"",IF(K198&lt;&gt;"",K198&amp;" ("&amp;M198&amp;")",M198),"")</f>
      </c>
      <c r="AC198">
        <f>IF($B198="","fecha, ","")&amp;IF($C198="","quién lo introduce, ","")&amp;IF($I198="","motivo, ","")&amp;IF($K198="","docente, ","")&amp;IF($L198="","horario, ","")&amp;IF($N198="","duración, ","")&amp;IF($Q198="","estado, ","")&amp;IF(AND($I198="Otros",$J198=""),"detalle del motivo, ","")&amp;IF(AND($O198="Sí",$P198=""),"detalle del refuerzo, ","")&amp;IF(AND(OR($I198="Renuncia (hasta 30 nov)",$I198="Baja (desde 1 dic)",$I198="Renuncia excepcional (art. 25.3)",$I198="Traslado de expediente"),OR($E198="",$F198="",$G198="")),"quién deja la plaza, ","")&amp;IF(AND($Q198="No disponible",$R198=""),"vía de cobertura, ","")&amp;IF(AND(OR($R198="Lista de espera · propio centro",$R198="Traslado de expediente",$R198="Lista de espera · otro centro"),OR($S198="",$T198="",$U198="")),"quién ocupa la plaza, ","")</f>
      </c>
      <c r="AD198" s="24">
        <f>IF($D198="","",IF(AND(LEN($AC198)=0,LEN($AK198)=0),"Completa",IF(LEN($AC198)=0,"Revisar: "&amp;LEFT($AK198,LEN($AK198)-2),"Falta: "&amp;LEFT($AC198,LEN($AC198)-2)&amp;IF(LEN($AK198)&gt;0,"  ·  Revisar: "&amp;LEFT($AK198,LEN($AK198)-2),""))))</f>
      </c>
      <c r="AE198">
        <f>IF(AND($D198&lt;&gt;"",OR($I198="Renuncia (hasta 30 nov)",$I198="Baja (desde 1 dic)",$I198="Renuncia excepcional (art. 25.3)",$I198="Traslado de expediente")),COUNTIF($AE$1:AE197,"&gt;0")+1,"")</f>
      </c>
      <c r="AF198">
        <f>IF($Q198="Disponible",COUNTIF($AF$1:AF197,"&gt;0")+1,"")</f>
      </c>
      <c r="AG198">
        <f>IF($O198="Sí",COUNTIF($AG$1:AG197,"&gt;0")+1,"")</f>
      </c>
      <c r="AH198">
        <f>IF(AND($Q198="Disponible",$O198&lt;&gt;"Sí"),COUNTIF($AH$1:AH197,"&gt;0")+1,"")</f>
      </c>
      <c r="AI198">
        <f>IF(AND($Q198="Disponible",$K198&lt;&gt;""),COUNTIFS($K$2:K198,K198,$Q$2:Q198,"Disponible"),"")</f>
      </c>
      <c r="AJ198">
        <f>IF(AI198&lt;&gt;"",K198&amp;"|"&amp;AI198,"")</f>
      </c>
      <c r="AK198">
        <f>IF(AND($Q198="No disponible",OR($R198="Lista de espera · propio centro",$R198="Traslado de expediente",$R198="Lista de espera · otro centro"),$O198="Sí"),"la plaza ya tiene alumno y sigue marcada como refuerzo, ","")&amp;IF(AND($R198="Reconvertida en refuerzo",$O198&lt;&gt;"Sí"),"reconvertida en refuerzo pero sin marcar «En uso como refuerzo», ","")</f>
      </c>
    </row>
    <row r="199" spans="1:37">
      <c r="A199" s="20">
        <f>IF(D199&lt;&gt;"",ROW()-1,"")</f>
      </c>
      <c r="B199" s="55"/>
      <c r="C199" s="56"/>
      <c r="D199" s="56"/>
      <c r="E199" s="56"/>
      <c r="F199" s="56"/>
      <c r="G199" s="56"/>
      <c r="H199" s="56"/>
      <c r="I199" s="56"/>
      <c r="J199" s="57"/>
      <c r="K199" s="56"/>
      <c r="L199" s="58"/>
      <c r="M199" s="58">
        <f>IF(L199="","",L199)</f>
      </c>
      <c r="N199" s="56"/>
      <c r="O199" s="56"/>
      <c r="P199" s="57"/>
      <c r="Q199" s="56"/>
      <c r="R199" s="56"/>
      <c r="S199" s="56"/>
      <c r="T199" s="56"/>
      <c r="U199" s="56"/>
      <c r="V199" s="57"/>
      <c r="W199">
        <f>IF(Q199="Disponible",COUNTIFS($D$2:D199,D199,$Q$2:Q199,"Disponible"),"")</f>
      </c>
      <c r="X199">
        <f>IF(W199&lt;&gt;"",D199&amp;"|"&amp;W199,"")</f>
      </c>
      <c r="Y199">
        <f>IF(X199&lt;&gt;"",IF(K199&lt;&gt;"",K199&amp;" ("&amp;M199&amp;")",M199),"")</f>
      </c>
      <c r="Z199">
        <f>IF(O199="Sí",COUNTIFS($D$2:D199,D199,$O$2:O199,"Sí"),"")</f>
      </c>
      <c r="AA199">
        <f>IF(Z199&lt;&gt;"",D199&amp;"|"&amp;Z199,"")</f>
      </c>
      <c r="AB199">
        <f>IF(AA199&lt;&gt;"",IF(K199&lt;&gt;"",K199&amp;" ("&amp;M199&amp;")",M199),"")</f>
      </c>
      <c r="AC199">
        <f>IF($B199="","fecha, ","")&amp;IF($C199="","quién lo introduce, ","")&amp;IF($I199="","motivo, ","")&amp;IF($K199="","docente, ","")&amp;IF($L199="","horario, ","")&amp;IF($N199="","duración, ","")&amp;IF($Q199="","estado, ","")&amp;IF(AND($I199="Otros",$J199=""),"detalle del motivo, ","")&amp;IF(AND($O199="Sí",$P199=""),"detalle del refuerzo, ","")&amp;IF(AND(OR($I199="Renuncia (hasta 30 nov)",$I199="Baja (desde 1 dic)",$I199="Renuncia excepcional (art. 25.3)",$I199="Traslado de expediente"),OR($E199="",$F199="",$G199="")),"quién deja la plaza, ","")&amp;IF(AND($Q199="No disponible",$R199=""),"vía de cobertura, ","")&amp;IF(AND(OR($R199="Lista de espera · propio centro",$R199="Traslado de expediente",$R199="Lista de espera · otro centro"),OR($S199="",$T199="",$U199="")),"quién ocupa la plaza, ","")</f>
      </c>
      <c r="AD199" s="24">
        <f>IF($D199="","",IF(AND(LEN($AC199)=0,LEN($AK199)=0),"Completa",IF(LEN($AC199)=0,"Revisar: "&amp;LEFT($AK199,LEN($AK199)-2),"Falta: "&amp;LEFT($AC199,LEN($AC199)-2)&amp;IF(LEN($AK199)&gt;0,"  ·  Revisar: "&amp;LEFT($AK199,LEN($AK199)-2),""))))</f>
      </c>
      <c r="AE199">
        <f>IF(AND($D199&lt;&gt;"",OR($I199="Renuncia (hasta 30 nov)",$I199="Baja (desde 1 dic)",$I199="Renuncia excepcional (art. 25.3)",$I199="Traslado de expediente")),COUNTIF($AE$1:AE198,"&gt;0")+1,"")</f>
      </c>
      <c r="AF199">
        <f>IF($Q199="Disponible",COUNTIF($AF$1:AF198,"&gt;0")+1,"")</f>
      </c>
      <c r="AG199">
        <f>IF($O199="Sí",COUNTIF($AG$1:AG198,"&gt;0")+1,"")</f>
      </c>
      <c r="AH199">
        <f>IF(AND($Q199="Disponible",$O199&lt;&gt;"Sí"),COUNTIF($AH$1:AH198,"&gt;0")+1,"")</f>
      </c>
      <c r="AI199">
        <f>IF(AND($Q199="Disponible",$K199&lt;&gt;""),COUNTIFS($K$2:K199,K199,$Q$2:Q199,"Disponible"),"")</f>
      </c>
      <c r="AJ199">
        <f>IF(AI199&lt;&gt;"",K199&amp;"|"&amp;AI199,"")</f>
      </c>
      <c r="AK199">
        <f>IF(AND($Q199="No disponible",OR($R199="Lista de espera · propio centro",$R199="Traslado de expediente",$R199="Lista de espera · otro centro"),$O199="Sí"),"la plaza ya tiene alumno y sigue marcada como refuerzo, ","")&amp;IF(AND($R199="Reconvertida en refuerzo",$O199&lt;&gt;"Sí"),"reconvertida en refuerzo pero sin marcar «En uso como refuerzo», ","")</f>
      </c>
    </row>
    <row r="200" spans="1:37">
      <c r="A200" s="20">
        <f>IF(D200&lt;&gt;"",ROW()-1,"")</f>
      </c>
      <c r="B200" s="55"/>
      <c r="C200" s="56"/>
      <c r="D200" s="56"/>
      <c r="E200" s="56"/>
      <c r="F200" s="56"/>
      <c r="G200" s="56"/>
      <c r="H200" s="56"/>
      <c r="I200" s="56"/>
      <c r="J200" s="57"/>
      <c r="K200" s="56"/>
      <c r="L200" s="58"/>
      <c r="M200" s="58">
        <f>IF(L200="","",L200)</f>
      </c>
      <c r="N200" s="56"/>
      <c r="O200" s="56"/>
      <c r="P200" s="57"/>
      <c r="Q200" s="56"/>
      <c r="R200" s="56"/>
      <c r="S200" s="56"/>
      <c r="T200" s="56"/>
      <c r="U200" s="56"/>
      <c r="V200" s="57"/>
      <c r="W200">
        <f>IF(Q200="Disponible",COUNTIFS($D$2:D200,D200,$Q$2:Q200,"Disponible"),"")</f>
      </c>
      <c r="X200">
        <f>IF(W200&lt;&gt;"",D200&amp;"|"&amp;W200,"")</f>
      </c>
      <c r="Y200">
        <f>IF(X200&lt;&gt;"",IF(K200&lt;&gt;"",K200&amp;" ("&amp;M200&amp;")",M200),"")</f>
      </c>
      <c r="Z200">
        <f>IF(O200="Sí",COUNTIFS($D$2:D200,D200,$O$2:O200,"Sí"),"")</f>
      </c>
      <c r="AA200">
        <f>IF(Z200&lt;&gt;"",D200&amp;"|"&amp;Z200,"")</f>
      </c>
      <c r="AB200">
        <f>IF(AA200&lt;&gt;"",IF(K200&lt;&gt;"",K200&amp;" ("&amp;M200&amp;")",M200),"")</f>
      </c>
      <c r="AC200">
        <f>IF($B200="","fecha, ","")&amp;IF($C200="","quién lo introduce, ","")&amp;IF($I200="","motivo, ","")&amp;IF($K200="","docente, ","")&amp;IF($L200="","horario, ","")&amp;IF($N200="","duración, ","")&amp;IF($Q200="","estado, ","")&amp;IF(AND($I200="Otros",$J200=""),"detalle del motivo, ","")&amp;IF(AND($O200="Sí",$P200=""),"detalle del refuerzo, ","")&amp;IF(AND(OR($I200="Renuncia (hasta 30 nov)",$I200="Baja (desde 1 dic)",$I200="Renuncia excepcional (art. 25.3)",$I200="Traslado de expediente"),OR($E200="",$F200="",$G200="")),"quién deja la plaza, ","")&amp;IF(AND($Q200="No disponible",$R200=""),"vía de cobertura, ","")&amp;IF(AND(OR($R200="Lista de espera · propio centro",$R200="Traslado de expediente",$R200="Lista de espera · otro centro"),OR($S200="",$T200="",$U200="")),"quién ocupa la plaza, ","")</f>
      </c>
      <c r="AD200" s="24">
        <f>IF($D200="","",IF(AND(LEN($AC200)=0,LEN($AK200)=0),"Completa",IF(LEN($AC200)=0,"Revisar: "&amp;LEFT($AK200,LEN($AK200)-2),"Falta: "&amp;LEFT($AC200,LEN($AC200)-2)&amp;IF(LEN($AK200)&gt;0,"  ·  Revisar: "&amp;LEFT($AK200,LEN($AK200)-2),""))))</f>
      </c>
      <c r="AE200">
        <f>IF(AND($D200&lt;&gt;"",OR($I200="Renuncia (hasta 30 nov)",$I200="Baja (desde 1 dic)",$I200="Renuncia excepcional (art. 25.3)",$I200="Traslado de expediente")),COUNTIF($AE$1:AE199,"&gt;0")+1,"")</f>
      </c>
      <c r="AF200">
        <f>IF($Q200="Disponible",COUNTIF($AF$1:AF199,"&gt;0")+1,"")</f>
      </c>
      <c r="AG200">
        <f>IF($O200="Sí",COUNTIF($AG$1:AG199,"&gt;0")+1,"")</f>
      </c>
      <c r="AH200">
        <f>IF(AND($Q200="Disponible",$O200&lt;&gt;"Sí"),COUNTIF($AH$1:AH199,"&gt;0")+1,"")</f>
      </c>
      <c r="AI200">
        <f>IF(AND($Q200="Disponible",$K200&lt;&gt;""),COUNTIFS($K$2:K200,K200,$Q$2:Q200,"Disponible"),"")</f>
      </c>
      <c r="AJ200">
        <f>IF(AI200&lt;&gt;"",K200&amp;"|"&amp;AI200,"")</f>
      </c>
      <c r="AK200">
        <f>IF(AND($Q200="No disponible",OR($R200="Lista de espera · propio centro",$R200="Traslado de expediente",$R200="Lista de espera · otro centro"),$O200="Sí"),"la plaza ya tiene alumno y sigue marcada como refuerzo, ","")&amp;IF(AND($R200="Reconvertida en refuerzo",$O200&lt;&gt;"Sí"),"reconvertida en refuerzo pero sin marcar «En uso como refuerzo», ","")</f>
      </c>
    </row>
    <row r="201" spans="1:37">
      <c r="A201" s="20">
        <f>IF(D201&lt;&gt;"",ROW()-1,"")</f>
      </c>
      <c r="B201" s="55"/>
      <c r="C201" s="56"/>
      <c r="D201" s="56"/>
      <c r="E201" s="56"/>
      <c r="F201" s="56"/>
      <c r="G201" s="56"/>
      <c r="H201" s="56"/>
      <c r="I201" s="56"/>
      <c r="J201" s="57"/>
      <c r="K201" s="56"/>
      <c r="L201" s="58"/>
      <c r="M201" s="58">
        <f>IF(L201="","",L201)</f>
      </c>
      <c r="N201" s="56"/>
      <c r="O201" s="56"/>
      <c r="P201" s="57"/>
      <c r="Q201" s="56"/>
      <c r="R201" s="56"/>
      <c r="S201" s="56"/>
      <c r="T201" s="56"/>
      <c r="U201" s="56"/>
      <c r="V201" s="57"/>
      <c r="W201">
        <f>IF(Q201="Disponible",COUNTIFS($D$2:D201,D201,$Q$2:Q201,"Disponible"),"")</f>
      </c>
      <c r="X201">
        <f>IF(W201&lt;&gt;"",D201&amp;"|"&amp;W201,"")</f>
      </c>
      <c r="Y201">
        <f>IF(X201&lt;&gt;"",IF(K201&lt;&gt;"",K201&amp;" ("&amp;M201&amp;")",M201),"")</f>
      </c>
      <c r="Z201">
        <f>IF(O201="Sí",COUNTIFS($D$2:D201,D201,$O$2:O201,"Sí"),"")</f>
      </c>
      <c r="AA201">
        <f>IF(Z201&lt;&gt;"",D201&amp;"|"&amp;Z201,"")</f>
      </c>
      <c r="AB201">
        <f>IF(AA201&lt;&gt;"",IF(K201&lt;&gt;"",K201&amp;" ("&amp;M201&amp;")",M201),"")</f>
      </c>
      <c r="AC201">
        <f>IF($B201="","fecha, ","")&amp;IF($C201="","quién lo introduce, ","")&amp;IF($I201="","motivo, ","")&amp;IF($K201="","docente, ","")&amp;IF($L201="","horario, ","")&amp;IF($N201="","duración, ","")&amp;IF($Q201="","estado, ","")&amp;IF(AND($I201="Otros",$J201=""),"detalle del motivo, ","")&amp;IF(AND($O201="Sí",$P201=""),"detalle del refuerzo, ","")&amp;IF(AND(OR($I201="Renuncia (hasta 30 nov)",$I201="Baja (desde 1 dic)",$I201="Renuncia excepcional (art. 25.3)",$I201="Traslado de expediente"),OR($E201="",$F201="",$G201="")),"quién deja la plaza, ","")&amp;IF(AND($Q201="No disponible",$R201=""),"vía de cobertura, ","")&amp;IF(AND(OR($R201="Lista de espera · propio centro",$R201="Traslado de expediente",$R201="Lista de espera · otro centro"),OR($S201="",$T201="",$U201="")),"quién ocupa la plaza, ","")</f>
      </c>
      <c r="AD201" s="24">
        <f>IF($D201="","",IF(AND(LEN($AC201)=0,LEN($AK201)=0),"Completa",IF(LEN($AC201)=0,"Revisar: "&amp;LEFT($AK201,LEN($AK201)-2),"Falta: "&amp;LEFT($AC201,LEN($AC201)-2)&amp;IF(LEN($AK201)&gt;0,"  ·  Revisar: "&amp;LEFT($AK201,LEN($AK201)-2),""))))</f>
      </c>
      <c r="AE201">
        <f>IF(AND($D201&lt;&gt;"",OR($I201="Renuncia (hasta 30 nov)",$I201="Baja (desde 1 dic)",$I201="Renuncia excepcional (art. 25.3)",$I201="Traslado de expediente")),COUNTIF($AE$1:AE200,"&gt;0")+1,"")</f>
      </c>
      <c r="AF201">
        <f>IF($Q201="Disponible",COUNTIF($AF$1:AF200,"&gt;0")+1,"")</f>
      </c>
      <c r="AG201">
        <f>IF($O201="Sí",COUNTIF($AG$1:AG200,"&gt;0")+1,"")</f>
      </c>
      <c r="AH201">
        <f>IF(AND($Q201="Disponible",$O201&lt;&gt;"Sí"),COUNTIF($AH$1:AH200,"&gt;0")+1,"")</f>
      </c>
      <c r="AI201">
        <f>IF(AND($Q201="Disponible",$K201&lt;&gt;""),COUNTIFS($K$2:K201,K201,$Q$2:Q201,"Disponible"),"")</f>
      </c>
      <c r="AJ201">
        <f>IF(AI201&lt;&gt;"",K201&amp;"|"&amp;AI201,"")</f>
      </c>
      <c r="AK201">
        <f>IF(AND($Q201="No disponible",OR($R201="Lista de espera · propio centro",$R201="Traslado de expediente",$R201="Lista de espera · otro centro"),$O201="Sí"),"la plaza ya tiene alumno y sigue marcada como refuerzo, ","")&amp;IF(AND($R201="Reconvertida en refuerzo",$O201&lt;&gt;"Sí"),"reconvertida en refuerzo pero sin marcar «En uso como refuerzo», ","")</f>
      </c>
    </row>
    <row r="202" spans="1:37">
      <c r="A202" s="20">
        <f>IF(D202&lt;&gt;"",ROW()-1,"")</f>
      </c>
      <c r="B202" s="55"/>
      <c r="C202" s="56"/>
      <c r="D202" s="56"/>
      <c r="E202" s="56"/>
      <c r="F202" s="56"/>
      <c r="G202" s="56"/>
      <c r="H202" s="56"/>
      <c r="I202" s="56"/>
      <c r="J202" s="57"/>
      <c r="K202" s="56"/>
      <c r="L202" s="58"/>
      <c r="M202" s="58">
        <f>IF(L202="","",L202)</f>
      </c>
      <c r="N202" s="56"/>
      <c r="O202" s="56"/>
      <c r="P202" s="57"/>
      <c r="Q202" s="56"/>
      <c r="R202" s="56"/>
      <c r="S202" s="56"/>
      <c r="T202" s="56"/>
      <c r="U202" s="56"/>
      <c r="V202" s="57"/>
      <c r="W202">
        <f>IF(Q202="Disponible",COUNTIFS($D$2:D202,D202,$Q$2:Q202,"Disponible"),"")</f>
      </c>
      <c r="X202">
        <f>IF(W202&lt;&gt;"",D202&amp;"|"&amp;W202,"")</f>
      </c>
      <c r="Y202">
        <f>IF(X202&lt;&gt;"",IF(K202&lt;&gt;"",K202&amp;" ("&amp;M202&amp;")",M202),"")</f>
      </c>
      <c r="Z202">
        <f>IF(O202="Sí",COUNTIFS($D$2:D202,D202,$O$2:O202,"Sí"),"")</f>
      </c>
      <c r="AA202">
        <f>IF(Z202&lt;&gt;"",D202&amp;"|"&amp;Z202,"")</f>
      </c>
      <c r="AB202">
        <f>IF(AA202&lt;&gt;"",IF(K202&lt;&gt;"",K202&amp;" ("&amp;M202&amp;")",M202),"")</f>
      </c>
      <c r="AC202">
        <f>IF($B202="","fecha, ","")&amp;IF($C202="","quién lo introduce, ","")&amp;IF($I202="","motivo, ","")&amp;IF($K202="","docente, ","")&amp;IF($L202="","horario, ","")&amp;IF($N202="","duración, ","")&amp;IF($Q202="","estado, ","")&amp;IF(AND($I202="Otros",$J202=""),"detalle del motivo, ","")&amp;IF(AND($O202="Sí",$P202=""),"detalle del refuerzo, ","")&amp;IF(AND(OR($I202="Renuncia (hasta 30 nov)",$I202="Baja (desde 1 dic)",$I202="Renuncia excepcional (art. 25.3)",$I202="Traslado de expediente"),OR($E202="",$F202="",$G202="")),"quién deja la plaza, ","")&amp;IF(AND($Q202="No disponible",$R202=""),"vía de cobertura, ","")&amp;IF(AND(OR($R202="Lista de espera · propio centro",$R202="Traslado de expediente",$R202="Lista de espera · otro centro"),OR($S202="",$T202="",$U202="")),"quién ocupa la plaza, ","")</f>
      </c>
      <c r="AD202" s="24">
        <f>IF($D202="","",IF(AND(LEN($AC202)=0,LEN($AK202)=0),"Completa",IF(LEN($AC202)=0,"Revisar: "&amp;LEFT($AK202,LEN($AK202)-2),"Falta: "&amp;LEFT($AC202,LEN($AC202)-2)&amp;IF(LEN($AK202)&gt;0,"  ·  Revisar: "&amp;LEFT($AK202,LEN($AK202)-2),""))))</f>
      </c>
      <c r="AE202">
        <f>IF(AND($D202&lt;&gt;"",OR($I202="Renuncia (hasta 30 nov)",$I202="Baja (desde 1 dic)",$I202="Renuncia excepcional (art. 25.3)",$I202="Traslado de expediente")),COUNTIF($AE$1:AE201,"&gt;0")+1,"")</f>
      </c>
      <c r="AF202">
        <f>IF($Q202="Disponible",COUNTIF($AF$1:AF201,"&gt;0")+1,"")</f>
      </c>
      <c r="AG202">
        <f>IF($O202="Sí",COUNTIF($AG$1:AG201,"&gt;0")+1,"")</f>
      </c>
      <c r="AH202">
        <f>IF(AND($Q202="Disponible",$O202&lt;&gt;"Sí"),COUNTIF($AH$1:AH201,"&gt;0")+1,"")</f>
      </c>
      <c r="AI202">
        <f>IF(AND($Q202="Disponible",$K202&lt;&gt;""),COUNTIFS($K$2:K202,K202,$Q$2:Q202,"Disponible"),"")</f>
      </c>
      <c r="AJ202">
        <f>IF(AI202&lt;&gt;"",K202&amp;"|"&amp;AI202,"")</f>
      </c>
      <c r="AK202">
        <f>IF(AND($Q202="No disponible",OR($R202="Lista de espera · propio centro",$R202="Traslado de expediente",$R202="Lista de espera · otro centro"),$O202="Sí"),"la plaza ya tiene alumno y sigue marcada como refuerzo, ","")&amp;IF(AND($R202="Reconvertida en refuerzo",$O202&lt;&gt;"Sí"),"reconvertida en refuerzo pero sin marcar «En uso como refuerzo», ","")</f>
      </c>
    </row>
    <row r="203" spans="1:37">
      <c r="A203" s="20">
        <f>IF(D203&lt;&gt;"",ROW()-1,"")</f>
      </c>
      <c r="B203" s="55"/>
      <c r="C203" s="56"/>
      <c r="D203" s="56"/>
      <c r="E203" s="56"/>
      <c r="F203" s="56"/>
      <c r="G203" s="56"/>
      <c r="H203" s="56"/>
      <c r="I203" s="56"/>
      <c r="J203" s="57"/>
      <c r="K203" s="56"/>
      <c r="L203" s="58"/>
      <c r="M203" s="58">
        <f>IF(L203="","",L203)</f>
      </c>
      <c r="N203" s="56"/>
      <c r="O203" s="56"/>
      <c r="P203" s="57"/>
      <c r="Q203" s="56"/>
      <c r="R203" s="56"/>
      <c r="S203" s="56"/>
      <c r="T203" s="56"/>
      <c r="U203" s="56"/>
      <c r="V203" s="57"/>
      <c r="W203">
        <f>IF(Q203="Disponible",COUNTIFS($D$2:D203,D203,$Q$2:Q203,"Disponible"),"")</f>
      </c>
      <c r="X203">
        <f>IF(W203&lt;&gt;"",D203&amp;"|"&amp;W203,"")</f>
      </c>
      <c r="Y203">
        <f>IF(X203&lt;&gt;"",IF(K203&lt;&gt;"",K203&amp;" ("&amp;M203&amp;")",M203),"")</f>
      </c>
      <c r="Z203">
        <f>IF(O203="Sí",COUNTIFS($D$2:D203,D203,$O$2:O203,"Sí"),"")</f>
      </c>
      <c r="AA203">
        <f>IF(Z203&lt;&gt;"",D203&amp;"|"&amp;Z203,"")</f>
      </c>
      <c r="AB203">
        <f>IF(AA203&lt;&gt;"",IF(K203&lt;&gt;"",K203&amp;" ("&amp;M203&amp;")",M203),"")</f>
      </c>
      <c r="AC203">
        <f>IF($B203="","fecha, ","")&amp;IF($C203="","quién lo introduce, ","")&amp;IF($I203="","motivo, ","")&amp;IF($K203="","docente, ","")&amp;IF($L203="","horario, ","")&amp;IF($N203="","duración, ","")&amp;IF($Q203="","estado, ","")&amp;IF(AND($I203="Otros",$J203=""),"detalle del motivo, ","")&amp;IF(AND($O203="Sí",$P203=""),"detalle del refuerzo, ","")&amp;IF(AND(OR($I203="Renuncia (hasta 30 nov)",$I203="Baja (desde 1 dic)",$I203="Renuncia excepcional (art. 25.3)",$I203="Traslado de expediente"),OR($E203="",$F203="",$G203="")),"quién deja la plaza, ","")&amp;IF(AND($Q203="No disponible",$R203=""),"vía de cobertura, ","")&amp;IF(AND(OR($R203="Lista de espera · propio centro",$R203="Traslado de expediente",$R203="Lista de espera · otro centro"),OR($S203="",$T203="",$U203="")),"quién ocupa la plaza, ","")</f>
      </c>
      <c r="AD203" s="24">
        <f>IF($D203="","",IF(AND(LEN($AC203)=0,LEN($AK203)=0),"Completa",IF(LEN($AC203)=0,"Revisar: "&amp;LEFT($AK203,LEN($AK203)-2),"Falta: "&amp;LEFT($AC203,LEN($AC203)-2)&amp;IF(LEN($AK203)&gt;0,"  ·  Revisar: "&amp;LEFT($AK203,LEN($AK203)-2),""))))</f>
      </c>
      <c r="AE203">
        <f>IF(AND($D203&lt;&gt;"",OR($I203="Renuncia (hasta 30 nov)",$I203="Baja (desde 1 dic)",$I203="Renuncia excepcional (art. 25.3)",$I203="Traslado de expediente")),COUNTIF($AE$1:AE202,"&gt;0")+1,"")</f>
      </c>
      <c r="AF203">
        <f>IF($Q203="Disponible",COUNTIF($AF$1:AF202,"&gt;0")+1,"")</f>
      </c>
      <c r="AG203">
        <f>IF($O203="Sí",COUNTIF($AG$1:AG202,"&gt;0")+1,"")</f>
      </c>
      <c r="AH203">
        <f>IF(AND($Q203="Disponible",$O203&lt;&gt;"Sí"),COUNTIF($AH$1:AH202,"&gt;0")+1,"")</f>
      </c>
      <c r="AI203">
        <f>IF(AND($Q203="Disponible",$K203&lt;&gt;""),COUNTIFS($K$2:K203,K203,$Q$2:Q203,"Disponible"),"")</f>
      </c>
      <c r="AJ203">
        <f>IF(AI203&lt;&gt;"",K203&amp;"|"&amp;AI203,"")</f>
      </c>
      <c r="AK203">
        <f>IF(AND($Q203="No disponible",OR($R203="Lista de espera · propio centro",$R203="Traslado de expediente",$R203="Lista de espera · otro centro"),$O203="Sí"),"la plaza ya tiene alumno y sigue marcada como refuerzo, ","")&amp;IF(AND($R203="Reconvertida en refuerzo",$O203&lt;&gt;"Sí"),"reconvertida en refuerzo pero sin marcar «En uso como refuerzo», ","")</f>
      </c>
    </row>
    <row r="204" spans="1:37">
      <c r="A204" s="20">
        <f>IF(D204&lt;&gt;"",ROW()-1,"")</f>
      </c>
      <c r="B204" s="55"/>
      <c r="C204" s="56"/>
      <c r="D204" s="56"/>
      <c r="E204" s="56"/>
      <c r="F204" s="56"/>
      <c r="G204" s="56"/>
      <c r="H204" s="56"/>
      <c r="I204" s="56"/>
      <c r="J204" s="57"/>
      <c r="K204" s="56"/>
      <c r="L204" s="58"/>
      <c r="M204" s="58">
        <f>IF(L204="","",L204)</f>
      </c>
      <c r="N204" s="56"/>
      <c r="O204" s="56"/>
      <c r="P204" s="57"/>
      <c r="Q204" s="56"/>
      <c r="R204" s="56"/>
      <c r="S204" s="56"/>
      <c r="T204" s="56"/>
      <c r="U204" s="56"/>
      <c r="V204" s="57"/>
      <c r="W204">
        <f>IF(Q204="Disponible",COUNTIFS($D$2:D204,D204,$Q$2:Q204,"Disponible"),"")</f>
      </c>
      <c r="X204">
        <f>IF(W204&lt;&gt;"",D204&amp;"|"&amp;W204,"")</f>
      </c>
      <c r="Y204">
        <f>IF(X204&lt;&gt;"",IF(K204&lt;&gt;"",K204&amp;" ("&amp;M204&amp;")",M204),"")</f>
      </c>
      <c r="Z204">
        <f>IF(O204="Sí",COUNTIFS($D$2:D204,D204,$O$2:O204,"Sí"),"")</f>
      </c>
      <c r="AA204">
        <f>IF(Z204&lt;&gt;"",D204&amp;"|"&amp;Z204,"")</f>
      </c>
      <c r="AB204">
        <f>IF(AA204&lt;&gt;"",IF(K204&lt;&gt;"",K204&amp;" ("&amp;M204&amp;")",M204),"")</f>
      </c>
      <c r="AC204">
        <f>IF($B204="","fecha, ","")&amp;IF($C204="","quién lo introduce, ","")&amp;IF($I204="","motivo, ","")&amp;IF($K204="","docente, ","")&amp;IF($L204="","horario, ","")&amp;IF($N204="","duración, ","")&amp;IF($Q204="","estado, ","")&amp;IF(AND($I204="Otros",$J204=""),"detalle del motivo, ","")&amp;IF(AND($O204="Sí",$P204=""),"detalle del refuerzo, ","")&amp;IF(AND(OR($I204="Renuncia (hasta 30 nov)",$I204="Baja (desde 1 dic)",$I204="Renuncia excepcional (art. 25.3)",$I204="Traslado de expediente"),OR($E204="",$F204="",$G204="")),"quién deja la plaza, ","")&amp;IF(AND($Q204="No disponible",$R204=""),"vía de cobertura, ","")&amp;IF(AND(OR($R204="Lista de espera · propio centro",$R204="Traslado de expediente",$R204="Lista de espera · otro centro"),OR($S204="",$T204="",$U204="")),"quién ocupa la plaza, ","")</f>
      </c>
      <c r="AD204" s="24">
        <f>IF($D204="","",IF(AND(LEN($AC204)=0,LEN($AK204)=0),"Completa",IF(LEN($AC204)=0,"Revisar: "&amp;LEFT($AK204,LEN($AK204)-2),"Falta: "&amp;LEFT($AC204,LEN($AC204)-2)&amp;IF(LEN($AK204)&gt;0,"  ·  Revisar: "&amp;LEFT($AK204,LEN($AK204)-2),""))))</f>
      </c>
      <c r="AE204">
        <f>IF(AND($D204&lt;&gt;"",OR($I204="Renuncia (hasta 30 nov)",$I204="Baja (desde 1 dic)",$I204="Renuncia excepcional (art. 25.3)",$I204="Traslado de expediente")),COUNTIF($AE$1:AE203,"&gt;0")+1,"")</f>
      </c>
      <c r="AF204">
        <f>IF($Q204="Disponible",COUNTIF($AF$1:AF203,"&gt;0")+1,"")</f>
      </c>
      <c r="AG204">
        <f>IF($O204="Sí",COUNTIF($AG$1:AG203,"&gt;0")+1,"")</f>
      </c>
      <c r="AH204">
        <f>IF(AND($Q204="Disponible",$O204&lt;&gt;"Sí"),COUNTIF($AH$1:AH203,"&gt;0")+1,"")</f>
      </c>
      <c r="AI204">
        <f>IF(AND($Q204="Disponible",$K204&lt;&gt;""),COUNTIFS($K$2:K204,K204,$Q$2:Q204,"Disponible"),"")</f>
      </c>
      <c r="AJ204">
        <f>IF(AI204&lt;&gt;"",K204&amp;"|"&amp;AI204,"")</f>
      </c>
      <c r="AK204">
        <f>IF(AND($Q204="No disponible",OR($R204="Lista de espera · propio centro",$R204="Traslado de expediente",$R204="Lista de espera · otro centro"),$O204="Sí"),"la plaza ya tiene alumno y sigue marcada como refuerzo, ","")&amp;IF(AND($R204="Reconvertida en refuerzo",$O204&lt;&gt;"Sí"),"reconvertida en refuerzo pero sin marcar «En uso como refuerzo», ","")</f>
      </c>
    </row>
    <row r="205" spans="1:37">
      <c r="A205" s="20">
        <f>IF(D205&lt;&gt;"",ROW()-1,"")</f>
      </c>
      <c r="B205" s="55"/>
      <c r="C205" s="56"/>
      <c r="D205" s="56"/>
      <c r="E205" s="56"/>
      <c r="F205" s="56"/>
      <c r="G205" s="56"/>
      <c r="H205" s="56"/>
      <c r="I205" s="56"/>
      <c r="J205" s="57"/>
      <c r="K205" s="56"/>
      <c r="L205" s="58"/>
      <c r="M205" s="58">
        <f>IF(L205="","",L205)</f>
      </c>
      <c r="N205" s="56"/>
      <c r="O205" s="56"/>
      <c r="P205" s="57"/>
      <c r="Q205" s="56"/>
      <c r="R205" s="56"/>
      <c r="S205" s="56"/>
      <c r="T205" s="56"/>
      <c r="U205" s="56"/>
      <c r="V205" s="57"/>
      <c r="W205">
        <f>IF(Q205="Disponible",COUNTIFS($D$2:D205,D205,$Q$2:Q205,"Disponible"),"")</f>
      </c>
      <c r="X205">
        <f>IF(W205&lt;&gt;"",D205&amp;"|"&amp;W205,"")</f>
      </c>
      <c r="Y205">
        <f>IF(X205&lt;&gt;"",IF(K205&lt;&gt;"",K205&amp;" ("&amp;M205&amp;")",M205),"")</f>
      </c>
      <c r="Z205">
        <f>IF(O205="Sí",COUNTIFS($D$2:D205,D205,$O$2:O205,"Sí"),"")</f>
      </c>
      <c r="AA205">
        <f>IF(Z205&lt;&gt;"",D205&amp;"|"&amp;Z205,"")</f>
      </c>
      <c r="AB205">
        <f>IF(AA205&lt;&gt;"",IF(K205&lt;&gt;"",K205&amp;" ("&amp;M205&amp;")",M205),"")</f>
      </c>
      <c r="AC205">
        <f>IF($B205="","fecha, ","")&amp;IF($C205="","quién lo introduce, ","")&amp;IF($I205="","motivo, ","")&amp;IF($K205="","docente, ","")&amp;IF($L205="","horario, ","")&amp;IF($N205="","duración, ","")&amp;IF($Q205="","estado, ","")&amp;IF(AND($I205="Otros",$J205=""),"detalle del motivo, ","")&amp;IF(AND($O205="Sí",$P205=""),"detalle del refuerzo, ","")&amp;IF(AND(OR($I205="Renuncia (hasta 30 nov)",$I205="Baja (desde 1 dic)",$I205="Renuncia excepcional (art. 25.3)",$I205="Traslado de expediente"),OR($E205="",$F205="",$G205="")),"quién deja la plaza, ","")&amp;IF(AND($Q205="No disponible",$R205=""),"vía de cobertura, ","")&amp;IF(AND(OR($R205="Lista de espera · propio centro",$R205="Traslado de expediente",$R205="Lista de espera · otro centro"),OR($S205="",$T205="",$U205="")),"quién ocupa la plaza, ","")</f>
      </c>
      <c r="AD205" s="24">
        <f>IF($D205="","",IF(AND(LEN($AC205)=0,LEN($AK205)=0),"Completa",IF(LEN($AC205)=0,"Revisar: "&amp;LEFT($AK205,LEN($AK205)-2),"Falta: "&amp;LEFT($AC205,LEN($AC205)-2)&amp;IF(LEN($AK205)&gt;0,"  ·  Revisar: "&amp;LEFT($AK205,LEN($AK205)-2),""))))</f>
      </c>
      <c r="AE205">
        <f>IF(AND($D205&lt;&gt;"",OR($I205="Renuncia (hasta 30 nov)",$I205="Baja (desde 1 dic)",$I205="Renuncia excepcional (art. 25.3)",$I205="Traslado de expediente")),COUNTIF($AE$1:AE204,"&gt;0")+1,"")</f>
      </c>
      <c r="AF205">
        <f>IF($Q205="Disponible",COUNTIF($AF$1:AF204,"&gt;0")+1,"")</f>
      </c>
      <c r="AG205">
        <f>IF($O205="Sí",COUNTIF($AG$1:AG204,"&gt;0")+1,"")</f>
      </c>
      <c r="AH205">
        <f>IF(AND($Q205="Disponible",$O205&lt;&gt;"Sí"),COUNTIF($AH$1:AH204,"&gt;0")+1,"")</f>
      </c>
      <c r="AI205">
        <f>IF(AND($Q205="Disponible",$K205&lt;&gt;""),COUNTIFS($K$2:K205,K205,$Q$2:Q205,"Disponible"),"")</f>
      </c>
      <c r="AJ205">
        <f>IF(AI205&lt;&gt;"",K205&amp;"|"&amp;AI205,"")</f>
      </c>
      <c r="AK205">
        <f>IF(AND($Q205="No disponible",OR($R205="Lista de espera · propio centro",$R205="Traslado de expediente",$R205="Lista de espera · otro centro"),$O205="Sí"),"la plaza ya tiene alumno y sigue marcada como refuerzo, ","")&amp;IF(AND($R205="Reconvertida en refuerzo",$O205&lt;&gt;"Sí"),"reconvertida en refuerzo pero sin marcar «En uso como refuerzo», ","")</f>
      </c>
    </row>
    <row r="206" spans="1:37">
      <c r="A206" s="20">
        <f>IF(D206&lt;&gt;"",ROW()-1,"")</f>
      </c>
      <c r="B206" s="55"/>
      <c r="C206" s="56"/>
      <c r="D206" s="56"/>
      <c r="E206" s="56"/>
      <c r="F206" s="56"/>
      <c r="G206" s="56"/>
      <c r="H206" s="56"/>
      <c r="I206" s="56"/>
      <c r="J206" s="57"/>
      <c r="K206" s="56"/>
      <c r="L206" s="58"/>
      <c r="M206" s="58">
        <f>IF(L206="","",L206)</f>
      </c>
      <c r="N206" s="56"/>
      <c r="O206" s="56"/>
      <c r="P206" s="57"/>
      <c r="Q206" s="56"/>
      <c r="R206" s="56"/>
      <c r="S206" s="56"/>
      <c r="T206" s="56"/>
      <c r="U206" s="56"/>
      <c r="V206" s="57"/>
      <c r="W206">
        <f>IF(Q206="Disponible",COUNTIFS($D$2:D206,D206,$Q$2:Q206,"Disponible"),"")</f>
      </c>
      <c r="X206">
        <f>IF(W206&lt;&gt;"",D206&amp;"|"&amp;W206,"")</f>
      </c>
      <c r="Y206">
        <f>IF(X206&lt;&gt;"",IF(K206&lt;&gt;"",K206&amp;" ("&amp;M206&amp;")",M206),"")</f>
      </c>
      <c r="Z206">
        <f>IF(O206="Sí",COUNTIFS($D$2:D206,D206,$O$2:O206,"Sí"),"")</f>
      </c>
      <c r="AA206">
        <f>IF(Z206&lt;&gt;"",D206&amp;"|"&amp;Z206,"")</f>
      </c>
      <c r="AB206">
        <f>IF(AA206&lt;&gt;"",IF(K206&lt;&gt;"",K206&amp;" ("&amp;M206&amp;")",M206),"")</f>
      </c>
      <c r="AC206">
        <f>IF($B206="","fecha, ","")&amp;IF($C206="","quién lo introduce, ","")&amp;IF($I206="","motivo, ","")&amp;IF($K206="","docente, ","")&amp;IF($L206="","horario, ","")&amp;IF($N206="","duración, ","")&amp;IF($Q206="","estado, ","")&amp;IF(AND($I206="Otros",$J206=""),"detalle del motivo, ","")&amp;IF(AND($O206="Sí",$P206=""),"detalle del refuerzo, ","")&amp;IF(AND(OR($I206="Renuncia (hasta 30 nov)",$I206="Baja (desde 1 dic)",$I206="Renuncia excepcional (art. 25.3)",$I206="Traslado de expediente"),OR($E206="",$F206="",$G206="")),"quién deja la plaza, ","")&amp;IF(AND($Q206="No disponible",$R206=""),"vía de cobertura, ","")&amp;IF(AND(OR($R206="Lista de espera · propio centro",$R206="Traslado de expediente",$R206="Lista de espera · otro centro"),OR($S206="",$T206="",$U206="")),"quién ocupa la plaza, ","")</f>
      </c>
      <c r="AD206" s="24">
        <f>IF($D206="","",IF(AND(LEN($AC206)=0,LEN($AK206)=0),"Completa",IF(LEN($AC206)=0,"Revisar: "&amp;LEFT($AK206,LEN($AK206)-2),"Falta: "&amp;LEFT($AC206,LEN($AC206)-2)&amp;IF(LEN($AK206)&gt;0,"  ·  Revisar: "&amp;LEFT($AK206,LEN($AK206)-2),""))))</f>
      </c>
      <c r="AE206">
        <f>IF(AND($D206&lt;&gt;"",OR($I206="Renuncia (hasta 30 nov)",$I206="Baja (desde 1 dic)",$I206="Renuncia excepcional (art. 25.3)",$I206="Traslado de expediente")),COUNTIF($AE$1:AE205,"&gt;0")+1,"")</f>
      </c>
      <c r="AF206">
        <f>IF($Q206="Disponible",COUNTIF($AF$1:AF205,"&gt;0")+1,"")</f>
      </c>
      <c r="AG206">
        <f>IF($O206="Sí",COUNTIF($AG$1:AG205,"&gt;0")+1,"")</f>
      </c>
      <c r="AH206">
        <f>IF(AND($Q206="Disponible",$O206&lt;&gt;"Sí"),COUNTIF($AH$1:AH205,"&gt;0")+1,"")</f>
      </c>
      <c r="AI206">
        <f>IF(AND($Q206="Disponible",$K206&lt;&gt;""),COUNTIFS($K$2:K206,K206,$Q$2:Q206,"Disponible"),"")</f>
      </c>
      <c r="AJ206">
        <f>IF(AI206&lt;&gt;"",K206&amp;"|"&amp;AI206,"")</f>
      </c>
      <c r="AK206">
        <f>IF(AND($Q206="No disponible",OR($R206="Lista de espera · propio centro",$R206="Traslado de expediente",$R206="Lista de espera · otro centro"),$O206="Sí"),"la plaza ya tiene alumno y sigue marcada como refuerzo, ","")&amp;IF(AND($R206="Reconvertida en refuerzo",$O206&lt;&gt;"Sí"),"reconvertida en refuerzo pero sin marcar «En uso como refuerzo», ","")</f>
      </c>
    </row>
    <row r="207" spans="1:37">
      <c r="A207" s="20">
        <f>IF(D207&lt;&gt;"",ROW()-1,"")</f>
      </c>
      <c r="B207" s="55"/>
      <c r="C207" s="56"/>
      <c r="D207" s="56"/>
      <c r="E207" s="56"/>
      <c r="F207" s="56"/>
      <c r="G207" s="56"/>
      <c r="H207" s="56"/>
      <c r="I207" s="56"/>
      <c r="J207" s="57"/>
      <c r="K207" s="56"/>
      <c r="L207" s="58"/>
      <c r="M207" s="58">
        <f>IF(L207="","",L207)</f>
      </c>
      <c r="N207" s="56"/>
      <c r="O207" s="56"/>
      <c r="P207" s="57"/>
      <c r="Q207" s="56"/>
      <c r="R207" s="56"/>
      <c r="S207" s="56"/>
      <c r="T207" s="56"/>
      <c r="U207" s="56"/>
      <c r="V207" s="57"/>
      <c r="W207">
        <f>IF(Q207="Disponible",COUNTIFS($D$2:D207,D207,$Q$2:Q207,"Disponible"),"")</f>
      </c>
      <c r="X207">
        <f>IF(W207&lt;&gt;"",D207&amp;"|"&amp;W207,"")</f>
      </c>
      <c r="Y207">
        <f>IF(X207&lt;&gt;"",IF(K207&lt;&gt;"",K207&amp;" ("&amp;M207&amp;")",M207),"")</f>
      </c>
      <c r="Z207">
        <f>IF(O207="Sí",COUNTIFS($D$2:D207,D207,$O$2:O207,"Sí"),"")</f>
      </c>
      <c r="AA207">
        <f>IF(Z207&lt;&gt;"",D207&amp;"|"&amp;Z207,"")</f>
      </c>
      <c r="AB207">
        <f>IF(AA207&lt;&gt;"",IF(K207&lt;&gt;"",K207&amp;" ("&amp;M207&amp;")",M207),"")</f>
      </c>
      <c r="AC207">
        <f>IF($B207="","fecha, ","")&amp;IF($C207="","quién lo introduce, ","")&amp;IF($I207="","motivo, ","")&amp;IF($K207="","docente, ","")&amp;IF($L207="","horario, ","")&amp;IF($N207="","duración, ","")&amp;IF($Q207="","estado, ","")&amp;IF(AND($I207="Otros",$J207=""),"detalle del motivo, ","")&amp;IF(AND($O207="Sí",$P207=""),"detalle del refuerzo, ","")&amp;IF(AND(OR($I207="Renuncia (hasta 30 nov)",$I207="Baja (desde 1 dic)",$I207="Renuncia excepcional (art. 25.3)",$I207="Traslado de expediente"),OR($E207="",$F207="",$G207="")),"quién deja la plaza, ","")&amp;IF(AND($Q207="No disponible",$R207=""),"vía de cobertura, ","")&amp;IF(AND(OR($R207="Lista de espera · propio centro",$R207="Traslado de expediente",$R207="Lista de espera · otro centro"),OR($S207="",$T207="",$U207="")),"quién ocupa la plaza, ","")</f>
      </c>
      <c r="AD207" s="24">
        <f>IF($D207="","",IF(AND(LEN($AC207)=0,LEN($AK207)=0),"Completa",IF(LEN($AC207)=0,"Revisar: "&amp;LEFT($AK207,LEN($AK207)-2),"Falta: "&amp;LEFT($AC207,LEN($AC207)-2)&amp;IF(LEN($AK207)&gt;0,"  ·  Revisar: "&amp;LEFT($AK207,LEN($AK207)-2),""))))</f>
      </c>
      <c r="AE207">
        <f>IF(AND($D207&lt;&gt;"",OR($I207="Renuncia (hasta 30 nov)",$I207="Baja (desde 1 dic)",$I207="Renuncia excepcional (art. 25.3)",$I207="Traslado de expediente")),COUNTIF($AE$1:AE206,"&gt;0")+1,"")</f>
      </c>
      <c r="AF207">
        <f>IF($Q207="Disponible",COUNTIF($AF$1:AF206,"&gt;0")+1,"")</f>
      </c>
      <c r="AG207">
        <f>IF($O207="Sí",COUNTIF($AG$1:AG206,"&gt;0")+1,"")</f>
      </c>
      <c r="AH207">
        <f>IF(AND($Q207="Disponible",$O207&lt;&gt;"Sí"),COUNTIF($AH$1:AH206,"&gt;0")+1,"")</f>
      </c>
      <c r="AI207">
        <f>IF(AND($Q207="Disponible",$K207&lt;&gt;""),COUNTIFS($K$2:K207,K207,$Q$2:Q207,"Disponible"),"")</f>
      </c>
      <c r="AJ207">
        <f>IF(AI207&lt;&gt;"",K207&amp;"|"&amp;AI207,"")</f>
      </c>
      <c r="AK207">
        <f>IF(AND($Q207="No disponible",OR($R207="Lista de espera · propio centro",$R207="Traslado de expediente",$R207="Lista de espera · otro centro"),$O207="Sí"),"la plaza ya tiene alumno y sigue marcada como refuerzo, ","")&amp;IF(AND($R207="Reconvertida en refuerzo",$O207&lt;&gt;"Sí"),"reconvertida en refuerzo pero sin marcar «En uso como refuerzo», ","")</f>
      </c>
    </row>
    <row r="208" spans="1:37">
      <c r="A208" s="20">
        <f>IF(D208&lt;&gt;"",ROW()-1,"")</f>
      </c>
      <c r="B208" s="55"/>
      <c r="C208" s="56"/>
      <c r="D208" s="56"/>
      <c r="E208" s="56"/>
      <c r="F208" s="56"/>
      <c r="G208" s="56"/>
      <c r="H208" s="56"/>
      <c r="I208" s="56"/>
      <c r="J208" s="57"/>
      <c r="K208" s="56"/>
      <c r="L208" s="58"/>
      <c r="M208" s="58">
        <f>IF(L208="","",L208)</f>
      </c>
      <c r="N208" s="56"/>
      <c r="O208" s="56"/>
      <c r="P208" s="57"/>
      <c r="Q208" s="56"/>
      <c r="R208" s="56"/>
      <c r="S208" s="56"/>
      <c r="T208" s="56"/>
      <c r="U208" s="56"/>
      <c r="V208" s="57"/>
      <c r="W208">
        <f>IF(Q208="Disponible",COUNTIFS($D$2:D208,D208,$Q$2:Q208,"Disponible"),"")</f>
      </c>
      <c r="X208">
        <f>IF(W208&lt;&gt;"",D208&amp;"|"&amp;W208,"")</f>
      </c>
      <c r="Y208">
        <f>IF(X208&lt;&gt;"",IF(K208&lt;&gt;"",K208&amp;" ("&amp;M208&amp;")",M208),"")</f>
      </c>
      <c r="Z208">
        <f>IF(O208="Sí",COUNTIFS($D$2:D208,D208,$O$2:O208,"Sí"),"")</f>
      </c>
      <c r="AA208">
        <f>IF(Z208&lt;&gt;"",D208&amp;"|"&amp;Z208,"")</f>
      </c>
      <c r="AB208">
        <f>IF(AA208&lt;&gt;"",IF(K208&lt;&gt;"",K208&amp;" ("&amp;M208&amp;")",M208),"")</f>
      </c>
      <c r="AC208">
        <f>IF($B208="","fecha, ","")&amp;IF($C208="","quién lo introduce, ","")&amp;IF($I208="","motivo, ","")&amp;IF($K208="","docente, ","")&amp;IF($L208="","horario, ","")&amp;IF($N208="","duración, ","")&amp;IF($Q208="","estado, ","")&amp;IF(AND($I208="Otros",$J208=""),"detalle del motivo, ","")&amp;IF(AND($O208="Sí",$P208=""),"detalle del refuerzo, ","")&amp;IF(AND(OR($I208="Renuncia (hasta 30 nov)",$I208="Baja (desde 1 dic)",$I208="Renuncia excepcional (art. 25.3)",$I208="Traslado de expediente"),OR($E208="",$F208="",$G208="")),"quién deja la plaza, ","")&amp;IF(AND($Q208="No disponible",$R208=""),"vía de cobertura, ","")&amp;IF(AND(OR($R208="Lista de espera · propio centro",$R208="Traslado de expediente",$R208="Lista de espera · otro centro"),OR($S208="",$T208="",$U208="")),"quién ocupa la plaza, ","")</f>
      </c>
      <c r="AD208" s="24">
        <f>IF($D208="","",IF(AND(LEN($AC208)=0,LEN($AK208)=0),"Completa",IF(LEN($AC208)=0,"Revisar: "&amp;LEFT($AK208,LEN($AK208)-2),"Falta: "&amp;LEFT($AC208,LEN($AC208)-2)&amp;IF(LEN($AK208)&gt;0,"  ·  Revisar: "&amp;LEFT($AK208,LEN($AK208)-2),""))))</f>
      </c>
      <c r="AE208">
        <f>IF(AND($D208&lt;&gt;"",OR($I208="Renuncia (hasta 30 nov)",$I208="Baja (desde 1 dic)",$I208="Renuncia excepcional (art. 25.3)",$I208="Traslado de expediente")),COUNTIF($AE$1:AE207,"&gt;0")+1,"")</f>
      </c>
      <c r="AF208">
        <f>IF($Q208="Disponible",COUNTIF($AF$1:AF207,"&gt;0")+1,"")</f>
      </c>
      <c r="AG208">
        <f>IF($O208="Sí",COUNTIF($AG$1:AG207,"&gt;0")+1,"")</f>
      </c>
      <c r="AH208">
        <f>IF(AND($Q208="Disponible",$O208&lt;&gt;"Sí"),COUNTIF($AH$1:AH207,"&gt;0")+1,"")</f>
      </c>
      <c r="AI208">
        <f>IF(AND($Q208="Disponible",$K208&lt;&gt;""),COUNTIFS($K$2:K208,K208,$Q$2:Q208,"Disponible"),"")</f>
      </c>
      <c r="AJ208">
        <f>IF(AI208&lt;&gt;"",K208&amp;"|"&amp;AI208,"")</f>
      </c>
      <c r="AK208">
        <f>IF(AND($Q208="No disponible",OR($R208="Lista de espera · propio centro",$R208="Traslado de expediente",$R208="Lista de espera · otro centro"),$O208="Sí"),"la plaza ya tiene alumno y sigue marcada como refuerzo, ","")&amp;IF(AND($R208="Reconvertida en refuerzo",$O208&lt;&gt;"Sí"),"reconvertida en refuerzo pero sin marcar «En uso como refuerzo», ","")</f>
      </c>
    </row>
    <row r="209" spans="1:37">
      <c r="A209" s="20">
        <f>IF(D209&lt;&gt;"",ROW()-1,"")</f>
      </c>
      <c r="B209" s="55"/>
      <c r="C209" s="56"/>
      <c r="D209" s="56"/>
      <c r="E209" s="56"/>
      <c r="F209" s="56"/>
      <c r="G209" s="56"/>
      <c r="H209" s="56"/>
      <c r="I209" s="56"/>
      <c r="J209" s="57"/>
      <c r="K209" s="56"/>
      <c r="L209" s="58"/>
      <c r="M209" s="58">
        <f>IF(L209="","",L209)</f>
      </c>
      <c r="N209" s="56"/>
      <c r="O209" s="56"/>
      <c r="P209" s="57"/>
      <c r="Q209" s="56"/>
      <c r="R209" s="56"/>
      <c r="S209" s="56"/>
      <c r="T209" s="56"/>
      <c r="U209" s="56"/>
      <c r="V209" s="57"/>
      <c r="W209">
        <f>IF(Q209="Disponible",COUNTIFS($D$2:D209,D209,$Q$2:Q209,"Disponible"),"")</f>
      </c>
      <c r="X209">
        <f>IF(W209&lt;&gt;"",D209&amp;"|"&amp;W209,"")</f>
      </c>
      <c r="Y209">
        <f>IF(X209&lt;&gt;"",IF(K209&lt;&gt;"",K209&amp;" ("&amp;M209&amp;")",M209),"")</f>
      </c>
      <c r="Z209">
        <f>IF(O209="Sí",COUNTIFS($D$2:D209,D209,$O$2:O209,"Sí"),"")</f>
      </c>
      <c r="AA209">
        <f>IF(Z209&lt;&gt;"",D209&amp;"|"&amp;Z209,"")</f>
      </c>
      <c r="AB209">
        <f>IF(AA209&lt;&gt;"",IF(K209&lt;&gt;"",K209&amp;" ("&amp;M209&amp;")",M209),"")</f>
      </c>
      <c r="AC209">
        <f>IF($B209="","fecha, ","")&amp;IF($C209="","quién lo introduce, ","")&amp;IF($I209="","motivo, ","")&amp;IF($K209="","docente, ","")&amp;IF($L209="","horario, ","")&amp;IF($N209="","duración, ","")&amp;IF($Q209="","estado, ","")&amp;IF(AND($I209="Otros",$J209=""),"detalle del motivo, ","")&amp;IF(AND($O209="Sí",$P209=""),"detalle del refuerzo, ","")&amp;IF(AND(OR($I209="Renuncia (hasta 30 nov)",$I209="Baja (desde 1 dic)",$I209="Renuncia excepcional (art. 25.3)",$I209="Traslado de expediente"),OR($E209="",$F209="",$G209="")),"quién deja la plaza, ","")&amp;IF(AND($Q209="No disponible",$R209=""),"vía de cobertura, ","")&amp;IF(AND(OR($R209="Lista de espera · propio centro",$R209="Traslado de expediente",$R209="Lista de espera · otro centro"),OR($S209="",$T209="",$U209="")),"quién ocupa la plaza, ","")</f>
      </c>
      <c r="AD209" s="24">
        <f>IF($D209="","",IF(AND(LEN($AC209)=0,LEN($AK209)=0),"Completa",IF(LEN($AC209)=0,"Revisar: "&amp;LEFT($AK209,LEN($AK209)-2),"Falta: "&amp;LEFT($AC209,LEN($AC209)-2)&amp;IF(LEN($AK209)&gt;0,"  ·  Revisar: "&amp;LEFT($AK209,LEN($AK209)-2),""))))</f>
      </c>
      <c r="AE209">
        <f>IF(AND($D209&lt;&gt;"",OR($I209="Renuncia (hasta 30 nov)",$I209="Baja (desde 1 dic)",$I209="Renuncia excepcional (art. 25.3)",$I209="Traslado de expediente")),COUNTIF($AE$1:AE208,"&gt;0")+1,"")</f>
      </c>
      <c r="AF209">
        <f>IF($Q209="Disponible",COUNTIF($AF$1:AF208,"&gt;0")+1,"")</f>
      </c>
      <c r="AG209">
        <f>IF($O209="Sí",COUNTIF($AG$1:AG208,"&gt;0")+1,"")</f>
      </c>
      <c r="AH209">
        <f>IF(AND($Q209="Disponible",$O209&lt;&gt;"Sí"),COUNTIF($AH$1:AH208,"&gt;0")+1,"")</f>
      </c>
      <c r="AI209">
        <f>IF(AND($Q209="Disponible",$K209&lt;&gt;""),COUNTIFS($K$2:K209,K209,$Q$2:Q209,"Disponible"),"")</f>
      </c>
      <c r="AJ209">
        <f>IF(AI209&lt;&gt;"",K209&amp;"|"&amp;AI209,"")</f>
      </c>
      <c r="AK209">
        <f>IF(AND($Q209="No disponible",OR($R209="Lista de espera · propio centro",$R209="Traslado de expediente",$R209="Lista de espera · otro centro"),$O209="Sí"),"la plaza ya tiene alumno y sigue marcada como refuerzo, ","")&amp;IF(AND($R209="Reconvertida en refuerzo",$O209&lt;&gt;"Sí"),"reconvertida en refuerzo pero sin marcar «En uso como refuerzo», ","")</f>
      </c>
    </row>
    <row r="210" spans="1:37">
      <c r="A210" s="20">
        <f>IF(D210&lt;&gt;"",ROW()-1,"")</f>
      </c>
      <c r="B210" s="55"/>
      <c r="C210" s="56"/>
      <c r="D210" s="56"/>
      <c r="E210" s="56"/>
      <c r="F210" s="56"/>
      <c r="G210" s="56"/>
      <c r="H210" s="56"/>
      <c r="I210" s="56"/>
      <c r="J210" s="57"/>
      <c r="K210" s="56"/>
      <c r="L210" s="58"/>
      <c r="M210" s="58">
        <f>IF(L210="","",L210)</f>
      </c>
      <c r="N210" s="56"/>
      <c r="O210" s="56"/>
      <c r="P210" s="57"/>
      <c r="Q210" s="56"/>
      <c r="R210" s="56"/>
      <c r="S210" s="56"/>
      <c r="T210" s="56"/>
      <c r="U210" s="56"/>
      <c r="V210" s="57"/>
      <c r="W210">
        <f>IF(Q210="Disponible",COUNTIFS($D$2:D210,D210,$Q$2:Q210,"Disponible"),"")</f>
      </c>
      <c r="X210">
        <f>IF(W210&lt;&gt;"",D210&amp;"|"&amp;W210,"")</f>
      </c>
      <c r="Y210">
        <f>IF(X210&lt;&gt;"",IF(K210&lt;&gt;"",K210&amp;" ("&amp;M210&amp;")",M210),"")</f>
      </c>
      <c r="Z210">
        <f>IF(O210="Sí",COUNTIFS($D$2:D210,D210,$O$2:O210,"Sí"),"")</f>
      </c>
      <c r="AA210">
        <f>IF(Z210&lt;&gt;"",D210&amp;"|"&amp;Z210,"")</f>
      </c>
      <c r="AB210">
        <f>IF(AA210&lt;&gt;"",IF(K210&lt;&gt;"",K210&amp;" ("&amp;M210&amp;")",M210),"")</f>
      </c>
      <c r="AC210">
        <f>IF($B210="","fecha, ","")&amp;IF($C210="","quién lo introduce, ","")&amp;IF($I210="","motivo, ","")&amp;IF($K210="","docente, ","")&amp;IF($L210="","horario, ","")&amp;IF($N210="","duración, ","")&amp;IF($Q210="","estado, ","")&amp;IF(AND($I210="Otros",$J210=""),"detalle del motivo, ","")&amp;IF(AND($O210="Sí",$P210=""),"detalle del refuerzo, ","")&amp;IF(AND(OR($I210="Renuncia (hasta 30 nov)",$I210="Baja (desde 1 dic)",$I210="Renuncia excepcional (art. 25.3)",$I210="Traslado de expediente"),OR($E210="",$F210="",$G210="")),"quién deja la plaza, ","")&amp;IF(AND($Q210="No disponible",$R210=""),"vía de cobertura, ","")&amp;IF(AND(OR($R210="Lista de espera · propio centro",$R210="Traslado de expediente",$R210="Lista de espera · otro centro"),OR($S210="",$T210="",$U210="")),"quién ocupa la plaza, ","")</f>
      </c>
      <c r="AD210" s="24">
        <f>IF($D210="","",IF(AND(LEN($AC210)=0,LEN($AK210)=0),"Completa",IF(LEN($AC210)=0,"Revisar: "&amp;LEFT($AK210,LEN($AK210)-2),"Falta: "&amp;LEFT($AC210,LEN($AC210)-2)&amp;IF(LEN($AK210)&gt;0,"  ·  Revisar: "&amp;LEFT($AK210,LEN($AK210)-2),""))))</f>
      </c>
      <c r="AE210">
        <f>IF(AND($D210&lt;&gt;"",OR($I210="Renuncia (hasta 30 nov)",$I210="Baja (desde 1 dic)",$I210="Renuncia excepcional (art. 25.3)",$I210="Traslado de expediente")),COUNTIF($AE$1:AE209,"&gt;0")+1,"")</f>
      </c>
      <c r="AF210">
        <f>IF($Q210="Disponible",COUNTIF($AF$1:AF209,"&gt;0")+1,"")</f>
      </c>
      <c r="AG210">
        <f>IF($O210="Sí",COUNTIF($AG$1:AG209,"&gt;0")+1,"")</f>
      </c>
      <c r="AH210">
        <f>IF(AND($Q210="Disponible",$O210&lt;&gt;"Sí"),COUNTIF($AH$1:AH209,"&gt;0")+1,"")</f>
      </c>
      <c r="AI210">
        <f>IF(AND($Q210="Disponible",$K210&lt;&gt;""),COUNTIFS($K$2:K210,K210,$Q$2:Q210,"Disponible"),"")</f>
      </c>
      <c r="AJ210">
        <f>IF(AI210&lt;&gt;"",K210&amp;"|"&amp;AI210,"")</f>
      </c>
      <c r="AK210">
        <f>IF(AND($Q210="No disponible",OR($R210="Lista de espera · propio centro",$R210="Traslado de expediente",$R210="Lista de espera · otro centro"),$O210="Sí"),"la plaza ya tiene alumno y sigue marcada como refuerzo, ","")&amp;IF(AND($R210="Reconvertida en refuerzo",$O210&lt;&gt;"Sí"),"reconvertida en refuerzo pero sin marcar «En uso como refuerzo», ","")</f>
      </c>
    </row>
    <row r="211" spans="1:37">
      <c r="A211" s="20">
        <f>IF(D211&lt;&gt;"",ROW()-1,"")</f>
      </c>
      <c r="B211" s="55"/>
      <c r="C211" s="56"/>
      <c r="D211" s="56"/>
      <c r="E211" s="56"/>
      <c r="F211" s="56"/>
      <c r="G211" s="56"/>
      <c r="H211" s="56"/>
      <c r="I211" s="56"/>
      <c r="J211" s="57"/>
      <c r="K211" s="56"/>
      <c r="L211" s="58"/>
      <c r="M211" s="58">
        <f>IF(L211="","",L211)</f>
      </c>
      <c r="N211" s="56"/>
      <c r="O211" s="56"/>
      <c r="P211" s="57"/>
      <c r="Q211" s="56"/>
      <c r="R211" s="56"/>
      <c r="S211" s="56"/>
      <c r="T211" s="56"/>
      <c r="U211" s="56"/>
      <c r="V211" s="57"/>
      <c r="W211">
        <f>IF(Q211="Disponible",COUNTIFS($D$2:D211,D211,$Q$2:Q211,"Disponible"),"")</f>
      </c>
      <c r="X211">
        <f>IF(W211&lt;&gt;"",D211&amp;"|"&amp;W211,"")</f>
      </c>
      <c r="Y211">
        <f>IF(X211&lt;&gt;"",IF(K211&lt;&gt;"",K211&amp;" ("&amp;M211&amp;")",M211),"")</f>
      </c>
      <c r="Z211">
        <f>IF(O211="Sí",COUNTIFS($D$2:D211,D211,$O$2:O211,"Sí"),"")</f>
      </c>
      <c r="AA211">
        <f>IF(Z211&lt;&gt;"",D211&amp;"|"&amp;Z211,"")</f>
      </c>
      <c r="AB211">
        <f>IF(AA211&lt;&gt;"",IF(K211&lt;&gt;"",K211&amp;" ("&amp;M211&amp;")",M211),"")</f>
      </c>
      <c r="AC211">
        <f>IF($B211="","fecha, ","")&amp;IF($C211="","quién lo introduce, ","")&amp;IF($I211="","motivo, ","")&amp;IF($K211="","docente, ","")&amp;IF($L211="","horario, ","")&amp;IF($N211="","duración, ","")&amp;IF($Q211="","estado, ","")&amp;IF(AND($I211="Otros",$J211=""),"detalle del motivo, ","")&amp;IF(AND($O211="Sí",$P211=""),"detalle del refuerzo, ","")&amp;IF(AND(OR($I211="Renuncia (hasta 30 nov)",$I211="Baja (desde 1 dic)",$I211="Renuncia excepcional (art. 25.3)",$I211="Traslado de expediente"),OR($E211="",$F211="",$G211="")),"quién deja la plaza, ","")&amp;IF(AND($Q211="No disponible",$R211=""),"vía de cobertura, ","")&amp;IF(AND(OR($R211="Lista de espera · propio centro",$R211="Traslado de expediente",$R211="Lista de espera · otro centro"),OR($S211="",$T211="",$U211="")),"quién ocupa la plaza, ","")</f>
      </c>
      <c r="AD211" s="24">
        <f>IF($D211="","",IF(AND(LEN($AC211)=0,LEN($AK211)=0),"Completa",IF(LEN($AC211)=0,"Revisar: "&amp;LEFT($AK211,LEN($AK211)-2),"Falta: "&amp;LEFT($AC211,LEN($AC211)-2)&amp;IF(LEN($AK211)&gt;0,"  ·  Revisar: "&amp;LEFT($AK211,LEN($AK211)-2),""))))</f>
      </c>
      <c r="AE211">
        <f>IF(AND($D211&lt;&gt;"",OR($I211="Renuncia (hasta 30 nov)",$I211="Baja (desde 1 dic)",$I211="Renuncia excepcional (art. 25.3)",$I211="Traslado de expediente")),COUNTIF($AE$1:AE210,"&gt;0")+1,"")</f>
      </c>
      <c r="AF211">
        <f>IF($Q211="Disponible",COUNTIF($AF$1:AF210,"&gt;0")+1,"")</f>
      </c>
      <c r="AG211">
        <f>IF($O211="Sí",COUNTIF($AG$1:AG210,"&gt;0")+1,"")</f>
      </c>
      <c r="AH211">
        <f>IF(AND($Q211="Disponible",$O211&lt;&gt;"Sí"),COUNTIF($AH$1:AH210,"&gt;0")+1,"")</f>
      </c>
      <c r="AI211">
        <f>IF(AND($Q211="Disponible",$K211&lt;&gt;""),COUNTIFS($K$2:K211,K211,$Q$2:Q211,"Disponible"),"")</f>
      </c>
      <c r="AJ211">
        <f>IF(AI211&lt;&gt;"",K211&amp;"|"&amp;AI211,"")</f>
      </c>
      <c r="AK211">
        <f>IF(AND($Q211="No disponible",OR($R211="Lista de espera · propio centro",$R211="Traslado de expediente",$R211="Lista de espera · otro centro"),$O211="Sí"),"la plaza ya tiene alumno y sigue marcada como refuerzo, ","")&amp;IF(AND($R211="Reconvertida en refuerzo",$O211&lt;&gt;"Sí"),"reconvertida en refuerzo pero sin marcar «En uso como refuerzo», ","")</f>
      </c>
    </row>
    <row r="212" spans="1:37">
      <c r="A212" s="20">
        <f>IF(D212&lt;&gt;"",ROW()-1,"")</f>
      </c>
      <c r="B212" s="55"/>
      <c r="C212" s="56"/>
      <c r="D212" s="56"/>
      <c r="E212" s="56"/>
      <c r="F212" s="56"/>
      <c r="G212" s="56"/>
      <c r="H212" s="56"/>
      <c r="I212" s="56"/>
      <c r="J212" s="57"/>
      <c r="K212" s="56"/>
      <c r="L212" s="58"/>
      <c r="M212" s="58">
        <f>IF(L212="","",L212)</f>
      </c>
      <c r="N212" s="56"/>
      <c r="O212" s="56"/>
      <c r="P212" s="57"/>
      <c r="Q212" s="56"/>
      <c r="R212" s="56"/>
      <c r="S212" s="56"/>
      <c r="T212" s="56"/>
      <c r="U212" s="56"/>
      <c r="V212" s="57"/>
      <c r="W212">
        <f>IF(Q212="Disponible",COUNTIFS($D$2:D212,D212,$Q$2:Q212,"Disponible"),"")</f>
      </c>
      <c r="X212">
        <f>IF(W212&lt;&gt;"",D212&amp;"|"&amp;W212,"")</f>
      </c>
      <c r="Y212">
        <f>IF(X212&lt;&gt;"",IF(K212&lt;&gt;"",K212&amp;" ("&amp;M212&amp;")",M212),"")</f>
      </c>
      <c r="Z212">
        <f>IF(O212="Sí",COUNTIFS($D$2:D212,D212,$O$2:O212,"Sí"),"")</f>
      </c>
      <c r="AA212">
        <f>IF(Z212&lt;&gt;"",D212&amp;"|"&amp;Z212,"")</f>
      </c>
      <c r="AB212">
        <f>IF(AA212&lt;&gt;"",IF(K212&lt;&gt;"",K212&amp;" ("&amp;M212&amp;")",M212),"")</f>
      </c>
      <c r="AC212">
        <f>IF($B212="","fecha, ","")&amp;IF($C212="","quién lo introduce, ","")&amp;IF($I212="","motivo, ","")&amp;IF($K212="","docente, ","")&amp;IF($L212="","horario, ","")&amp;IF($N212="","duración, ","")&amp;IF($Q212="","estado, ","")&amp;IF(AND($I212="Otros",$J212=""),"detalle del motivo, ","")&amp;IF(AND($O212="Sí",$P212=""),"detalle del refuerzo, ","")&amp;IF(AND(OR($I212="Renuncia (hasta 30 nov)",$I212="Baja (desde 1 dic)",$I212="Renuncia excepcional (art. 25.3)",$I212="Traslado de expediente"),OR($E212="",$F212="",$G212="")),"quién deja la plaza, ","")&amp;IF(AND($Q212="No disponible",$R212=""),"vía de cobertura, ","")&amp;IF(AND(OR($R212="Lista de espera · propio centro",$R212="Traslado de expediente",$R212="Lista de espera · otro centro"),OR($S212="",$T212="",$U212="")),"quién ocupa la plaza, ","")</f>
      </c>
      <c r="AD212" s="24">
        <f>IF($D212="","",IF(AND(LEN($AC212)=0,LEN($AK212)=0),"Completa",IF(LEN($AC212)=0,"Revisar: "&amp;LEFT($AK212,LEN($AK212)-2),"Falta: "&amp;LEFT($AC212,LEN($AC212)-2)&amp;IF(LEN($AK212)&gt;0,"  ·  Revisar: "&amp;LEFT($AK212,LEN($AK212)-2),""))))</f>
      </c>
      <c r="AE212">
        <f>IF(AND($D212&lt;&gt;"",OR($I212="Renuncia (hasta 30 nov)",$I212="Baja (desde 1 dic)",$I212="Renuncia excepcional (art. 25.3)",$I212="Traslado de expediente")),COUNTIF($AE$1:AE211,"&gt;0")+1,"")</f>
      </c>
      <c r="AF212">
        <f>IF($Q212="Disponible",COUNTIF($AF$1:AF211,"&gt;0")+1,"")</f>
      </c>
      <c r="AG212">
        <f>IF($O212="Sí",COUNTIF($AG$1:AG211,"&gt;0")+1,"")</f>
      </c>
      <c r="AH212">
        <f>IF(AND($Q212="Disponible",$O212&lt;&gt;"Sí"),COUNTIF($AH$1:AH211,"&gt;0")+1,"")</f>
      </c>
      <c r="AI212">
        <f>IF(AND($Q212="Disponible",$K212&lt;&gt;""),COUNTIFS($K$2:K212,K212,$Q$2:Q212,"Disponible"),"")</f>
      </c>
      <c r="AJ212">
        <f>IF(AI212&lt;&gt;"",K212&amp;"|"&amp;AI212,"")</f>
      </c>
      <c r="AK212">
        <f>IF(AND($Q212="No disponible",OR($R212="Lista de espera · propio centro",$R212="Traslado de expediente",$R212="Lista de espera · otro centro"),$O212="Sí"),"la plaza ya tiene alumno y sigue marcada como refuerzo, ","")&amp;IF(AND($R212="Reconvertida en refuerzo",$O212&lt;&gt;"Sí"),"reconvertida en refuerzo pero sin marcar «En uso como refuerzo», ","")</f>
      </c>
    </row>
    <row r="213" spans="1:37">
      <c r="A213" s="20">
        <f>IF(D213&lt;&gt;"",ROW()-1,"")</f>
      </c>
      <c r="B213" s="55"/>
      <c r="C213" s="56"/>
      <c r="D213" s="56"/>
      <c r="E213" s="56"/>
      <c r="F213" s="56"/>
      <c r="G213" s="56"/>
      <c r="H213" s="56"/>
      <c r="I213" s="56"/>
      <c r="J213" s="57"/>
      <c r="K213" s="56"/>
      <c r="L213" s="58"/>
      <c r="M213" s="58">
        <f>IF(L213="","",L213)</f>
      </c>
      <c r="N213" s="56"/>
      <c r="O213" s="56"/>
      <c r="P213" s="57"/>
      <c r="Q213" s="56"/>
      <c r="R213" s="56"/>
      <c r="S213" s="56"/>
      <c r="T213" s="56"/>
      <c r="U213" s="56"/>
      <c r="V213" s="57"/>
      <c r="W213">
        <f>IF(Q213="Disponible",COUNTIFS($D$2:D213,D213,$Q$2:Q213,"Disponible"),"")</f>
      </c>
      <c r="X213">
        <f>IF(W213&lt;&gt;"",D213&amp;"|"&amp;W213,"")</f>
      </c>
      <c r="Y213">
        <f>IF(X213&lt;&gt;"",IF(K213&lt;&gt;"",K213&amp;" ("&amp;M213&amp;")",M213),"")</f>
      </c>
      <c r="Z213">
        <f>IF(O213="Sí",COUNTIFS($D$2:D213,D213,$O$2:O213,"Sí"),"")</f>
      </c>
      <c r="AA213">
        <f>IF(Z213&lt;&gt;"",D213&amp;"|"&amp;Z213,"")</f>
      </c>
      <c r="AB213">
        <f>IF(AA213&lt;&gt;"",IF(K213&lt;&gt;"",K213&amp;" ("&amp;M213&amp;")",M213),"")</f>
      </c>
      <c r="AC213">
        <f>IF($B213="","fecha, ","")&amp;IF($C213="","quién lo introduce, ","")&amp;IF($I213="","motivo, ","")&amp;IF($K213="","docente, ","")&amp;IF($L213="","horario, ","")&amp;IF($N213="","duración, ","")&amp;IF($Q213="","estado, ","")&amp;IF(AND($I213="Otros",$J213=""),"detalle del motivo, ","")&amp;IF(AND($O213="Sí",$P213=""),"detalle del refuerzo, ","")&amp;IF(AND(OR($I213="Renuncia (hasta 30 nov)",$I213="Baja (desde 1 dic)",$I213="Renuncia excepcional (art. 25.3)",$I213="Traslado de expediente"),OR($E213="",$F213="",$G213="")),"quién deja la plaza, ","")&amp;IF(AND($Q213="No disponible",$R213=""),"vía de cobertura, ","")&amp;IF(AND(OR($R213="Lista de espera · propio centro",$R213="Traslado de expediente",$R213="Lista de espera · otro centro"),OR($S213="",$T213="",$U213="")),"quién ocupa la plaza, ","")</f>
      </c>
      <c r="AD213" s="24">
        <f>IF($D213="","",IF(AND(LEN($AC213)=0,LEN($AK213)=0),"Completa",IF(LEN($AC213)=0,"Revisar: "&amp;LEFT($AK213,LEN($AK213)-2),"Falta: "&amp;LEFT($AC213,LEN($AC213)-2)&amp;IF(LEN($AK213)&gt;0,"  ·  Revisar: "&amp;LEFT($AK213,LEN($AK213)-2),""))))</f>
      </c>
      <c r="AE213">
        <f>IF(AND($D213&lt;&gt;"",OR($I213="Renuncia (hasta 30 nov)",$I213="Baja (desde 1 dic)",$I213="Renuncia excepcional (art. 25.3)",$I213="Traslado de expediente")),COUNTIF($AE$1:AE212,"&gt;0")+1,"")</f>
      </c>
      <c r="AF213">
        <f>IF($Q213="Disponible",COUNTIF($AF$1:AF212,"&gt;0")+1,"")</f>
      </c>
      <c r="AG213">
        <f>IF($O213="Sí",COUNTIF($AG$1:AG212,"&gt;0")+1,"")</f>
      </c>
      <c r="AH213">
        <f>IF(AND($Q213="Disponible",$O213&lt;&gt;"Sí"),COUNTIF($AH$1:AH212,"&gt;0")+1,"")</f>
      </c>
      <c r="AI213">
        <f>IF(AND($Q213="Disponible",$K213&lt;&gt;""),COUNTIFS($K$2:K213,K213,$Q$2:Q213,"Disponible"),"")</f>
      </c>
      <c r="AJ213">
        <f>IF(AI213&lt;&gt;"",K213&amp;"|"&amp;AI213,"")</f>
      </c>
      <c r="AK213">
        <f>IF(AND($Q213="No disponible",OR($R213="Lista de espera · propio centro",$R213="Traslado de expediente",$R213="Lista de espera · otro centro"),$O213="Sí"),"la plaza ya tiene alumno y sigue marcada como refuerzo, ","")&amp;IF(AND($R213="Reconvertida en refuerzo",$O213&lt;&gt;"Sí"),"reconvertida en refuerzo pero sin marcar «En uso como refuerzo», ","")</f>
      </c>
    </row>
    <row r="214" spans="1:37">
      <c r="A214" s="20">
        <f>IF(D214&lt;&gt;"",ROW()-1,"")</f>
      </c>
      <c r="B214" s="55"/>
      <c r="C214" s="56"/>
      <c r="D214" s="56"/>
      <c r="E214" s="56"/>
      <c r="F214" s="56"/>
      <c r="G214" s="56"/>
      <c r="H214" s="56"/>
      <c r="I214" s="56"/>
      <c r="J214" s="57"/>
      <c r="K214" s="56"/>
      <c r="L214" s="58"/>
      <c r="M214" s="58">
        <f>IF(L214="","",L214)</f>
      </c>
      <c r="N214" s="56"/>
      <c r="O214" s="56"/>
      <c r="P214" s="57"/>
      <c r="Q214" s="56"/>
      <c r="R214" s="56"/>
      <c r="S214" s="56"/>
      <c r="T214" s="56"/>
      <c r="U214" s="56"/>
      <c r="V214" s="57"/>
      <c r="W214">
        <f>IF(Q214="Disponible",COUNTIFS($D$2:D214,D214,$Q$2:Q214,"Disponible"),"")</f>
      </c>
      <c r="X214">
        <f>IF(W214&lt;&gt;"",D214&amp;"|"&amp;W214,"")</f>
      </c>
      <c r="Y214">
        <f>IF(X214&lt;&gt;"",IF(K214&lt;&gt;"",K214&amp;" ("&amp;M214&amp;")",M214),"")</f>
      </c>
      <c r="Z214">
        <f>IF(O214="Sí",COUNTIFS($D$2:D214,D214,$O$2:O214,"Sí"),"")</f>
      </c>
      <c r="AA214">
        <f>IF(Z214&lt;&gt;"",D214&amp;"|"&amp;Z214,"")</f>
      </c>
      <c r="AB214">
        <f>IF(AA214&lt;&gt;"",IF(K214&lt;&gt;"",K214&amp;" ("&amp;M214&amp;")",M214),"")</f>
      </c>
      <c r="AC214">
        <f>IF($B214="","fecha, ","")&amp;IF($C214="","quién lo introduce, ","")&amp;IF($I214="","motivo, ","")&amp;IF($K214="","docente, ","")&amp;IF($L214="","horario, ","")&amp;IF($N214="","duración, ","")&amp;IF($Q214="","estado, ","")&amp;IF(AND($I214="Otros",$J214=""),"detalle del motivo, ","")&amp;IF(AND($O214="Sí",$P214=""),"detalle del refuerzo, ","")&amp;IF(AND(OR($I214="Renuncia (hasta 30 nov)",$I214="Baja (desde 1 dic)",$I214="Renuncia excepcional (art. 25.3)",$I214="Traslado de expediente"),OR($E214="",$F214="",$G214="")),"quién deja la plaza, ","")&amp;IF(AND($Q214="No disponible",$R214=""),"vía de cobertura, ","")&amp;IF(AND(OR($R214="Lista de espera · propio centro",$R214="Traslado de expediente",$R214="Lista de espera · otro centro"),OR($S214="",$T214="",$U214="")),"quién ocupa la plaza, ","")</f>
      </c>
      <c r="AD214" s="24">
        <f>IF($D214="","",IF(AND(LEN($AC214)=0,LEN($AK214)=0),"Completa",IF(LEN($AC214)=0,"Revisar: "&amp;LEFT($AK214,LEN($AK214)-2),"Falta: "&amp;LEFT($AC214,LEN($AC214)-2)&amp;IF(LEN($AK214)&gt;0,"  ·  Revisar: "&amp;LEFT($AK214,LEN($AK214)-2),""))))</f>
      </c>
      <c r="AE214">
        <f>IF(AND($D214&lt;&gt;"",OR($I214="Renuncia (hasta 30 nov)",$I214="Baja (desde 1 dic)",$I214="Renuncia excepcional (art. 25.3)",$I214="Traslado de expediente")),COUNTIF($AE$1:AE213,"&gt;0")+1,"")</f>
      </c>
      <c r="AF214">
        <f>IF($Q214="Disponible",COUNTIF($AF$1:AF213,"&gt;0")+1,"")</f>
      </c>
      <c r="AG214">
        <f>IF($O214="Sí",COUNTIF($AG$1:AG213,"&gt;0")+1,"")</f>
      </c>
      <c r="AH214">
        <f>IF(AND($Q214="Disponible",$O214&lt;&gt;"Sí"),COUNTIF($AH$1:AH213,"&gt;0")+1,"")</f>
      </c>
      <c r="AI214">
        <f>IF(AND($Q214="Disponible",$K214&lt;&gt;""),COUNTIFS($K$2:K214,K214,$Q$2:Q214,"Disponible"),"")</f>
      </c>
      <c r="AJ214">
        <f>IF(AI214&lt;&gt;"",K214&amp;"|"&amp;AI214,"")</f>
      </c>
      <c r="AK214">
        <f>IF(AND($Q214="No disponible",OR($R214="Lista de espera · propio centro",$R214="Traslado de expediente",$R214="Lista de espera · otro centro"),$O214="Sí"),"la plaza ya tiene alumno y sigue marcada como refuerzo, ","")&amp;IF(AND($R214="Reconvertida en refuerzo",$O214&lt;&gt;"Sí"),"reconvertida en refuerzo pero sin marcar «En uso como refuerzo», ","")</f>
      </c>
    </row>
    <row r="215" spans="1:37">
      <c r="A215" s="20">
        <f>IF(D215&lt;&gt;"",ROW()-1,"")</f>
      </c>
      <c r="B215" s="55"/>
      <c r="C215" s="56"/>
      <c r="D215" s="56"/>
      <c r="E215" s="56"/>
      <c r="F215" s="56"/>
      <c r="G215" s="56"/>
      <c r="H215" s="56"/>
      <c r="I215" s="56"/>
      <c r="J215" s="57"/>
      <c r="K215" s="56"/>
      <c r="L215" s="58"/>
      <c r="M215" s="58">
        <f>IF(L215="","",L215)</f>
      </c>
      <c r="N215" s="56"/>
      <c r="O215" s="56"/>
      <c r="P215" s="57"/>
      <c r="Q215" s="56"/>
      <c r="R215" s="56"/>
      <c r="S215" s="56"/>
      <c r="T215" s="56"/>
      <c r="U215" s="56"/>
      <c r="V215" s="57"/>
      <c r="W215">
        <f>IF(Q215="Disponible",COUNTIFS($D$2:D215,D215,$Q$2:Q215,"Disponible"),"")</f>
      </c>
      <c r="X215">
        <f>IF(W215&lt;&gt;"",D215&amp;"|"&amp;W215,"")</f>
      </c>
      <c r="Y215">
        <f>IF(X215&lt;&gt;"",IF(K215&lt;&gt;"",K215&amp;" ("&amp;M215&amp;")",M215),"")</f>
      </c>
      <c r="Z215">
        <f>IF(O215="Sí",COUNTIFS($D$2:D215,D215,$O$2:O215,"Sí"),"")</f>
      </c>
      <c r="AA215">
        <f>IF(Z215&lt;&gt;"",D215&amp;"|"&amp;Z215,"")</f>
      </c>
      <c r="AB215">
        <f>IF(AA215&lt;&gt;"",IF(K215&lt;&gt;"",K215&amp;" ("&amp;M215&amp;")",M215),"")</f>
      </c>
      <c r="AC215">
        <f>IF($B215="","fecha, ","")&amp;IF($C215="","quién lo introduce, ","")&amp;IF($I215="","motivo, ","")&amp;IF($K215="","docente, ","")&amp;IF($L215="","horario, ","")&amp;IF($N215="","duración, ","")&amp;IF($Q215="","estado, ","")&amp;IF(AND($I215="Otros",$J215=""),"detalle del motivo, ","")&amp;IF(AND($O215="Sí",$P215=""),"detalle del refuerzo, ","")&amp;IF(AND(OR($I215="Renuncia (hasta 30 nov)",$I215="Baja (desde 1 dic)",$I215="Renuncia excepcional (art. 25.3)",$I215="Traslado de expediente"),OR($E215="",$F215="",$G215="")),"quién deja la plaza, ","")&amp;IF(AND($Q215="No disponible",$R215=""),"vía de cobertura, ","")&amp;IF(AND(OR($R215="Lista de espera · propio centro",$R215="Traslado de expediente",$R215="Lista de espera · otro centro"),OR($S215="",$T215="",$U215="")),"quién ocupa la plaza, ","")</f>
      </c>
      <c r="AD215" s="24">
        <f>IF($D215="","",IF(AND(LEN($AC215)=0,LEN($AK215)=0),"Completa",IF(LEN($AC215)=0,"Revisar: "&amp;LEFT($AK215,LEN($AK215)-2),"Falta: "&amp;LEFT($AC215,LEN($AC215)-2)&amp;IF(LEN($AK215)&gt;0,"  ·  Revisar: "&amp;LEFT($AK215,LEN($AK215)-2),""))))</f>
      </c>
      <c r="AE215">
        <f>IF(AND($D215&lt;&gt;"",OR($I215="Renuncia (hasta 30 nov)",$I215="Baja (desde 1 dic)",$I215="Renuncia excepcional (art. 25.3)",$I215="Traslado de expediente")),COUNTIF($AE$1:AE214,"&gt;0")+1,"")</f>
      </c>
      <c r="AF215">
        <f>IF($Q215="Disponible",COUNTIF($AF$1:AF214,"&gt;0")+1,"")</f>
      </c>
      <c r="AG215">
        <f>IF($O215="Sí",COUNTIF($AG$1:AG214,"&gt;0")+1,"")</f>
      </c>
      <c r="AH215">
        <f>IF(AND($Q215="Disponible",$O215&lt;&gt;"Sí"),COUNTIF($AH$1:AH214,"&gt;0")+1,"")</f>
      </c>
      <c r="AI215">
        <f>IF(AND($Q215="Disponible",$K215&lt;&gt;""),COUNTIFS($K$2:K215,K215,$Q$2:Q215,"Disponible"),"")</f>
      </c>
      <c r="AJ215">
        <f>IF(AI215&lt;&gt;"",K215&amp;"|"&amp;AI215,"")</f>
      </c>
      <c r="AK215">
        <f>IF(AND($Q215="No disponible",OR($R215="Lista de espera · propio centro",$R215="Traslado de expediente",$R215="Lista de espera · otro centro"),$O215="Sí"),"la plaza ya tiene alumno y sigue marcada como refuerzo, ","")&amp;IF(AND($R215="Reconvertida en refuerzo",$O215&lt;&gt;"Sí"),"reconvertida en refuerzo pero sin marcar «En uso como refuerzo», ","")</f>
      </c>
    </row>
    <row r="216" spans="1:37">
      <c r="A216" s="20">
        <f>IF(D216&lt;&gt;"",ROW()-1,"")</f>
      </c>
      <c r="B216" s="55"/>
      <c r="C216" s="56"/>
      <c r="D216" s="56"/>
      <c r="E216" s="56"/>
      <c r="F216" s="56"/>
      <c r="G216" s="56"/>
      <c r="H216" s="56"/>
      <c r="I216" s="56"/>
      <c r="J216" s="57"/>
      <c r="K216" s="56"/>
      <c r="L216" s="58"/>
      <c r="M216" s="58">
        <f>IF(L216="","",L216)</f>
      </c>
      <c r="N216" s="56"/>
      <c r="O216" s="56"/>
      <c r="P216" s="57"/>
      <c r="Q216" s="56"/>
      <c r="R216" s="56"/>
      <c r="S216" s="56"/>
      <c r="T216" s="56"/>
      <c r="U216" s="56"/>
      <c r="V216" s="57"/>
      <c r="W216">
        <f>IF(Q216="Disponible",COUNTIFS($D$2:D216,D216,$Q$2:Q216,"Disponible"),"")</f>
      </c>
      <c r="X216">
        <f>IF(W216&lt;&gt;"",D216&amp;"|"&amp;W216,"")</f>
      </c>
      <c r="Y216">
        <f>IF(X216&lt;&gt;"",IF(K216&lt;&gt;"",K216&amp;" ("&amp;M216&amp;")",M216),"")</f>
      </c>
      <c r="Z216">
        <f>IF(O216="Sí",COUNTIFS($D$2:D216,D216,$O$2:O216,"Sí"),"")</f>
      </c>
      <c r="AA216">
        <f>IF(Z216&lt;&gt;"",D216&amp;"|"&amp;Z216,"")</f>
      </c>
      <c r="AB216">
        <f>IF(AA216&lt;&gt;"",IF(K216&lt;&gt;"",K216&amp;" ("&amp;M216&amp;")",M216),"")</f>
      </c>
      <c r="AC216">
        <f>IF($B216="","fecha, ","")&amp;IF($C216="","quién lo introduce, ","")&amp;IF($I216="","motivo, ","")&amp;IF($K216="","docente, ","")&amp;IF($L216="","horario, ","")&amp;IF($N216="","duración, ","")&amp;IF($Q216="","estado, ","")&amp;IF(AND($I216="Otros",$J216=""),"detalle del motivo, ","")&amp;IF(AND($O216="Sí",$P216=""),"detalle del refuerzo, ","")&amp;IF(AND(OR($I216="Renuncia (hasta 30 nov)",$I216="Baja (desde 1 dic)",$I216="Renuncia excepcional (art. 25.3)",$I216="Traslado de expediente"),OR($E216="",$F216="",$G216="")),"quién deja la plaza, ","")&amp;IF(AND($Q216="No disponible",$R216=""),"vía de cobertura, ","")&amp;IF(AND(OR($R216="Lista de espera · propio centro",$R216="Traslado de expediente",$R216="Lista de espera · otro centro"),OR($S216="",$T216="",$U216="")),"quién ocupa la plaza, ","")</f>
      </c>
      <c r="AD216" s="24">
        <f>IF($D216="","",IF(AND(LEN($AC216)=0,LEN($AK216)=0),"Completa",IF(LEN($AC216)=0,"Revisar: "&amp;LEFT($AK216,LEN($AK216)-2),"Falta: "&amp;LEFT($AC216,LEN($AC216)-2)&amp;IF(LEN($AK216)&gt;0,"  ·  Revisar: "&amp;LEFT($AK216,LEN($AK216)-2),""))))</f>
      </c>
      <c r="AE216">
        <f>IF(AND($D216&lt;&gt;"",OR($I216="Renuncia (hasta 30 nov)",$I216="Baja (desde 1 dic)",$I216="Renuncia excepcional (art. 25.3)",$I216="Traslado de expediente")),COUNTIF($AE$1:AE215,"&gt;0")+1,"")</f>
      </c>
      <c r="AF216">
        <f>IF($Q216="Disponible",COUNTIF($AF$1:AF215,"&gt;0")+1,"")</f>
      </c>
      <c r="AG216">
        <f>IF($O216="Sí",COUNTIF($AG$1:AG215,"&gt;0")+1,"")</f>
      </c>
      <c r="AH216">
        <f>IF(AND($Q216="Disponible",$O216&lt;&gt;"Sí"),COUNTIF($AH$1:AH215,"&gt;0")+1,"")</f>
      </c>
      <c r="AI216">
        <f>IF(AND($Q216="Disponible",$K216&lt;&gt;""),COUNTIFS($K$2:K216,K216,$Q$2:Q216,"Disponible"),"")</f>
      </c>
      <c r="AJ216">
        <f>IF(AI216&lt;&gt;"",K216&amp;"|"&amp;AI216,"")</f>
      </c>
      <c r="AK216">
        <f>IF(AND($Q216="No disponible",OR($R216="Lista de espera · propio centro",$R216="Traslado de expediente",$R216="Lista de espera · otro centro"),$O216="Sí"),"la plaza ya tiene alumno y sigue marcada como refuerzo, ","")&amp;IF(AND($R216="Reconvertida en refuerzo",$O216&lt;&gt;"Sí"),"reconvertida en refuerzo pero sin marcar «En uso como refuerzo», ","")</f>
      </c>
    </row>
    <row r="217" spans="1:37">
      <c r="A217" s="20">
        <f>IF(D217&lt;&gt;"",ROW()-1,"")</f>
      </c>
      <c r="B217" s="55"/>
      <c r="C217" s="56"/>
      <c r="D217" s="56"/>
      <c r="E217" s="56"/>
      <c r="F217" s="56"/>
      <c r="G217" s="56"/>
      <c r="H217" s="56"/>
      <c r="I217" s="56"/>
      <c r="J217" s="57"/>
      <c r="K217" s="56"/>
      <c r="L217" s="58"/>
      <c r="M217" s="58">
        <f>IF(L217="","",L217)</f>
      </c>
      <c r="N217" s="56"/>
      <c r="O217" s="56"/>
      <c r="P217" s="57"/>
      <c r="Q217" s="56"/>
      <c r="R217" s="56"/>
      <c r="S217" s="56"/>
      <c r="T217" s="56"/>
      <c r="U217" s="56"/>
      <c r="V217" s="57"/>
      <c r="W217">
        <f>IF(Q217="Disponible",COUNTIFS($D$2:D217,D217,$Q$2:Q217,"Disponible"),"")</f>
      </c>
      <c r="X217">
        <f>IF(W217&lt;&gt;"",D217&amp;"|"&amp;W217,"")</f>
      </c>
      <c r="Y217">
        <f>IF(X217&lt;&gt;"",IF(K217&lt;&gt;"",K217&amp;" ("&amp;M217&amp;")",M217),"")</f>
      </c>
      <c r="Z217">
        <f>IF(O217="Sí",COUNTIFS($D$2:D217,D217,$O$2:O217,"Sí"),"")</f>
      </c>
      <c r="AA217">
        <f>IF(Z217&lt;&gt;"",D217&amp;"|"&amp;Z217,"")</f>
      </c>
      <c r="AB217">
        <f>IF(AA217&lt;&gt;"",IF(K217&lt;&gt;"",K217&amp;" ("&amp;M217&amp;")",M217),"")</f>
      </c>
      <c r="AC217">
        <f>IF($B217="","fecha, ","")&amp;IF($C217="","quién lo introduce, ","")&amp;IF($I217="","motivo, ","")&amp;IF($K217="","docente, ","")&amp;IF($L217="","horario, ","")&amp;IF($N217="","duración, ","")&amp;IF($Q217="","estado, ","")&amp;IF(AND($I217="Otros",$J217=""),"detalle del motivo, ","")&amp;IF(AND($O217="Sí",$P217=""),"detalle del refuerzo, ","")&amp;IF(AND(OR($I217="Renuncia (hasta 30 nov)",$I217="Baja (desde 1 dic)",$I217="Renuncia excepcional (art. 25.3)",$I217="Traslado de expediente"),OR($E217="",$F217="",$G217="")),"quién deja la plaza, ","")&amp;IF(AND($Q217="No disponible",$R217=""),"vía de cobertura, ","")&amp;IF(AND(OR($R217="Lista de espera · propio centro",$R217="Traslado de expediente",$R217="Lista de espera · otro centro"),OR($S217="",$T217="",$U217="")),"quién ocupa la plaza, ","")</f>
      </c>
      <c r="AD217" s="24">
        <f>IF($D217="","",IF(AND(LEN($AC217)=0,LEN($AK217)=0),"Completa",IF(LEN($AC217)=0,"Revisar: "&amp;LEFT($AK217,LEN($AK217)-2),"Falta: "&amp;LEFT($AC217,LEN($AC217)-2)&amp;IF(LEN($AK217)&gt;0,"  ·  Revisar: "&amp;LEFT($AK217,LEN($AK217)-2),""))))</f>
      </c>
      <c r="AE217">
        <f>IF(AND($D217&lt;&gt;"",OR($I217="Renuncia (hasta 30 nov)",$I217="Baja (desde 1 dic)",$I217="Renuncia excepcional (art. 25.3)",$I217="Traslado de expediente")),COUNTIF($AE$1:AE216,"&gt;0")+1,"")</f>
      </c>
      <c r="AF217">
        <f>IF($Q217="Disponible",COUNTIF($AF$1:AF216,"&gt;0")+1,"")</f>
      </c>
      <c r="AG217">
        <f>IF($O217="Sí",COUNTIF($AG$1:AG216,"&gt;0")+1,"")</f>
      </c>
      <c r="AH217">
        <f>IF(AND($Q217="Disponible",$O217&lt;&gt;"Sí"),COUNTIF($AH$1:AH216,"&gt;0")+1,"")</f>
      </c>
      <c r="AI217">
        <f>IF(AND($Q217="Disponible",$K217&lt;&gt;""),COUNTIFS($K$2:K217,K217,$Q$2:Q217,"Disponible"),"")</f>
      </c>
      <c r="AJ217">
        <f>IF(AI217&lt;&gt;"",K217&amp;"|"&amp;AI217,"")</f>
      </c>
      <c r="AK217">
        <f>IF(AND($Q217="No disponible",OR($R217="Lista de espera · propio centro",$R217="Traslado de expediente",$R217="Lista de espera · otro centro"),$O217="Sí"),"la plaza ya tiene alumno y sigue marcada como refuerzo, ","")&amp;IF(AND($R217="Reconvertida en refuerzo",$O217&lt;&gt;"Sí"),"reconvertida en refuerzo pero sin marcar «En uso como refuerzo», ","")</f>
      </c>
    </row>
    <row r="218" spans="1:37">
      <c r="A218" s="20">
        <f>IF(D218&lt;&gt;"",ROW()-1,"")</f>
      </c>
      <c r="B218" s="55"/>
      <c r="C218" s="56"/>
      <c r="D218" s="56"/>
      <c r="E218" s="56"/>
      <c r="F218" s="56"/>
      <c r="G218" s="56"/>
      <c r="H218" s="56"/>
      <c r="I218" s="56"/>
      <c r="J218" s="57"/>
      <c r="K218" s="56"/>
      <c r="L218" s="58"/>
      <c r="M218" s="58">
        <f>IF(L218="","",L218)</f>
      </c>
      <c r="N218" s="56"/>
      <c r="O218" s="56"/>
      <c r="P218" s="57"/>
      <c r="Q218" s="56"/>
      <c r="R218" s="56"/>
      <c r="S218" s="56"/>
      <c r="T218" s="56"/>
      <c r="U218" s="56"/>
      <c r="V218" s="57"/>
      <c r="W218">
        <f>IF(Q218="Disponible",COUNTIFS($D$2:D218,D218,$Q$2:Q218,"Disponible"),"")</f>
      </c>
      <c r="X218">
        <f>IF(W218&lt;&gt;"",D218&amp;"|"&amp;W218,"")</f>
      </c>
      <c r="Y218">
        <f>IF(X218&lt;&gt;"",IF(K218&lt;&gt;"",K218&amp;" ("&amp;M218&amp;")",M218),"")</f>
      </c>
      <c r="Z218">
        <f>IF(O218="Sí",COUNTIFS($D$2:D218,D218,$O$2:O218,"Sí"),"")</f>
      </c>
      <c r="AA218">
        <f>IF(Z218&lt;&gt;"",D218&amp;"|"&amp;Z218,"")</f>
      </c>
      <c r="AB218">
        <f>IF(AA218&lt;&gt;"",IF(K218&lt;&gt;"",K218&amp;" ("&amp;M218&amp;")",M218),"")</f>
      </c>
      <c r="AC218">
        <f>IF($B218="","fecha, ","")&amp;IF($C218="","quién lo introduce, ","")&amp;IF($I218="","motivo, ","")&amp;IF($K218="","docente, ","")&amp;IF($L218="","horario, ","")&amp;IF($N218="","duración, ","")&amp;IF($Q218="","estado, ","")&amp;IF(AND($I218="Otros",$J218=""),"detalle del motivo, ","")&amp;IF(AND($O218="Sí",$P218=""),"detalle del refuerzo, ","")&amp;IF(AND(OR($I218="Renuncia (hasta 30 nov)",$I218="Baja (desde 1 dic)",$I218="Renuncia excepcional (art. 25.3)",$I218="Traslado de expediente"),OR($E218="",$F218="",$G218="")),"quién deja la plaza, ","")&amp;IF(AND($Q218="No disponible",$R218=""),"vía de cobertura, ","")&amp;IF(AND(OR($R218="Lista de espera · propio centro",$R218="Traslado de expediente",$R218="Lista de espera · otro centro"),OR($S218="",$T218="",$U218="")),"quién ocupa la plaza, ","")</f>
      </c>
      <c r="AD218" s="24">
        <f>IF($D218="","",IF(AND(LEN($AC218)=0,LEN($AK218)=0),"Completa",IF(LEN($AC218)=0,"Revisar: "&amp;LEFT($AK218,LEN($AK218)-2),"Falta: "&amp;LEFT($AC218,LEN($AC218)-2)&amp;IF(LEN($AK218)&gt;0,"  ·  Revisar: "&amp;LEFT($AK218,LEN($AK218)-2),""))))</f>
      </c>
      <c r="AE218">
        <f>IF(AND($D218&lt;&gt;"",OR($I218="Renuncia (hasta 30 nov)",$I218="Baja (desde 1 dic)",$I218="Renuncia excepcional (art. 25.3)",$I218="Traslado de expediente")),COUNTIF($AE$1:AE217,"&gt;0")+1,"")</f>
      </c>
      <c r="AF218">
        <f>IF($Q218="Disponible",COUNTIF($AF$1:AF217,"&gt;0")+1,"")</f>
      </c>
      <c r="AG218">
        <f>IF($O218="Sí",COUNTIF($AG$1:AG217,"&gt;0")+1,"")</f>
      </c>
      <c r="AH218">
        <f>IF(AND($Q218="Disponible",$O218&lt;&gt;"Sí"),COUNTIF($AH$1:AH217,"&gt;0")+1,"")</f>
      </c>
      <c r="AI218">
        <f>IF(AND($Q218="Disponible",$K218&lt;&gt;""),COUNTIFS($K$2:K218,K218,$Q$2:Q218,"Disponible"),"")</f>
      </c>
      <c r="AJ218">
        <f>IF(AI218&lt;&gt;"",K218&amp;"|"&amp;AI218,"")</f>
      </c>
      <c r="AK218">
        <f>IF(AND($Q218="No disponible",OR($R218="Lista de espera · propio centro",$R218="Traslado de expediente",$R218="Lista de espera · otro centro"),$O218="Sí"),"la plaza ya tiene alumno y sigue marcada como refuerzo, ","")&amp;IF(AND($R218="Reconvertida en refuerzo",$O218&lt;&gt;"Sí"),"reconvertida en refuerzo pero sin marcar «En uso como refuerzo», ","")</f>
      </c>
    </row>
    <row r="219" spans="1:37">
      <c r="A219" s="20">
        <f>IF(D219&lt;&gt;"",ROW()-1,"")</f>
      </c>
      <c r="B219" s="55"/>
      <c r="C219" s="56"/>
      <c r="D219" s="56"/>
      <c r="E219" s="56"/>
      <c r="F219" s="56"/>
      <c r="G219" s="56"/>
      <c r="H219" s="56"/>
      <c r="I219" s="56"/>
      <c r="J219" s="57"/>
      <c r="K219" s="56"/>
      <c r="L219" s="58"/>
      <c r="M219" s="58">
        <f>IF(L219="","",L219)</f>
      </c>
      <c r="N219" s="56"/>
      <c r="O219" s="56"/>
      <c r="P219" s="57"/>
      <c r="Q219" s="56"/>
      <c r="R219" s="56"/>
      <c r="S219" s="56"/>
      <c r="T219" s="56"/>
      <c r="U219" s="56"/>
      <c r="V219" s="57"/>
      <c r="W219">
        <f>IF(Q219="Disponible",COUNTIFS($D$2:D219,D219,$Q$2:Q219,"Disponible"),"")</f>
      </c>
      <c r="X219">
        <f>IF(W219&lt;&gt;"",D219&amp;"|"&amp;W219,"")</f>
      </c>
      <c r="Y219">
        <f>IF(X219&lt;&gt;"",IF(K219&lt;&gt;"",K219&amp;" ("&amp;M219&amp;")",M219),"")</f>
      </c>
      <c r="Z219">
        <f>IF(O219="Sí",COUNTIFS($D$2:D219,D219,$O$2:O219,"Sí"),"")</f>
      </c>
      <c r="AA219">
        <f>IF(Z219&lt;&gt;"",D219&amp;"|"&amp;Z219,"")</f>
      </c>
      <c r="AB219">
        <f>IF(AA219&lt;&gt;"",IF(K219&lt;&gt;"",K219&amp;" ("&amp;M219&amp;")",M219),"")</f>
      </c>
      <c r="AC219">
        <f>IF($B219="","fecha, ","")&amp;IF($C219="","quién lo introduce, ","")&amp;IF($I219="","motivo, ","")&amp;IF($K219="","docente, ","")&amp;IF($L219="","horario, ","")&amp;IF($N219="","duración, ","")&amp;IF($Q219="","estado, ","")&amp;IF(AND($I219="Otros",$J219=""),"detalle del motivo, ","")&amp;IF(AND($O219="Sí",$P219=""),"detalle del refuerzo, ","")&amp;IF(AND(OR($I219="Renuncia (hasta 30 nov)",$I219="Baja (desde 1 dic)",$I219="Renuncia excepcional (art. 25.3)",$I219="Traslado de expediente"),OR($E219="",$F219="",$G219="")),"quién deja la plaza, ","")&amp;IF(AND($Q219="No disponible",$R219=""),"vía de cobertura, ","")&amp;IF(AND(OR($R219="Lista de espera · propio centro",$R219="Traslado de expediente",$R219="Lista de espera · otro centro"),OR($S219="",$T219="",$U219="")),"quién ocupa la plaza, ","")</f>
      </c>
      <c r="AD219" s="24">
        <f>IF($D219="","",IF(AND(LEN($AC219)=0,LEN($AK219)=0),"Completa",IF(LEN($AC219)=0,"Revisar: "&amp;LEFT($AK219,LEN($AK219)-2),"Falta: "&amp;LEFT($AC219,LEN($AC219)-2)&amp;IF(LEN($AK219)&gt;0,"  ·  Revisar: "&amp;LEFT($AK219,LEN($AK219)-2),""))))</f>
      </c>
      <c r="AE219">
        <f>IF(AND($D219&lt;&gt;"",OR($I219="Renuncia (hasta 30 nov)",$I219="Baja (desde 1 dic)",$I219="Renuncia excepcional (art. 25.3)",$I219="Traslado de expediente")),COUNTIF($AE$1:AE218,"&gt;0")+1,"")</f>
      </c>
      <c r="AF219">
        <f>IF($Q219="Disponible",COUNTIF($AF$1:AF218,"&gt;0")+1,"")</f>
      </c>
      <c r="AG219">
        <f>IF($O219="Sí",COUNTIF($AG$1:AG218,"&gt;0")+1,"")</f>
      </c>
      <c r="AH219">
        <f>IF(AND($Q219="Disponible",$O219&lt;&gt;"Sí"),COUNTIF($AH$1:AH218,"&gt;0")+1,"")</f>
      </c>
      <c r="AI219">
        <f>IF(AND($Q219="Disponible",$K219&lt;&gt;""),COUNTIFS($K$2:K219,K219,$Q$2:Q219,"Disponible"),"")</f>
      </c>
      <c r="AJ219">
        <f>IF(AI219&lt;&gt;"",K219&amp;"|"&amp;AI219,"")</f>
      </c>
      <c r="AK219">
        <f>IF(AND($Q219="No disponible",OR($R219="Lista de espera · propio centro",$R219="Traslado de expediente",$R219="Lista de espera · otro centro"),$O219="Sí"),"la plaza ya tiene alumno y sigue marcada como refuerzo, ","")&amp;IF(AND($R219="Reconvertida en refuerzo",$O219&lt;&gt;"Sí"),"reconvertida en refuerzo pero sin marcar «En uso como refuerzo», ","")</f>
      </c>
    </row>
    <row r="220" spans="1:37">
      <c r="A220" s="20">
        <f>IF(D220&lt;&gt;"",ROW()-1,"")</f>
      </c>
      <c r="B220" s="55"/>
      <c r="C220" s="56"/>
      <c r="D220" s="56"/>
      <c r="E220" s="56"/>
      <c r="F220" s="56"/>
      <c r="G220" s="56"/>
      <c r="H220" s="56"/>
      <c r="I220" s="56"/>
      <c r="J220" s="57"/>
      <c r="K220" s="56"/>
      <c r="L220" s="58"/>
      <c r="M220" s="58">
        <f>IF(L220="","",L220)</f>
      </c>
      <c r="N220" s="56"/>
      <c r="O220" s="56"/>
      <c r="P220" s="57"/>
      <c r="Q220" s="56"/>
      <c r="R220" s="56"/>
      <c r="S220" s="56"/>
      <c r="T220" s="56"/>
      <c r="U220" s="56"/>
      <c r="V220" s="57"/>
      <c r="W220">
        <f>IF(Q220="Disponible",COUNTIFS($D$2:D220,D220,$Q$2:Q220,"Disponible"),"")</f>
      </c>
      <c r="X220">
        <f>IF(W220&lt;&gt;"",D220&amp;"|"&amp;W220,"")</f>
      </c>
      <c r="Y220">
        <f>IF(X220&lt;&gt;"",IF(K220&lt;&gt;"",K220&amp;" ("&amp;M220&amp;")",M220),"")</f>
      </c>
      <c r="Z220">
        <f>IF(O220="Sí",COUNTIFS($D$2:D220,D220,$O$2:O220,"Sí"),"")</f>
      </c>
      <c r="AA220">
        <f>IF(Z220&lt;&gt;"",D220&amp;"|"&amp;Z220,"")</f>
      </c>
      <c r="AB220">
        <f>IF(AA220&lt;&gt;"",IF(K220&lt;&gt;"",K220&amp;" ("&amp;M220&amp;")",M220),"")</f>
      </c>
      <c r="AC220">
        <f>IF($B220="","fecha, ","")&amp;IF($C220="","quién lo introduce, ","")&amp;IF($I220="","motivo, ","")&amp;IF($K220="","docente, ","")&amp;IF($L220="","horario, ","")&amp;IF($N220="","duración, ","")&amp;IF($Q220="","estado, ","")&amp;IF(AND($I220="Otros",$J220=""),"detalle del motivo, ","")&amp;IF(AND($O220="Sí",$P220=""),"detalle del refuerzo, ","")&amp;IF(AND(OR($I220="Renuncia (hasta 30 nov)",$I220="Baja (desde 1 dic)",$I220="Renuncia excepcional (art. 25.3)",$I220="Traslado de expediente"),OR($E220="",$F220="",$G220="")),"quién deja la plaza, ","")&amp;IF(AND($Q220="No disponible",$R220=""),"vía de cobertura, ","")&amp;IF(AND(OR($R220="Lista de espera · propio centro",$R220="Traslado de expediente",$R220="Lista de espera · otro centro"),OR($S220="",$T220="",$U220="")),"quién ocupa la plaza, ","")</f>
      </c>
      <c r="AD220" s="24">
        <f>IF($D220="","",IF(AND(LEN($AC220)=0,LEN($AK220)=0),"Completa",IF(LEN($AC220)=0,"Revisar: "&amp;LEFT($AK220,LEN($AK220)-2),"Falta: "&amp;LEFT($AC220,LEN($AC220)-2)&amp;IF(LEN($AK220)&gt;0,"  ·  Revisar: "&amp;LEFT($AK220,LEN($AK220)-2),""))))</f>
      </c>
      <c r="AE220">
        <f>IF(AND($D220&lt;&gt;"",OR($I220="Renuncia (hasta 30 nov)",$I220="Baja (desde 1 dic)",$I220="Renuncia excepcional (art. 25.3)",$I220="Traslado de expediente")),COUNTIF($AE$1:AE219,"&gt;0")+1,"")</f>
      </c>
      <c r="AF220">
        <f>IF($Q220="Disponible",COUNTIF($AF$1:AF219,"&gt;0")+1,"")</f>
      </c>
      <c r="AG220">
        <f>IF($O220="Sí",COUNTIF($AG$1:AG219,"&gt;0")+1,"")</f>
      </c>
      <c r="AH220">
        <f>IF(AND($Q220="Disponible",$O220&lt;&gt;"Sí"),COUNTIF($AH$1:AH219,"&gt;0")+1,"")</f>
      </c>
      <c r="AI220">
        <f>IF(AND($Q220="Disponible",$K220&lt;&gt;""),COUNTIFS($K$2:K220,K220,$Q$2:Q220,"Disponible"),"")</f>
      </c>
      <c r="AJ220">
        <f>IF(AI220&lt;&gt;"",K220&amp;"|"&amp;AI220,"")</f>
      </c>
      <c r="AK220">
        <f>IF(AND($Q220="No disponible",OR($R220="Lista de espera · propio centro",$R220="Traslado de expediente",$R220="Lista de espera · otro centro"),$O220="Sí"),"la plaza ya tiene alumno y sigue marcada como refuerzo, ","")&amp;IF(AND($R220="Reconvertida en refuerzo",$O220&lt;&gt;"Sí"),"reconvertida en refuerzo pero sin marcar «En uso como refuerzo», ","")</f>
      </c>
    </row>
    <row r="221" spans="1:37">
      <c r="A221" s="20">
        <f>IF(D221&lt;&gt;"",ROW()-1,"")</f>
      </c>
      <c r="B221" s="55"/>
      <c r="C221" s="56"/>
      <c r="D221" s="56"/>
      <c r="E221" s="56"/>
      <c r="F221" s="56"/>
      <c r="G221" s="56"/>
      <c r="H221" s="56"/>
      <c r="I221" s="56"/>
      <c r="J221" s="57"/>
      <c r="K221" s="56"/>
      <c r="L221" s="58"/>
      <c r="M221" s="58">
        <f>IF(L221="","",L221)</f>
      </c>
      <c r="N221" s="56"/>
      <c r="O221" s="56"/>
      <c r="P221" s="57"/>
      <c r="Q221" s="56"/>
      <c r="R221" s="56"/>
      <c r="S221" s="56"/>
      <c r="T221" s="56"/>
      <c r="U221" s="56"/>
      <c r="V221" s="57"/>
      <c r="W221">
        <f>IF(Q221="Disponible",COUNTIFS($D$2:D221,D221,$Q$2:Q221,"Disponible"),"")</f>
      </c>
      <c r="X221">
        <f>IF(W221&lt;&gt;"",D221&amp;"|"&amp;W221,"")</f>
      </c>
      <c r="Y221">
        <f>IF(X221&lt;&gt;"",IF(K221&lt;&gt;"",K221&amp;" ("&amp;M221&amp;")",M221),"")</f>
      </c>
      <c r="Z221">
        <f>IF(O221="Sí",COUNTIFS($D$2:D221,D221,$O$2:O221,"Sí"),"")</f>
      </c>
      <c r="AA221">
        <f>IF(Z221&lt;&gt;"",D221&amp;"|"&amp;Z221,"")</f>
      </c>
      <c r="AB221">
        <f>IF(AA221&lt;&gt;"",IF(K221&lt;&gt;"",K221&amp;" ("&amp;M221&amp;")",M221),"")</f>
      </c>
      <c r="AC221">
        <f>IF($B221="","fecha, ","")&amp;IF($C221="","quién lo introduce, ","")&amp;IF($I221="","motivo, ","")&amp;IF($K221="","docente, ","")&amp;IF($L221="","horario, ","")&amp;IF($N221="","duración, ","")&amp;IF($Q221="","estado, ","")&amp;IF(AND($I221="Otros",$J221=""),"detalle del motivo, ","")&amp;IF(AND($O221="Sí",$P221=""),"detalle del refuerzo, ","")&amp;IF(AND(OR($I221="Renuncia (hasta 30 nov)",$I221="Baja (desde 1 dic)",$I221="Renuncia excepcional (art. 25.3)",$I221="Traslado de expediente"),OR($E221="",$F221="",$G221="")),"quién deja la plaza, ","")&amp;IF(AND($Q221="No disponible",$R221=""),"vía de cobertura, ","")&amp;IF(AND(OR($R221="Lista de espera · propio centro",$R221="Traslado de expediente",$R221="Lista de espera · otro centro"),OR($S221="",$T221="",$U221="")),"quién ocupa la plaza, ","")</f>
      </c>
      <c r="AD221" s="24">
        <f>IF($D221="","",IF(AND(LEN($AC221)=0,LEN($AK221)=0),"Completa",IF(LEN($AC221)=0,"Revisar: "&amp;LEFT($AK221,LEN($AK221)-2),"Falta: "&amp;LEFT($AC221,LEN($AC221)-2)&amp;IF(LEN($AK221)&gt;0,"  ·  Revisar: "&amp;LEFT($AK221,LEN($AK221)-2),""))))</f>
      </c>
      <c r="AE221">
        <f>IF(AND($D221&lt;&gt;"",OR($I221="Renuncia (hasta 30 nov)",$I221="Baja (desde 1 dic)",$I221="Renuncia excepcional (art. 25.3)",$I221="Traslado de expediente")),COUNTIF($AE$1:AE220,"&gt;0")+1,"")</f>
      </c>
      <c r="AF221">
        <f>IF($Q221="Disponible",COUNTIF($AF$1:AF220,"&gt;0")+1,"")</f>
      </c>
      <c r="AG221">
        <f>IF($O221="Sí",COUNTIF($AG$1:AG220,"&gt;0")+1,"")</f>
      </c>
      <c r="AH221">
        <f>IF(AND($Q221="Disponible",$O221&lt;&gt;"Sí"),COUNTIF($AH$1:AH220,"&gt;0")+1,"")</f>
      </c>
      <c r="AI221">
        <f>IF(AND($Q221="Disponible",$K221&lt;&gt;""),COUNTIFS($K$2:K221,K221,$Q$2:Q221,"Disponible"),"")</f>
      </c>
      <c r="AJ221">
        <f>IF(AI221&lt;&gt;"",K221&amp;"|"&amp;AI221,"")</f>
      </c>
      <c r="AK221">
        <f>IF(AND($Q221="No disponible",OR($R221="Lista de espera · propio centro",$R221="Traslado de expediente",$R221="Lista de espera · otro centro"),$O221="Sí"),"la plaza ya tiene alumno y sigue marcada como refuerzo, ","")&amp;IF(AND($R221="Reconvertida en refuerzo",$O221&lt;&gt;"Sí"),"reconvertida en refuerzo pero sin marcar «En uso como refuerzo», ","")</f>
      </c>
    </row>
    <row r="222" spans="1:37">
      <c r="A222" s="20">
        <f>IF(D222&lt;&gt;"",ROW()-1,"")</f>
      </c>
      <c r="B222" s="55"/>
      <c r="C222" s="56"/>
      <c r="D222" s="56"/>
      <c r="E222" s="56"/>
      <c r="F222" s="56"/>
      <c r="G222" s="56"/>
      <c r="H222" s="56"/>
      <c r="I222" s="56"/>
      <c r="J222" s="57"/>
      <c r="K222" s="56"/>
      <c r="L222" s="58"/>
      <c r="M222" s="58">
        <f>IF(L222="","",L222)</f>
      </c>
      <c r="N222" s="56"/>
      <c r="O222" s="56"/>
      <c r="P222" s="57"/>
      <c r="Q222" s="56"/>
      <c r="R222" s="56"/>
      <c r="S222" s="56"/>
      <c r="T222" s="56"/>
      <c r="U222" s="56"/>
      <c r="V222" s="57"/>
      <c r="W222">
        <f>IF(Q222="Disponible",COUNTIFS($D$2:D222,D222,$Q$2:Q222,"Disponible"),"")</f>
      </c>
      <c r="X222">
        <f>IF(W222&lt;&gt;"",D222&amp;"|"&amp;W222,"")</f>
      </c>
      <c r="Y222">
        <f>IF(X222&lt;&gt;"",IF(K222&lt;&gt;"",K222&amp;" ("&amp;M222&amp;")",M222),"")</f>
      </c>
      <c r="Z222">
        <f>IF(O222="Sí",COUNTIFS($D$2:D222,D222,$O$2:O222,"Sí"),"")</f>
      </c>
      <c r="AA222">
        <f>IF(Z222&lt;&gt;"",D222&amp;"|"&amp;Z222,"")</f>
      </c>
      <c r="AB222">
        <f>IF(AA222&lt;&gt;"",IF(K222&lt;&gt;"",K222&amp;" ("&amp;M222&amp;")",M222),"")</f>
      </c>
      <c r="AC222">
        <f>IF($B222="","fecha, ","")&amp;IF($C222="","quién lo introduce, ","")&amp;IF($I222="","motivo, ","")&amp;IF($K222="","docente, ","")&amp;IF($L222="","horario, ","")&amp;IF($N222="","duración, ","")&amp;IF($Q222="","estado, ","")&amp;IF(AND($I222="Otros",$J222=""),"detalle del motivo, ","")&amp;IF(AND($O222="Sí",$P222=""),"detalle del refuerzo, ","")&amp;IF(AND(OR($I222="Renuncia (hasta 30 nov)",$I222="Baja (desde 1 dic)",$I222="Renuncia excepcional (art. 25.3)",$I222="Traslado de expediente"),OR($E222="",$F222="",$G222="")),"quién deja la plaza, ","")&amp;IF(AND($Q222="No disponible",$R222=""),"vía de cobertura, ","")&amp;IF(AND(OR($R222="Lista de espera · propio centro",$R222="Traslado de expediente",$R222="Lista de espera · otro centro"),OR($S222="",$T222="",$U222="")),"quién ocupa la plaza, ","")</f>
      </c>
      <c r="AD222" s="24">
        <f>IF($D222="","",IF(AND(LEN($AC222)=0,LEN($AK222)=0),"Completa",IF(LEN($AC222)=0,"Revisar: "&amp;LEFT($AK222,LEN($AK222)-2),"Falta: "&amp;LEFT($AC222,LEN($AC222)-2)&amp;IF(LEN($AK222)&gt;0,"  ·  Revisar: "&amp;LEFT($AK222,LEN($AK222)-2),""))))</f>
      </c>
      <c r="AE222">
        <f>IF(AND($D222&lt;&gt;"",OR($I222="Renuncia (hasta 30 nov)",$I222="Baja (desde 1 dic)",$I222="Renuncia excepcional (art. 25.3)",$I222="Traslado de expediente")),COUNTIF($AE$1:AE221,"&gt;0")+1,"")</f>
      </c>
      <c r="AF222">
        <f>IF($Q222="Disponible",COUNTIF($AF$1:AF221,"&gt;0")+1,"")</f>
      </c>
      <c r="AG222">
        <f>IF($O222="Sí",COUNTIF($AG$1:AG221,"&gt;0")+1,"")</f>
      </c>
      <c r="AH222">
        <f>IF(AND($Q222="Disponible",$O222&lt;&gt;"Sí"),COUNTIF($AH$1:AH221,"&gt;0")+1,"")</f>
      </c>
      <c r="AI222">
        <f>IF(AND($Q222="Disponible",$K222&lt;&gt;""),COUNTIFS($K$2:K222,K222,$Q$2:Q222,"Disponible"),"")</f>
      </c>
      <c r="AJ222">
        <f>IF(AI222&lt;&gt;"",K222&amp;"|"&amp;AI222,"")</f>
      </c>
      <c r="AK222">
        <f>IF(AND($Q222="No disponible",OR($R222="Lista de espera · propio centro",$R222="Traslado de expediente",$R222="Lista de espera · otro centro"),$O222="Sí"),"la plaza ya tiene alumno y sigue marcada como refuerzo, ","")&amp;IF(AND($R222="Reconvertida en refuerzo",$O222&lt;&gt;"Sí"),"reconvertida en refuerzo pero sin marcar «En uso como refuerzo», ","")</f>
      </c>
    </row>
    <row r="223" spans="1:37">
      <c r="A223" s="20">
        <f>IF(D223&lt;&gt;"",ROW()-1,"")</f>
      </c>
      <c r="B223" s="55"/>
      <c r="C223" s="56"/>
      <c r="D223" s="56"/>
      <c r="E223" s="56"/>
      <c r="F223" s="56"/>
      <c r="G223" s="56"/>
      <c r="H223" s="56"/>
      <c r="I223" s="56"/>
      <c r="J223" s="57"/>
      <c r="K223" s="56"/>
      <c r="L223" s="58"/>
      <c r="M223" s="58">
        <f>IF(L223="","",L223)</f>
      </c>
      <c r="N223" s="56"/>
      <c r="O223" s="56"/>
      <c r="P223" s="57"/>
      <c r="Q223" s="56"/>
      <c r="R223" s="56"/>
      <c r="S223" s="56"/>
      <c r="T223" s="56"/>
      <c r="U223" s="56"/>
      <c r="V223" s="57"/>
      <c r="W223">
        <f>IF(Q223="Disponible",COUNTIFS($D$2:D223,D223,$Q$2:Q223,"Disponible"),"")</f>
      </c>
      <c r="X223">
        <f>IF(W223&lt;&gt;"",D223&amp;"|"&amp;W223,"")</f>
      </c>
      <c r="Y223">
        <f>IF(X223&lt;&gt;"",IF(K223&lt;&gt;"",K223&amp;" ("&amp;M223&amp;")",M223),"")</f>
      </c>
      <c r="Z223">
        <f>IF(O223="Sí",COUNTIFS($D$2:D223,D223,$O$2:O223,"Sí"),"")</f>
      </c>
      <c r="AA223">
        <f>IF(Z223&lt;&gt;"",D223&amp;"|"&amp;Z223,"")</f>
      </c>
      <c r="AB223">
        <f>IF(AA223&lt;&gt;"",IF(K223&lt;&gt;"",K223&amp;" ("&amp;M223&amp;")",M223),"")</f>
      </c>
      <c r="AC223">
        <f>IF($B223="","fecha, ","")&amp;IF($C223="","quién lo introduce, ","")&amp;IF($I223="","motivo, ","")&amp;IF($K223="","docente, ","")&amp;IF($L223="","horario, ","")&amp;IF($N223="","duración, ","")&amp;IF($Q223="","estado, ","")&amp;IF(AND($I223="Otros",$J223=""),"detalle del motivo, ","")&amp;IF(AND($O223="Sí",$P223=""),"detalle del refuerzo, ","")&amp;IF(AND(OR($I223="Renuncia (hasta 30 nov)",$I223="Baja (desde 1 dic)",$I223="Renuncia excepcional (art. 25.3)",$I223="Traslado de expediente"),OR($E223="",$F223="",$G223="")),"quién deja la plaza, ","")&amp;IF(AND($Q223="No disponible",$R223=""),"vía de cobertura, ","")&amp;IF(AND(OR($R223="Lista de espera · propio centro",$R223="Traslado de expediente",$R223="Lista de espera · otro centro"),OR($S223="",$T223="",$U223="")),"quién ocupa la plaza, ","")</f>
      </c>
      <c r="AD223" s="24">
        <f>IF($D223="","",IF(AND(LEN($AC223)=0,LEN($AK223)=0),"Completa",IF(LEN($AC223)=0,"Revisar: "&amp;LEFT($AK223,LEN($AK223)-2),"Falta: "&amp;LEFT($AC223,LEN($AC223)-2)&amp;IF(LEN($AK223)&gt;0,"  ·  Revisar: "&amp;LEFT($AK223,LEN($AK223)-2),""))))</f>
      </c>
      <c r="AE223">
        <f>IF(AND($D223&lt;&gt;"",OR($I223="Renuncia (hasta 30 nov)",$I223="Baja (desde 1 dic)",$I223="Renuncia excepcional (art. 25.3)",$I223="Traslado de expediente")),COUNTIF($AE$1:AE222,"&gt;0")+1,"")</f>
      </c>
      <c r="AF223">
        <f>IF($Q223="Disponible",COUNTIF($AF$1:AF222,"&gt;0")+1,"")</f>
      </c>
      <c r="AG223">
        <f>IF($O223="Sí",COUNTIF($AG$1:AG222,"&gt;0")+1,"")</f>
      </c>
      <c r="AH223">
        <f>IF(AND($Q223="Disponible",$O223&lt;&gt;"Sí"),COUNTIF($AH$1:AH222,"&gt;0")+1,"")</f>
      </c>
      <c r="AI223">
        <f>IF(AND($Q223="Disponible",$K223&lt;&gt;""),COUNTIFS($K$2:K223,K223,$Q$2:Q223,"Disponible"),"")</f>
      </c>
      <c r="AJ223">
        <f>IF(AI223&lt;&gt;"",K223&amp;"|"&amp;AI223,"")</f>
      </c>
      <c r="AK223">
        <f>IF(AND($Q223="No disponible",OR($R223="Lista de espera · propio centro",$R223="Traslado de expediente",$R223="Lista de espera · otro centro"),$O223="Sí"),"la plaza ya tiene alumno y sigue marcada como refuerzo, ","")&amp;IF(AND($R223="Reconvertida en refuerzo",$O223&lt;&gt;"Sí"),"reconvertida en refuerzo pero sin marcar «En uso como refuerzo», ","")</f>
      </c>
    </row>
    <row r="224" spans="1:37">
      <c r="A224" s="20">
        <f>IF(D224&lt;&gt;"",ROW()-1,"")</f>
      </c>
      <c r="B224" s="55"/>
      <c r="C224" s="56"/>
      <c r="D224" s="56"/>
      <c r="E224" s="56"/>
      <c r="F224" s="56"/>
      <c r="G224" s="56"/>
      <c r="H224" s="56"/>
      <c r="I224" s="56"/>
      <c r="J224" s="57"/>
      <c r="K224" s="56"/>
      <c r="L224" s="58"/>
      <c r="M224" s="58">
        <f>IF(L224="","",L224)</f>
      </c>
      <c r="N224" s="56"/>
      <c r="O224" s="56"/>
      <c r="P224" s="57"/>
      <c r="Q224" s="56"/>
      <c r="R224" s="56"/>
      <c r="S224" s="56"/>
      <c r="T224" s="56"/>
      <c r="U224" s="56"/>
      <c r="V224" s="57"/>
      <c r="W224">
        <f>IF(Q224="Disponible",COUNTIFS($D$2:D224,D224,$Q$2:Q224,"Disponible"),"")</f>
      </c>
      <c r="X224">
        <f>IF(W224&lt;&gt;"",D224&amp;"|"&amp;W224,"")</f>
      </c>
      <c r="Y224">
        <f>IF(X224&lt;&gt;"",IF(K224&lt;&gt;"",K224&amp;" ("&amp;M224&amp;")",M224),"")</f>
      </c>
      <c r="Z224">
        <f>IF(O224="Sí",COUNTIFS($D$2:D224,D224,$O$2:O224,"Sí"),"")</f>
      </c>
      <c r="AA224">
        <f>IF(Z224&lt;&gt;"",D224&amp;"|"&amp;Z224,"")</f>
      </c>
      <c r="AB224">
        <f>IF(AA224&lt;&gt;"",IF(K224&lt;&gt;"",K224&amp;" ("&amp;M224&amp;")",M224),"")</f>
      </c>
      <c r="AC224">
        <f>IF($B224="","fecha, ","")&amp;IF($C224="","quién lo introduce, ","")&amp;IF($I224="","motivo, ","")&amp;IF($K224="","docente, ","")&amp;IF($L224="","horario, ","")&amp;IF($N224="","duración, ","")&amp;IF($Q224="","estado, ","")&amp;IF(AND($I224="Otros",$J224=""),"detalle del motivo, ","")&amp;IF(AND($O224="Sí",$P224=""),"detalle del refuerzo, ","")&amp;IF(AND(OR($I224="Renuncia (hasta 30 nov)",$I224="Baja (desde 1 dic)",$I224="Renuncia excepcional (art. 25.3)",$I224="Traslado de expediente"),OR($E224="",$F224="",$G224="")),"quién deja la plaza, ","")&amp;IF(AND($Q224="No disponible",$R224=""),"vía de cobertura, ","")&amp;IF(AND(OR($R224="Lista de espera · propio centro",$R224="Traslado de expediente",$R224="Lista de espera · otro centro"),OR($S224="",$T224="",$U224="")),"quién ocupa la plaza, ","")</f>
      </c>
      <c r="AD224" s="24">
        <f>IF($D224="","",IF(AND(LEN($AC224)=0,LEN($AK224)=0),"Completa",IF(LEN($AC224)=0,"Revisar: "&amp;LEFT($AK224,LEN($AK224)-2),"Falta: "&amp;LEFT($AC224,LEN($AC224)-2)&amp;IF(LEN($AK224)&gt;0,"  ·  Revisar: "&amp;LEFT($AK224,LEN($AK224)-2),""))))</f>
      </c>
      <c r="AE224">
        <f>IF(AND($D224&lt;&gt;"",OR($I224="Renuncia (hasta 30 nov)",$I224="Baja (desde 1 dic)",$I224="Renuncia excepcional (art. 25.3)",$I224="Traslado de expediente")),COUNTIF($AE$1:AE223,"&gt;0")+1,"")</f>
      </c>
      <c r="AF224">
        <f>IF($Q224="Disponible",COUNTIF($AF$1:AF223,"&gt;0")+1,"")</f>
      </c>
      <c r="AG224">
        <f>IF($O224="Sí",COUNTIF($AG$1:AG223,"&gt;0")+1,"")</f>
      </c>
      <c r="AH224">
        <f>IF(AND($Q224="Disponible",$O224&lt;&gt;"Sí"),COUNTIF($AH$1:AH223,"&gt;0")+1,"")</f>
      </c>
      <c r="AI224">
        <f>IF(AND($Q224="Disponible",$K224&lt;&gt;""),COUNTIFS($K$2:K224,K224,$Q$2:Q224,"Disponible"),"")</f>
      </c>
      <c r="AJ224">
        <f>IF(AI224&lt;&gt;"",K224&amp;"|"&amp;AI224,"")</f>
      </c>
      <c r="AK224">
        <f>IF(AND($Q224="No disponible",OR($R224="Lista de espera · propio centro",$R224="Traslado de expediente",$R224="Lista de espera · otro centro"),$O224="Sí"),"la plaza ya tiene alumno y sigue marcada como refuerzo, ","")&amp;IF(AND($R224="Reconvertida en refuerzo",$O224&lt;&gt;"Sí"),"reconvertida en refuerzo pero sin marcar «En uso como refuerzo», ","")</f>
      </c>
    </row>
    <row r="225" spans="1:37">
      <c r="A225" s="20">
        <f>IF(D225&lt;&gt;"",ROW()-1,"")</f>
      </c>
      <c r="B225" s="55"/>
      <c r="C225" s="56"/>
      <c r="D225" s="56"/>
      <c r="E225" s="56"/>
      <c r="F225" s="56"/>
      <c r="G225" s="56"/>
      <c r="H225" s="56"/>
      <c r="I225" s="56"/>
      <c r="J225" s="57"/>
      <c r="K225" s="56"/>
      <c r="L225" s="58"/>
      <c r="M225" s="58">
        <f>IF(L225="","",L225)</f>
      </c>
      <c r="N225" s="56"/>
      <c r="O225" s="56"/>
      <c r="P225" s="57"/>
      <c r="Q225" s="56"/>
      <c r="R225" s="56"/>
      <c r="S225" s="56"/>
      <c r="T225" s="56"/>
      <c r="U225" s="56"/>
      <c r="V225" s="57"/>
      <c r="W225">
        <f>IF(Q225="Disponible",COUNTIFS($D$2:D225,D225,$Q$2:Q225,"Disponible"),"")</f>
      </c>
      <c r="X225">
        <f>IF(W225&lt;&gt;"",D225&amp;"|"&amp;W225,"")</f>
      </c>
      <c r="Y225">
        <f>IF(X225&lt;&gt;"",IF(K225&lt;&gt;"",K225&amp;" ("&amp;M225&amp;")",M225),"")</f>
      </c>
      <c r="Z225">
        <f>IF(O225="Sí",COUNTIFS($D$2:D225,D225,$O$2:O225,"Sí"),"")</f>
      </c>
      <c r="AA225">
        <f>IF(Z225&lt;&gt;"",D225&amp;"|"&amp;Z225,"")</f>
      </c>
      <c r="AB225">
        <f>IF(AA225&lt;&gt;"",IF(K225&lt;&gt;"",K225&amp;" ("&amp;M225&amp;")",M225),"")</f>
      </c>
      <c r="AC225">
        <f>IF($B225="","fecha, ","")&amp;IF($C225="","quién lo introduce, ","")&amp;IF($I225="","motivo, ","")&amp;IF($K225="","docente, ","")&amp;IF($L225="","horario, ","")&amp;IF($N225="","duración, ","")&amp;IF($Q225="","estado, ","")&amp;IF(AND($I225="Otros",$J225=""),"detalle del motivo, ","")&amp;IF(AND($O225="Sí",$P225=""),"detalle del refuerzo, ","")&amp;IF(AND(OR($I225="Renuncia (hasta 30 nov)",$I225="Baja (desde 1 dic)",$I225="Renuncia excepcional (art. 25.3)",$I225="Traslado de expediente"),OR($E225="",$F225="",$G225="")),"quién deja la plaza, ","")&amp;IF(AND($Q225="No disponible",$R225=""),"vía de cobertura, ","")&amp;IF(AND(OR($R225="Lista de espera · propio centro",$R225="Traslado de expediente",$R225="Lista de espera · otro centro"),OR($S225="",$T225="",$U225="")),"quién ocupa la plaza, ","")</f>
      </c>
      <c r="AD225" s="24">
        <f>IF($D225="","",IF(AND(LEN($AC225)=0,LEN($AK225)=0),"Completa",IF(LEN($AC225)=0,"Revisar: "&amp;LEFT($AK225,LEN($AK225)-2),"Falta: "&amp;LEFT($AC225,LEN($AC225)-2)&amp;IF(LEN($AK225)&gt;0,"  ·  Revisar: "&amp;LEFT($AK225,LEN($AK225)-2),""))))</f>
      </c>
      <c r="AE225">
        <f>IF(AND($D225&lt;&gt;"",OR($I225="Renuncia (hasta 30 nov)",$I225="Baja (desde 1 dic)",$I225="Renuncia excepcional (art. 25.3)",$I225="Traslado de expediente")),COUNTIF($AE$1:AE224,"&gt;0")+1,"")</f>
      </c>
      <c r="AF225">
        <f>IF($Q225="Disponible",COUNTIF($AF$1:AF224,"&gt;0")+1,"")</f>
      </c>
      <c r="AG225">
        <f>IF($O225="Sí",COUNTIF($AG$1:AG224,"&gt;0")+1,"")</f>
      </c>
      <c r="AH225">
        <f>IF(AND($Q225="Disponible",$O225&lt;&gt;"Sí"),COUNTIF($AH$1:AH224,"&gt;0")+1,"")</f>
      </c>
      <c r="AI225">
        <f>IF(AND($Q225="Disponible",$K225&lt;&gt;""),COUNTIFS($K$2:K225,K225,$Q$2:Q225,"Disponible"),"")</f>
      </c>
      <c r="AJ225">
        <f>IF(AI225&lt;&gt;"",K225&amp;"|"&amp;AI225,"")</f>
      </c>
      <c r="AK225">
        <f>IF(AND($Q225="No disponible",OR($R225="Lista de espera · propio centro",$R225="Traslado de expediente",$R225="Lista de espera · otro centro"),$O225="Sí"),"la plaza ya tiene alumno y sigue marcada como refuerzo, ","")&amp;IF(AND($R225="Reconvertida en refuerzo",$O225&lt;&gt;"Sí"),"reconvertida en refuerzo pero sin marcar «En uso como refuerzo», ","")</f>
      </c>
    </row>
    <row r="226" spans="1:37">
      <c r="A226" s="20">
        <f>IF(D226&lt;&gt;"",ROW()-1,"")</f>
      </c>
      <c r="B226" s="55"/>
      <c r="C226" s="56"/>
      <c r="D226" s="56"/>
      <c r="E226" s="56"/>
      <c r="F226" s="56"/>
      <c r="G226" s="56"/>
      <c r="H226" s="56"/>
      <c r="I226" s="56"/>
      <c r="J226" s="57"/>
      <c r="K226" s="56"/>
      <c r="L226" s="58"/>
      <c r="M226" s="58">
        <f>IF(L226="","",L226)</f>
      </c>
      <c r="N226" s="56"/>
      <c r="O226" s="56"/>
      <c r="P226" s="57"/>
      <c r="Q226" s="56"/>
      <c r="R226" s="56"/>
      <c r="S226" s="56"/>
      <c r="T226" s="56"/>
      <c r="U226" s="56"/>
      <c r="V226" s="57"/>
      <c r="W226">
        <f>IF(Q226="Disponible",COUNTIFS($D$2:D226,D226,$Q$2:Q226,"Disponible"),"")</f>
      </c>
      <c r="X226">
        <f>IF(W226&lt;&gt;"",D226&amp;"|"&amp;W226,"")</f>
      </c>
      <c r="Y226">
        <f>IF(X226&lt;&gt;"",IF(K226&lt;&gt;"",K226&amp;" ("&amp;M226&amp;")",M226),"")</f>
      </c>
      <c r="Z226">
        <f>IF(O226="Sí",COUNTIFS($D$2:D226,D226,$O$2:O226,"Sí"),"")</f>
      </c>
      <c r="AA226">
        <f>IF(Z226&lt;&gt;"",D226&amp;"|"&amp;Z226,"")</f>
      </c>
      <c r="AB226">
        <f>IF(AA226&lt;&gt;"",IF(K226&lt;&gt;"",K226&amp;" ("&amp;M226&amp;")",M226),"")</f>
      </c>
      <c r="AC226">
        <f>IF($B226="","fecha, ","")&amp;IF($C226="","quién lo introduce, ","")&amp;IF($I226="","motivo, ","")&amp;IF($K226="","docente, ","")&amp;IF($L226="","horario, ","")&amp;IF($N226="","duración, ","")&amp;IF($Q226="","estado, ","")&amp;IF(AND($I226="Otros",$J226=""),"detalle del motivo, ","")&amp;IF(AND($O226="Sí",$P226=""),"detalle del refuerzo, ","")&amp;IF(AND(OR($I226="Renuncia (hasta 30 nov)",$I226="Baja (desde 1 dic)",$I226="Renuncia excepcional (art. 25.3)",$I226="Traslado de expediente"),OR($E226="",$F226="",$G226="")),"quién deja la plaza, ","")&amp;IF(AND($Q226="No disponible",$R226=""),"vía de cobertura, ","")&amp;IF(AND(OR($R226="Lista de espera · propio centro",$R226="Traslado de expediente",$R226="Lista de espera · otro centro"),OR($S226="",$T226="",$U226="")),"quién ocupa la plaza, ","")</f>
      </c>
      <c r="AD226" s="24">
        <f>IF($D226="","",IF(AND(LEN($AC226)=0,LEN($AK226)=0),"Completa",IF(LEN($AC226)=0,"Revisar: "&amp;LEFT($AK226,LEN($AK226)-2),"Falta: "&amp;LEFT($AC226,LEN($AC226)-2)&amp;IF(LEN($AK226)&gt;0,"  ·  Revisar: "&amp;LEFT($AK226,LEN($AK226)-2),""))))</f>
      </c>
      <c r="AE226">
        <f>IF(AND($D226&lt;&gt;"",OR($I226="Renuncia (hasta 30 nov)",$I226="Baja (desde 1 dic)",$I226="Renuncia excepcional (art. 25.3)",$I226="Traslado de expediente")),COUNTIF($AE$1:AE225,"&gt;0")+1,"")</f>
      </c>
      <c r="AF226">
        <f>IF($Q226="Disponible",COUNTIF($AF$1:AF225,"&gt;0")+1,"")</f>
      </c>
      <c r="AG226">
        <f>IF($O226="Sí",COUNTIF($AG$1:AG225,"&gt;0")+1,"")</f>
      </c>
      <c r="AH226">
        <f>IF(AND($Q226="Disponible",$O226&lt;&gt;"Sí"),COUNTIF($AH$1:AH225,"&gt;0")+1,"")</f>
      </c>
      <c r="AI226">
        <f>IF(AND($Q226="Disponible",$K226&lt;&gt;""),COUNTIFS($K$2:K226,K226,$Q$2:Q226,"Disponible"),"")</f>
      </c>
      <c r="AJ226">
        <f>IF(AI226&lt;&gt;"",K226&amp;"|"&amp;AI226,"")</f>
      </c>
      <c r="AK226">
        <f>IF(AND($Q226="No disponible",OR($R226="Lista de espera · propio centro",$R226="Traslado de expediente",$R226="Lista de espera · otro centro"),$O226="Sí"),"la plaza ya tiene alumno y sigue marcada como refuerzo, ","")&amp;IF(AND($R226="Reconvertida en refuerzo",$O226&lt;&gt;"Sí"),"reconvertida en refuerzo pero sin marcar «En uso como refuerzo», ","")</f>
      </c>
    </row>
    <row r="227" spans="1:37">
      <c r="A227" s="20">
        <f>IF(D227&lt;&gt;"",ROW()-1,"")</f>
      </c>
      <c r="B227" s="55"/>
      <c r="C227" s="56"/>
      <c r="D227" s="56"/>
      <c r="E227" s="56"/>
      <c r="F227" s="56"/>
      <c r="G227" s="56"/>
      <c r="H227" s="56"/>
      <c r="I227" s="56"/>
      <c r="J227" s="57"/>
      <c r="K227" s="56"/>
      <c r="L227" s="58"/>
      <c r="M227" s="58">
        <f>IF(L227="","",L227)</f>
      </c>
      <c r="N227" s="56"/>
      <c r="O227" s="56"/>
      <c r="P227" s="57"/>
      <c r="Q227" s="56"/>
      <c r="R227" s="56"/>
      <c r="S227" s="56"/>
      <c r="T227" s="56"/>
      <c r="U227" s="56"/>
      <c r="V227" s="57"/>
      <c r="W227">
        <f>IF(Q227="Disponible",COUNTIFS($D$2:D227,D227,$Q$2:Q227,"Disponible"),"")</f>
      </c>
      <c r="X227">
        <f>IF(W227&lt;&gt;"",D227&amp;"|"&amp;W227,"")</f>
      </c>
      <c r="Y227">
        <f>IF(X227&lt;&gt;"",IF(K227&lt;&gt;"",K227&amp;" ("&amp;M227&amp;")",M227),"")</f>
      </c>
      <c r="Z227">
        <f>IF(O227="Sí",COUNTIFS($D$2:D227,D227,$O$2:O227,"Sí"),"")</f>
      </c>
      <c r="AA227">
        <f>IF(Z227&lt;&gt;"",D227&amp;"|"&amp;Z227,"")</f>
      </c>
      <c r="AB227">
        <f>IF(AA227&lt;&gt;"",IF(K227&lt;&gt;"",K227&amp;" ("&amp;M227&amp;")",M227),"")</f>
      </c>
      <c r="AC227">
        <f>IF($B227="","fecha, ","")&amp;IF($C227="","quién lo introduce, ","")&amp;IF($I227="","motivo, ","")&amp;IF($K227="","docente, ","")&amp;IF($L227="","horario, ","")&amp;IF($N227="","duración, ","")&amp;IF($Q227="","estado, ","")&amp;IF(AND($I227="Otros",$J227=""),"detalle del motivo, ","")&amp;IF(AND($O227="Sí",$P227=""),"detalle del refuerzo, ","")&amp;IF(AND(OR($I227="Renuncia (hasta 30 nov)",$I227="Baja (desde 1 dic)",$I227="Renuncia excepcional (art. 25.3)",$I227="Traslado de expediente"),OR($E227="",$F227="",$G227="")),"quién deja la plaza, ","")&amp;IF(AND($Q227="No disponible",$R227=""),"vía de cobertura, ","")&amp;IF(AND(OR($R227="Lista de espera · propio centro",$R227="Traslado de expediente",$R227="Lista de espera · otro centro"),OR($S227="",$T227="",$U227="")),"quién ocupa la plaza, ","")</f>
      </c>
      <c r="AD227" s="24">
        <f>IF($D227="","",IF(AND(LEN($AC227)=0,LEN($AK227)=0),"Completa",IF(LEN($AC227)=0,"Revisar: "&amp;LEFT($AK227,LEN($AK227)-2),"Falta: "&amp;LEFT($AC227,LEN($AC227)-2)&amp;IF(LEN($AK227)&gt;0,"  ·  Revisar: "&amp;LEFT($AK227,LEN($AK227)-2),""))))</f>
      </c>
      <c r="AE227">
        <f>IF(AND($D227&lt;&gt;"",OR($I227="Renuncia (hasta 30 nov)",$I227="Baja (desde 1 dic)",$I227="Renuncia excepcional (art. 25.3)",$I227="Traslado de expediente")),COUNTIF($AE$1:AE226,"&gt;0")+1,"")</f>
      </c>
      <c r="AF227">
        <f>IF($Q227="Disponible",COUNTIF($AF$1:AF226,"&gt;0")+1,"")</f>
      </c>
      <c r="AG227">
        <f>IF($O227="Sí",COUNTIF($AG$1:AG226,"&gt;0")+1,"")</f>
      </c>
      <c r="AH227">
        <f>IF(AND($Q227="Disponible",$O227&lt;&gt;"Sí"),COUNTIF($AH$1:AH226,"&gt;0")+1,"")</f>
      </c>
      <c r="AI227">
        <f>IF(AND($Q227="Disponible",$K227&lt;&gt;""),COUNTIFS($K$2:K227,K227,$Q$2:Q227,"Disponible"),"")</f>
      </c>
      <c r="AJ227">
        <f>IF(AI227&lt;&gt;"",K227&amp;"|"&amp;AI227,"")</f>
      </c>
      <c r="AK227">
        <f>IF(AND($Q227="No disponible",OR($R227="Lista de espera · propio centro",$R227="Traslado de expediente",$R227="Lista de espera · otro centro"),$O227="Sí"),"la plaza ya tiene alumno y sigue marcada como refuerzo, ","")&amp;IF(AND($R227="Reconvertida en refuerzo",$O227&lt;&gt;"Sí"),"reconvertida en refuerzo pero sin marcar «En uso como refuerzo», ","")</f>
      </c>
    </row>
    <row r="228" spans="1:37">
      <c r="A228" s="20">
        <f>IF(D228&lt;&gt;"",ROW()-1,"")</f>
      </c>
      <c r="B228" s="55"/>
      <c r="C228" s="56"/>
      <c r="D228" s="56"/>
      <c r="E228" s="56"/>
      <c r="F228" s="56"/>
      <c r="G228" s="56"/>
      <c r="H228" s="56"/>
      <c r="I228" s="56"/>
      <c r="J228" s="57"/>
      <c r="K228" s="56"/>
      <c r="L228" s="58"/>
      <c r="M228" s="58">
        <f>IF(L228="","",L228)</f>
      </c>
      <c r="N228" s="56"/>
      <c r="O228" s="56"/>
      <c r="P228" s="57"/>
      <c r="Q228" s="56"/>
      <c r="R228" s="56"/>
      <c r="S228" s="56"/>
      <c r="T228" s="56"/>
      <c r="U228" s="56"/>
      <c r="V228" s="57"/>
      <c r="W228">
        <f>IF(Q228="Disponible",COUNTIFS($D$2:D228,D228,$Q$2:Q228,"Disponible"),"")</f>
      </c>
      <c r="X228">
        <f>IF(W228&lt;&gt;"",D228&amp;"|"&amp;W228,"")</f>
      </c>
      <c r="Y228">
        <f>IF(X228&lt;&gt;"",IF(K228&lt;&gt;"",K228&amp;" ("&amp;M228&amp;")",M228),"")</f>
      </c>
      <c r="Z228">
        <f>IF(O228="Sí",COUNTIFS($D$2:D228,D228,$O$2:O228,"Sí"),"")</f>
      </c>
      <c r="AA228">
        <f>IF(Z228&lt;&gt;"",D228&amp;"|"&amp;Z228,"")</f>
      </c>
      <c r="AB228">
        <f>IF(AA228&lt;&gt;"",IF(K228&lt;&gt;"",K228&amp;" ("&amp;M228&amp;")",M228),"")</f>
      </c>
      <c r="AC228">
        <f>IF($B228="","fecha, ","")&amp;IF($C228="","quién lo introduce, ","")&amp;IF($I228="","motivo, ","")&amp;IF($K228="","docente, ","")&amp;IF($L228="","horario, ","")&amp;IF($N228="","duración, ","")&amp;IF($Q228="","estado, ","")&amp;IF(AND($I228="Otros",$J228=""),"detalle del motivo, ","")&amp;IF(AND($O228="Sí",$P228=""),"detalle del refuerzo, ","")&amp;IF(AND(OR($I228="Renuncia (hasta 30 nov)",$I228="Baja (desde 1 dic)",$I228="Renuncia excepcional (art. 25.3)",$I228="Traslado de expediente"),OR($E228="",$F228="",$G228="")),"quién deja la plaza, ","")&amp;IF(AND($Q228="No disponible",$R228=""),"vía de cobertura, ","")&amp;IF(AND(OR($R228="Lista de espera · propio centro",$R228="Traslado de expediente",$R228="Lista de espera · otro centro"),OR($S228="",$T228="",$U228="")),"quién ocupa la plaza, ","")</f>
      </c>
      <c r="AD228" s="24">
        <f>IF($D228="","",IF(AND(LEN($AC228)=0,LEN($AK228)=0),"Completa",IF(LEN($AC228)=0,"Revisar: "&amp;LEFT($AK228,LEN($AK228)-2),"Falta: "&amp;LEFT($AC228,LEN($AC228)-2)&amp;IF(LEN($AK228)&gt;0,"  ·  Revisar: "&amp;LEFT($AK228,LEN($AK228)-2),""))))</f>
      </c>
      <c r="AE228">
        <f>IF(AND($D228&lt;&gt;"",OR($I228="Renuncia (hasta 30 nov)",$I228="Baja (desde 1 dic)",$I228="Renuncia excepcional (art. 25.3)",$I228="Traslado de expediente")),COUNTIF($AE$1:AE227,"&gt;0")+1,"")</f>
      </c>
      <c r="AF228">
        <f>IF($Q228="Disponible",COUNTIF($AF$1:AF227,"&gt;0")+1,"")</f>
      </c>
      <c r="AG228">
        <f>IF($O228="Sí",COUNTIF($AG$1:AG227,"&gt;0")+1,"")</f>
      </c>
      <c r="AH228">
        <f>IF(AND($Q228="Disponible",$O228&lt;&gt;"Sí"),COUNTIF($AH$1:AH227,"&gt;0")+1,"")</f>
      </c>
      <c r="AI228">
        <f>IF(AND($Q228="Disponible",$K228&lt;&gt;""),COUNTIFS($K$2:K228,K228,$Q$2:Q228,"Disponible"),"")</f>
      </c>
      <c r="AJ228">
        <f>IF(AI228&lt;&gt;"",K228&amp;"|"&amp;AI228,"")</f>
      </c>
      <c r="AK228">
        <f>IF(AND($Q228="No disponible",OR($R228="Lista de espera · propio centro",$R228="Traslado de expediente",$R228="Lista de espera · otro centro"),$O228="Sí"),"la plaza ya tiene alumno y sigue marcada como refuerzo, ","")&amp;IF(AND($R228="Reconvertida en refuerzo",$O228&lt;&gt;"Sí"),"reconvertida en refuerzo pero sin marcar «En uso como refuerzo», ","")</f>
      </c>
    </row>
    <row r="229" spans="1:37">
      <c r="A229" s="20">
        <f>IF(D229&lt;&gt;"",ROW()-1,"")</f>
      </c>
      <c r="B229" s="55"/>
      <c r="C229" s="56"/>
      <c r="D229" s="56"/>
      <c r="E229" s="56"/>
      <c r="F229" s="56"/>
      <c r="G229" s="56"/>
      <c r="H229" s="56"/>
      <c r="I229" s="56"/>
      <c r="J229" s="57"/>
      <c r="K229" s="56"/>
      <c r="L229" s="58"/>
      <c r="M229" s="58">
        <f>IF(L229="","",L229)</f>
      </c>
      <c r="N229" s="56"/>
      <c r="O229" s="56"/>
      <c r="P229" s="57"/>
      <c r="Q229" s="56"/>
      <c r="R229" s="56"/>
      <c r="S229" s="56"/>
      <c r="T229" s="56"/>
      <c r="U229" s="56"/>
      <c r="V229" s="57"/>
      <c r="W229">
        <f>IF(Q229="Disponible",COUNTIFS($D$2:D229,D229,$Q$2:Q229,"Disponible"),"")</f>
      </c>
      <c r="X229">
        <f>IF(W229&lt;&gt;"",D229&amp;"|"&amp;W229,"")</f>
      </c>
      <c r="Y229">
        <f>IF(X229&lt;&gt;"",IF(K229&lt;&gt;"",K229&amp;" ("&amp;M229&amp;")",M229),"")</f>
      </c>
      <c r="Z229">
        <f>IF(O229="Sí",COUNTIFS($D$2:D229,D229,$O$2:O229,"Sí"),"")</f>
      </c>
      <c r="AA229">
        <f>IF(Z229&lt;&gt;"",D229&amp;"|"&amp;Z229,"")</f>
      </c>
      <c r="AB229">
        <f>IF(AA229&lt;&gt;"",IF(K229&lt;&gt;"",K229&amp;" ("&amp;M229&amp;")",M229),"")</f>
      </c>
      <c r="AC229">
        <f>IF($B229="","fecha, ","")&amp;IF($C229="","quién lo introduce, ","")&amp;IF($I229="","motivo, ","")&amp;IF($K229="","docente, ","")&amp;IF($L229="","horario, ","")&amp;IF($N229="","duración, ","")&amp;IF($Q229="","estado, ","")&amp;IF(AND($I229="Otros",$J229=""),"detalle del motivo, ","")&amp;IF(AND($O229="Sí",$P229=""),"detalle del refuerzo, ","")&amp;IF(AND(OR($I229="Renuncia (hasta 30 nov)",$I229="Baja (desde 1 dic)",$I229="Renuncia excepcional (art. 25.3)",$I229="Traslado de expediente"),OR($E229="",$F229="",$G229="")),"quién deja la plaza, ","")&amp;IF(AND($Q229="No disponible",$R229=""),"vía de cobertura, ","")&amp;IF(AND(OR($R229="Lista de espera · propio centro",$R229="Traslado de expediente",$R229="Lista de espera · otro centro"),OR($S229="",$T229="",$U229="")),"quién ocupa la plaza, ","")</f>
      </c>
      <c r="AD229" s="24">
        <f>IF($D229="","",IF(AND(LEN($AC229)=0,LEN($AK229)=0),"Completa",IF(LEN($AC229)=0,"Revisar: "&amp;LEFT($AK229,LEN($AK229)-2),"Falta: "&amp;LEFT($AC229,LEN($AC229)-2)&amp;IF(LEN($AK229)&gt;0,"  ·  Revisar: "&amp;LEFT($AK229,LEN($AK229)-2),""))))</f>
      </c>
      <c r="AE229">
        <f>IF(AND($D229&lt;&gt;"",OR($I229="Renuncia (hasta 30 nov)",$I229="Baja (desde 1 dic)",$I229="Renuncia excepcional (art. 25.3)",$I229="Traslado de expediente")),COUNTIF($AE$1:AE228,"&gt;0")+1,"")</f>
      </c>
      <c r="AF229">
        <f>IF($Q229="Disponible",COUNTIF($AF$1:AF228,"&gt;0")+1,"")</f>
      </c>
      <c r="AG229">
        <f>IF($O229="Sí",COUNTIF($AG$1:AG228,"&gt;0")+1,"")</f>
      </c>
      <c r="AH229">
        <f>IF(AND($Q229="Disponible",$O229&lt;&gt;"Sí"),COUNTIF($AH$1:AH228,"&gt;0")+1,"")</f>
      </c>
      <c r="AI229">
        <f>IF(AND($Q229="Disponible",$K229&lt;&gt;""),COUNTIFS($K$2:K229,K229,$Q$2:Q229,"Disponible"),"")</f>
      </c>
      <c r="AJ229">
        <f>IF(AI229&lt;&gt;"",K229&amp;"|"&amp;AI229,"")</f>
      </c>
      <c r="AK229">
        <f>IF(AND($Q229="No disponible",OR($R229="Lista de espera · propio centro",$R229="Traslado de expediente",$R229="Lista de espera · otro centro"),$O229="Sí"),"la plaza ya tiene alumno y sigue marcada como refuerzo, ","")&amp;IF(AND($R229="Reconvertida en refuerzo",$O229&lt;&gt;"Sí"),"reconvertida en refuerzo pero sin marcar «En uso como refuerzo», ","")</f>
      </c>
    </row>
    <row r="230" spans="1:37">
      <c r="A230" s="20">
        <f>IF(D230&lt;&gt;"",ROW()-1,"")</f>
      </c>
      <c r="B230" s="55"/>
      <c r="C230" s="56"/>
      <c r="D230" s="56"/>
      <c r="E230" s="56"/>
      <c r="F230" s="56"/>
      <c r="G230" s="56"/>
      <c r="H230" s="56"/>
      <c r="I230" s="56"/>
      <c r="J230" s="57"/>
      <c r="K230" s="56"/>
      <c r="L230" s="58"/>
      <c r="M230" s="58">
        <f>IF(L230="","",L230)</f>
      </c>
      <c r="N230" s="56"/>
      <c r="O230" s="56"/>
      <c r="P230" s="57"/>
      <c r="Q230" s="56"/>
      <c r="R230" s="56"/>
      <c r="S230" s="56"/>
      <c r="T230" s="56"/>
      <c r="U230" s="56"/>
      <c r="V230" s="57"/>
      <c r="W230">
        <f>IF(Q230="Disponible",COUNTIFS($D$2:D230,D230,$Q$2:Q230,"Disponible"),"")</f>
      </c>
      <c r="X230">
        <f>IF(W230&lt;&gt;"",D230&amp;"|"&amp;W230,"")</f>
      </c>
      <c r="Y230">
        <f>IF(X230&lt;&gt;"",IF(K230&lt;&gt;"",K230&amp;" ("&amp;M230&amp;")",M230),"")</f>
      </c>
      <c r="Z230">
        <f>IF(O230="Sí",COUNTIFS($D$2:D230,D230,$O$2:O230,"Sí"),"")</f>
      </c>
      <c r="AA230">
        <f>IF(Z230&lt;&gt;"",D230&amp;"|"&amp;Z230,"")</f>
      </c>
      <c r="AB230">
        <f>IF(AA230&lt;&gt;"",IF(K230&lt;&gt;"",K230&amp;" ("&amp;M230&amp;")",M230),"")</f>
      </c>
      <c r="AC230">
        <f>IF($B230="","fecha, ","")&amp;IF($C230="","quién lo introduce, ","")&amp;IF($I230="","motivo, ","")&amp;IF($K230="","docente, ","")&amp;IF($L230="","horario, ","")&amp;IF($N230="","duración, ","")&amp;IF($Q230="","estado, ","")&amp;IF(AND($I230="Otros",$J230=""),"detalle del motivo, ","")&amp;IF(AND($O230="Sí",$P230=""),"detalle del refuerzo, ","")&amp;IF(AND(OR($I230="Renuncia (hasta 30 nov)",$I230="Baja (desde 1 dic)",$I230="Renuncia excepcional (art. 25.3)",$I230="Traslado de expediente"),OR($E230="",$F230="",$G230="")),"quién deja la plaza, ","")&amp;IF(AND($Q230="No disponible",$R230=""),"vía de cobertura, ","")&amp;IF(AND(OR($R230="Lista de espera · propio centro",$R230="Traslado de expediente",$R230="Lista de espera · otro centro"),OR($S230="",$T230="",$U230="")),"quién ocupa la plaza, ","")</f>
      </c>
      <c r="AD230" s="24">
        <f>IF($D230="","",IF(AND(LEN($AC230)=0,LEN($AK230)=0),"Completa",IF(LEN($AC230)=0,"Revisar: "&amp;LEFT($AK230,LEN($AK230)-2),"Falta: "&amp;LEFT($AC230,LEN($AC230)-2)&amp;IF(LEN($AK230)&gt;0,"  ·  Revisar: "&amp;LEFT($AK230,LEN($AK230)-2),""))))</f>
      </c>
      <c r="AE230">
        <f>IF(AND($D230&lt;&gt;"",OR($I230="Renuncia (hasta 30 nov)",$I230="Baja (desde 1 dic)",$I230="Renuncia excepcional (art. 25.3)",$I230="Traslado de expediente")),COUNTIF($AE$1:AE229,"&gt;0")+1,"")</f>
      </c>
      <c r="AF230">
        <f>IF($Q230="Disponible",COUNTIF($AF$1:AF229,"&gt;0")+1,"")</f>
      </c>
      <c r="AG230">
        <f>IF($O230="Sí",COUNTIF($AG$1:AG229,"&gt;0")+1,"")</f>
      </c>
      <c r="AH230">
        <f>IF(AND($Q230="Disponible",$O230&lt;&gt;"Sí"),COUNTIF($AH$1:AH229,"&gt;0")+1,"")</f>
      </c>
      <c r="AI230">
        <f>IF(AND($Q230="Disponible",$K230&lt;&gt;""),COUNTIFS($K$2:K230,K230,$Q$2:Q230,"Disponible"),"")</f>
      </c>
      <c r="AJ230">
        <f>IF(AI230&lt;&gt;"",K230&amp;"|"&amp;AI230,"")</f>
      </c>
      <c r="AK230">
        <f>IF(AND($Q230="No disponible",OR($R230="Lista de espera · propio centro",$R230="Traslado de expediente",$R230="Lista de espera · otro centro"),$O230="Sí"),"la plaza ya tiene alumno y sigue marcada como refuerzo, ","")&amp;IF(AND($R230="Reconvertida en refuerzo",$O230&lt;&gt;"Sí"),"reconvertida en refuerzo pero sin marcar «En uso como refuerzo», ","")</f>
      </c>
    </row>
    <row r="231" spans="1:37">
      <c r="A231" s="20">
        <f>IF(D231&lt;&gt;"",ROW()-1,"")</f>
      </c>
      <c r="B231" s="55"/>
      <c r="C231" s="56"/>
      <c r="D231" s="56"/>
      <c r="E231" s="56"/>
      <c r="F231" s="56"/>
      <c r="G231" s="56"/>
      <c r="H231" s="56"/>
      <c r="I231" s="56"/>
      <c r="J231" s="57"/>
      <c r="K231" s="56"/>
      <c r="L231" s="58"/>
      <c r="M231" s="58">
        <f>IF(L231="","",L231)</f>
      </c>
      <c r="N231" s="56"/>
      <c r="O231" s="56"/>
      <c r="P231" s="57"/>
      <c r="Q231" s="56"/>
      <c r="R231" s="56"/>
      <c r="S231" s="56"/>
      <c r="T231" s="56"/>
      <c r="U231" s="56"/>
      <c r="V231" s="57"/>
      <c r="W231">
        <f>IF(Q231="Disponible",COUNTIFS($D$2:D231,D231,$Q$2:Q231,"Disponible"),"")</f>
      </c>
      <c r="X231">
        <f>IF(W231&lt;&gt;"",D231&amp;"|"&amp;W231,"")</f>
      </c>
      <c r="Y231">
        <f>IF(X231&lt;&gt;"",IF(K231&lt;&gt;"",K231&amp;" ("&amp;M231&amp;")",M231),"")</f>
      </c>
      <c r="Z231">
        <f>IF(O231="Sí",COUNTIFS($D$2:D231,D231,$O$2:O231,"Sí"),"")</f>
      </c>
      <c r="AA231">
        <f>IF(Z231&lt;&gt;"",D231&amp;"|"&amp;Z231,"")</f>
      </c>
      <c r="AB231">
        <f>IF(AA231&lt;&gt;"",IF(K231&lt;&gt;"",K231&amp;" ("&amp;M231&amp;")",M231),"")</f>
      </c>
      <c r="AC231">
        <f>IF($B231="","fecha, ","")&amp;IF($C231="","quién lo introduce, ","")&amp;IF($I231="","motivo, ","")&amp;IF($K231="","docente, ","")&amp;IF($L231="","horario, ","")&amp;IF($N231="","duración, ","")&amp;IF($Q231="","estado, ","")&amp;IF(AND($I231="Otros",$J231=""),"detalle del motivo, ","")&amp;IF(AND($O231="Sí",$P231=""),"detalle del refuerzo, ","")&amp;IF(AND(OR($I231="Renuncia (hasta 30 nov)",$I231="Baja (desde 1 dic)",$I231="Renuncia excepcional (art. 25.3)",$I231="Traslado de expediente"),OR($E231="",$F231="",$G231="")),"quién deja la plaza, ","")&amp;IF(AND($Q231="No disponible",$R231=""),"vía de cobertura, ","")&amp;IF(AND(OR($R231="Lista de espera · propio centro",$R231="Traslado de expediente",$R231="Lista de espera · otro centro"),OR($S231="",$T231="",$U231="")),"quién ocupa la plaza, ","")</f>
      </c>
      <c r="AD231" s="24">
        <f>IF($D231="","",IF(AND(LEN($AC231)=0,LEN($AK231)=0),"Completa",IF(LEN($AC231)=0,"Revisar: "&amp;LEFT($AK231,LEN($AK231)-2),"Falta: "&amp;LEFT($AC231,LEN($AC231)-2)&amp;IF(LEN($AK231)&gt;0,"  ·  Revisar: "&amp;LEFT($AK231,LEN($AK231)-2),""))))</f>
      </c>
      <c r="AE231">
        <f>IF(AND($D231&lt;&gt;"",OR($I231="Renuncia (hasta 30 nov)",$I231="Baja (desde 1 dic)",$I231="Renuncia excepcional (art. 25.3)",$I231="Traslado de expediente")),COUNTIF($AE$1:AE230,"&gt;0")+1,"")</f>
      </c>
      <c r="AF231">
        <f>IF($Q231="Disponible",COUNTIF($AF$1:AF230,"&gt;0")+1,"")</f>
      </c>
      <c r="AG231">
        <f>IF($O231="Sí",COUNTIF($AG$1:AG230,"&gt;0")+1,"")</f>
      </c>
      <c r="AH231">
        <f>IF(AND($Q231="Disponible",$O231&lt;&gt;"Sí"),COUNTIF($AH$1:AH230,"&gt;0")+1,"")</f>
      </c>
      <c r="AI231">
        <f>IF(AND($Q231="Disponible",$K231&lt;&gt;""),COUNTIFS($K$2:K231,K231,$Q$2:Q231,"Disponible"),"")</f>
      </c>
      <c r="AJ231">
        <f>IF(AI231&lt;&gt;"",K231&amp;"|"&amp;AI231,"")</f>
      </c>
      <c r="AK231">
        <f>IF(AND($Q231="No disponible",OR($R231="Lista de espera · propio centro",$R231="Traslado de expediente",$R231="Lista de espera · otro centro"),$O231="Sí"),"la plaza ya tiene alumno y sigue marcada como refuerzo, ","")&amp;IF(AND($R231="Reconvertida en refuerzo",$O231&lt;&gt;"Sí"),"reconvertida en refuerzo pero sin marcar «En uso como refuerzo», ","")</f>
      </c>
    </row>
    <row r="232" spans="1:37">
      <c r="A232" s="20">
        <f>IF(D232&lt;&gt;"",ROW()-1,"")</f>
      </c>
      <c r="B232" s="55"/>
      <c r="C232" s="56"/>
      <c r="D232" s="56"/>
      <c r="E232" s="56"/>
      <c r="F232" s="56"/>
      <c r="G232" s="56"/>
      <c r="H232" s="56"/>
      <c r="I232" s="56"/>
      <c r="J232" s="57"/>
      <c r="K232" s="56"/>
      <c r="L232" s="58"/>
      <c r="M232" s="58">
        <f>IF(L232="","",L232)</f>
      </c>
      <c r="N232" s="56"/>
      <c r="O232" s="56"/>
      <c r="P232" s="57"/>
      <c r="Q232" s="56"/>
      <c r="R232" s="56"/>
      <c r="S232" s="56"/>
      <c r="T232" s="56"/>
      <c r="U232" s="56"/>
      <c r="V232" s="57"/>
      <c r="W232">
        <f>IF(Q232="Disponible",COUNTIFS($D$2:D232,D232,$Q$2:Q232,"Disponible"),"")</f>
      </c>
      <c r="X232">
        <f>IF(W232&lt;&gt;"",D232&amp;"|"&amp;W232,"")</f>
      </c>
      <c r="Y232">
        <f>IF(X232&lt;&gt;"",IF(K232&lt;&gt;"",K232&amp;" ("&amp;M232&amp;")",M232),"")</f>
      </c>
      <c r="Z232">
        <f>IF(O232="Sí",COUNTIFS($D$2:D232,D232,$O$2:O232,"Sí"),"")</f>
      </c>
      <c r="AA232">
        <f>IF(Z232&lt;&gt;"",D232&amp;"|"&amp;Z232,"")</f>
      </c>
      <c r="AB232">
        <f>IF(AA232&lt;&gt;"",IF(K232&lt;&gt;"",K232&amp;" ("&amp;M232&amp;")",M232),"")</f>
      </c>
      <c r="AC232">
        <f>IF($B232="","fecha, ","")&amp;IF($C232="","quién lo introduce, ","")&amp;IF($I232="","motivo, ","")&amp;IF($K232="","docente, ","")&amp;IF($L232="","horario, ","")&amp;IF($N232="","duración, ","")&amp;IF($Q232="","estado, ","")&amp;IF(AND($I232="Otros",$J232=""),"detalle del motivo, ","")&amp;IF(AND($O232="Sí",$P232=""),"detalle del refuerzo, ","")&amp;IF(AND(OR($I232="Renuncia (hasta 30 nov)",$I232="Baja (desde 1 dic)",$I232="Renuncia excepcional (art. 25.3)",$I232="Traslado de expediente"),OR($E232="",$F232="",$G232="")),"quién deja la plaza, ","")&amp;IF(AND($Q232="No disponible",$R232=""),"vía de cobertura, ","")&amp;IF(AND(OR($R232="Lista de espera · propio centro",$R232="Traslado de expediente",$R232="Lista de espera · otro centro"),OR($S232="",$T232="",$U232="")),"quién ocupa la plaza, ","")</f>
      </c>
      <c r="AD232" s="24">
        <f>IF($D232="","",IF(AND(LEN($AC232)=0,LEN($AK232)=0),"Completa",IF(LEN($AC232)=0,"Revisar: "&amp;LEFT($AK232,LEN($AK232)-2),"Falta: "&amp;LEFT($AC232,LEN($AC232)-2)&amp;IF(LEN($AK232)&gt;0,"  ·  Revisar: "&amp;LEFT($AK232,LEN($AK232)-2),""))))</f>
      </c>
      <c r="AE232">
        <f>IF(AND($D232&lt;&gt;"",OR($I232="Renuncia (hasta 30 nov)",$I232="Baja (desde 1 dic)",$I232="Renuncia excepcional (art. 25.3)",$I232="Traslado de expediente")),COUNTIF($AE$1:AE231,"&gt;0")+1,"")</f>
      </c>
      <c r="AF232">
        <f>IF($Q232="Disponible",COUNTIF($AF$1:AF231,"&gt;0")+1,"")</f>
      </c>
      <c r="AG232">
        <f>IF($O232="Sí",COUNTIF($AG$1:AG231,"&gt;0")+1,"")</f>
      </c>
      <c r="AH232">
        <f>IF(AND($Q232="Disponible",$O232&lt;&gt;"Sí"),COUNTIF($AH$1:AH231,"&gt;0")+1,"")</f>
      </c>
      <c r="AI232">
        <f>IF(AND($Q232="Disponible",$K232&lt;&gt;""),COUNTIFS($K$2:K232,K232,$Q$2:Q232,"Disponible"),"")</f>
      </c>
      <c r="AJ232">
        <f>IF(AI232&lt;&gt;"",K232&amp;"|"&amp;AI232,"")</f>
      </c>
      <c r="AK232">
        <f>IF(AND($Q232="No disponible",OR($R232="Lista de espera · propio centro",$R232="Traslado de expediente",$R232="Lista de espera · otro centro"),$O232="Sí"),"la plaza ya tiene alumno y sigue marcada como refuerzo, ","")&amp;IF(AND($R232="Reconvertida en refuerzo",$O232&lt;&gt;"Sí"),"reconvertida en refuerzo pero sin marcar «En uso como refuerzo», ","")</f>
      </c>
    </row>
    <row r="233" spans="1:37">
      <c r="A233" s="20">
        <f>IF(D233&lt;&gt;"",ROW()-1,"")</f>
      </c>
      <c r="B233" s="55"/>
      <c r="C233" s="56"/>
      <c r="D233" s="56"/>
      <c r="E233" s="56"/>
      <c r="F233" s="56"/>
      <c r="G233" s="56"/>
      <c r="H233" s="56"/>
      <c r="I233" s="56"/>
      <c r="J233" s="57"/>
      <c r="K233" s="56"/>
      <c r="L233" s="58"/>
      <c r="M233" s="58">
        <f>IF(L233="","",L233)</f>
      </c>
      <c r="N233" s="56"/>
      <c r="O233" s="56"/>
      <c r="P233" s="57"/>
      <c r="Q233" s="56"/>
      <c r="R233" s="56"/>
      <c r="S233" s="56"/>
      <c r="T233" s="56"/>
      <c r="U233" s="56"/>
      <c r="V233" s="57"/>
      <c r="W233">
        <f>IF(Q233="Disponible",COUNTIFS($D$2:D233,D233,$Q$2:Q233,"Disponible"),"")</f>
      </c>
      <c r="X233">
        <f>IF(W233&lt;&gt;"",D233&amp;"|"&amp;W233,"")</f>
      </c>
      <c r="Y233">
        <f>IF(X233&lt;&gt;"",IF(K233&lt;&gt;"",K233&amp;" ("&amp;M233&amp;")",M233),"")</f>
      </c>
      <c r="Z233">
        <f>IF(O233="Sí",COUNTIFS($D$2:D233,D233,$O$2:O233,"Sí"),"")</f>
      </c>
      <c r="AA233">
        <f>IF(Z233&lt;&gt;"",D233&amp;"|"&amp;Z233,"")</f>
      </c>
      <c r="AB233">
        <f>IF(AA233&lt;&gt;"",IF(K233&lt;&gt;"",K233&amp;" ("&amp;M233&amp;")",M233),"")</f>
      </c>
      <c r="AC233">
        <f>IF($B233="","fecha, ","")&amp;IF($C233="","quién lo introduce, ","")&amp;IF($I233="","motivo, ","")&amp;IF($K233="","docente, ","")&amp;IF($L233="","horario, ","")&amp;IF($N233="","duración, ","")&amp;IF($Q233="","estado, ","")&amp;IF(AND($I233="Otros",$J233=""),"detalle del motivo, ","")&amp;IF(AND($O233="Sí",$P233=""),"detalle del refuerzo, ","")&amp;IF(AND(OR($I233="Renuncia (hasta 30 nov)",$I233="Baja (desde 1 dic)",$I233="Renuncia excepcional (art. 25.3)",$I233="Traslado de expediente"),OR($E233="",$F233="",$G233="")),"quién deja la plaza, ","")&amp;IF(AND($Q233="No disponible",$R233=""),"vía de cobertura, ","")&amp;IF(AND(OR($R233="Lista de espera · propio centro",$R233="Traslado de expediente",$R233="Lista de espera · otro centro"),OR($S233="",$T233="",$U233="")),"quién ocupa la plaza, ","")</f>
      </c>
      <c r="AD233" s="24">
        <f>IF($D233="","",IF(AND(LEN($AC233)=0,LEN($AK233)=0),"Completa",IF(LEN($AC233)=0,"Revisar: "&amp;LEFT($AK233,LEN($AK233)-2),"Falta: "&amp;LEFT($AC233,LEN($AC233)-2)&amp;IF(LEN($AK233)&gt;0,"  ·  Revisar: "&amp;LEFT($AK233,LEN($AK233)-2),""))))</f>
      </c>
      <c r="AE233">
        <f>IF(AND($D233&lt;&gt;"",OR($I233="Renuncia (hasta 30 nov)",$I233="Baja (desde 1 dic)",$I233="Renuncia excepcional (art. 25.3)",$I233="Traslado de expediente")),COUNTIF($AE$1:AE232,"&gt;0")+1,"")</f>
      </c>
      <c r="AF233">
        <f>IF($Q233="Disponible",COUNTIF($AF$1:AF232,"&gt;0")+1,"")</f>
      </c>
      <c r="AG233">
        <f>IF($O233="Sí",COUNTIF($AG$1:AG232,"&gt;0")+1,"")</f>
      </c>
      <c r="AH233">
        <f>IF(AND($Q233="Disponible",$O233&lt;&gt;"Sí"),COUNTIF($AH$1:AH232,"&gt;0")+1,"")</f>
      </c>
      <c r="AI233">
        <f>IF(AND($Q233="Disponible",$K233&lt;&gt;""),COUNTIFS($K$2:K233,K233,$Q$2:Q233,"Disponible"),"")</f>
      </c>
      <c r="AJ233">
        <f>IF(AI233&lt;&gt;"",K233&amp;"|"&amp;AI233,"")</f>
      </c>
      <c r="AK233">
        <f>IF(AND($Q233="No disponible",OR($R233="Lista de espera · propio centro",$R233="Traslado de expediente",$R233="Lista de espera · otro centro"),$O233="Sí"),"la plaza ya tiene alumno y sigue marcada como refuerzo, ","")&amp;IF(AND($R233="Reconvertida en refuerzo",$O233&lt;&gt;"Sí"),"reconvertida en refuerzo pero sin marcar «En uso como refuerzo», ","")</f>
      </c>
    </row>
    <row r="234" spans="1:37">
      <c r="A234" s="20">
        <f>IF(D234&lt;&gt;"",ROW()-1,"")</f>
      </c>
      <c r="B234" s="55"/>
      <c r="C234" s="56"/>
      <c r="D234" s="56"/>
      <c r="E234" s="56"/>
      <c r="F234" s="56"/>
      <c r="G234" s="56"/>
      <c r="H234" s="56"/>
      <c r="I234" s="56"/>
      <c r="J234" s="57"/>
      <c r="K234" s="56"/>
      <c r="L234" s="58"/>
      <c r="M234" s="58">
        <f>IF(L234="","",L234)</f>
      </c>
      <c r="N234" s="56"/>
      <c r="O234" s="56"/>
      <c r="P234" s="57"/>
      <c r="Q234" s="56"/>
      <c r="R234" s="56"/>
      <c r="S234" s="56"/>
      <c r="T234" s="56"/>
      <c r="U234" s="56"/>
      <c r="V234" s="57"/>
      <c r="W234">
        <f>IF(Q234="Disponible",COUNTIFS($D$2:D234,D234,$Q$2:Q234,"Disponible"),"")</f>
      </c>
      <c r="X234">
        <f>IF(W234&lt;&gt;"",D234&amp;"|"&amp;W234,"")</f>
      </c>
      <c r="Y234">
        <f>IF(X234&lt;&gt;"",IF(K234&lt;&gt;"",K234&amp;" ("&amp;M234&amp;")",M234),"")</f>
      </c>
      <c r="Z234">
        <f>IF(O234="Sí",COUNTIFS($D$2:D234,D234,$O$2:O234,"Sí"),"")</f>
      </c>
      <c r="AA234">
        <f>IF(Z234&lt;&gt;"",D234&amp;"|"&amp;Z234,"")</f>
      </c>
      <c r="AB234">
        <f>IF(AA234&lt;&gt;"",IF(K234&lt;&gt;"",K234&amp;" ("&amp;M234&amp;")",M234),"")</f>
      </c>
      <c r="AC234">
        <f>IF($B234="","fecha, ","")&amp;IF($C234="","quién lo introduce, ","")&amp;IF($I234="","motivo, ","")&amp;IF($K234="","docente, ","")&amp;IF($L234="","horario, ","")&amp;IF($N234="","duración, ","")&amp;IF($Q234="","estado, ","")&amp;IF(AND($I234="Otros",$J234=""),"detalle del motivo, ","")&amp;IF(AND($O234="Sí",$P234=""),"detalle del refuerzo, ","")&amp;IF(AND(OR($I234="Renuncia (hasta 30 nov)",$I234="Baja (desde 1 dic)",$I234="Renuncia excepcional (art. 25.3)",$I234="Traslado de expediente"),OR($E234="",$F234="",$G234="")),"quién deja la plaza, ","")&amp;IF(AND($Q234="No disponible",$R234=""),"vía de cobertura, ","")&amp;IF(AND(OR($R234="Lista de espera · propio centro",$R234="Traslado de expediente",$R234="Lista de espera · otro centro"),OR($S234="",$T234="",$U234="")),"quién ocupa la plaza, ","")</f>
      </c>
      <c r="AD234" s="24">
        <f>IF($D234="","",IF(AND(LEN($AC234)=0,LEN($AK234)=0),"Completa",IF(LEN($AC234)=0,"Revisar: "&amp;LEFT($AK234,LEN($AK234)-2),"Falta: "&amp;LEFT($AC234,LEN($AC234)-2)&amp;IF(LEN($AK234)&gt;0,"  ·  Revisar: "&amp;LEFT($AK234,LEN($AK234)-2),""))))</f>
      </c>
      <c r="AE234">
        <f>IF(AND($D234&lt;&gt;"",OR($I234="Renuncia (hasta 30 nov)",$I234="Baja (desde 1 dic)",$I234="Renuncia excepcional (art. 25.3)",$I234="Traslado de expediente")),COUNTIF($AE$1:AE233,"&gt;0")+1,"")</f>
      </c>
      <c r="AF234">
        <f>IF($Q234="Disponible",COUNTIF($AF$1:AF233,"&gt;0")+1,"")</f>
      </c>
      <c r="AG234">
        <f>IF($O234="Sí",COUNTIF($AG$1:AG233,"&gt;0")+1,"")</f>
      </c>
      <c r="AH234">
        <f>IF(AND($Q234="Disponible",$O234&lt;&gt;"Sí"),COUNTIF($AH$1:AH233,"&gt;0")+1,"")</f>
      </c>
      <c r="AI234">
        <f>IF(AND($Q234="Disponible",$K234&lt;&gt;""),COUNTIFS($K$2:K234,K234,$Q$2:Q234,"Disponible"),"")</f>
      </c>
      <c r="AJ234">
        <f>IF(AI234&lt;&gt;"",K234&amp;"|"&amp;AI234,"")</f>
      </c>
      <c r="AK234">
        <f>IF(AND($Q234="No disponible",OR($R234="Lista de espera · propio centro",$R234="Traslado de expediente",$R234="Lista de espera · otro centro"),$O234="Sí"),"la plaza ya tiene alumno y sigue marcada como refuerzo, ","")&amp;IF(AND($R234="Reconvertida en refuerzo",$O234&lt;&gt;"Sí"),"reconvertida en refuerzo pero sin marcar «En uso como refuerzo», ","")</f>
      </c>
    </row>
    <row r="235" spans="1:37">
      <c r="A235" s="20">
        <f>IF(D235&lt;&gt;"",ROW()-1,"")</f>
      </c>
      <c r="B235" s="55"/>
      <c r="C235" s="56"/>
      <c r="D235" s="56"/>
      <c r="E235" s="56"/>
      <c r="F235" s="56"/>
      <c r="G235" s="56"/>
      <c r="H235" s="56"/>
      <c r="I235" s="56"/>
      <c r="J235" s="57"/>
      <c r="K235" s="56"/>
      <c r="L235" s="58"/>
      <c r="M235" s="58">
        <f>IF(L235="","",L235)</f>
      </c>
      <c r="N235" s="56"/>
      <c r="O235" s="56"/>
      <c r="P235" s="57"/>
      <c r="Q235" s="56"/>
      <c r="R235" s="56"/>
      <c r="S235" s="56"/>
      <c r="T235" s="56"/>
      <c r="U235" s="56"/>
      <c r="V235" s="57"/>
      <c r="W235">
        <f>IF(Q235="Disponible",COUNTIFS($D$2:D235,D235,$Q$2:Q235,"Disponible"),"")</f>
      </c>
      <c r="X235">
        <f>IF(W235&lt;&gt;"",D235&amp;"|"&amp;W235,"")</f>
      </c>
      <c r="Y235">
        <f>IF(X235&lt;&gt;"",IF(K235&lt;&gt;"",K235&amp;" ("&amp;M235&amp;")",M235),"")</f>
      </c>
      <c r="Z235">
        <f>IF(O235="Sí",COUNTIFS($D$2:D235,D235,$O$2:O235,"Sí"),"")</f>
      </c>
      <c r="AA235">
        <f>IF(Z235&lt;&gt;"",D235&amp;"|"&amp;Z235,"")</f>
      </c>
      <c r="AB235">
        <f>IF(AA235&lt;&gt;"",IF(K235&lt;&gt;"",K235&amp;" ("&amp;M235&amp;")",M235),"")</f>
      </c>
      <c r="AC235">
        <f>IF($B235="","fecha, ","")&amp;IF($C235="","quién lo introduce, ","")&amp;IF($I235="","motivo, ","")&amp;IF($K235="","docente, ","")&amp;IF($L235="","horario, ","")&amp;IF($N235="","duración, ","")&amp;IF($Q235="","estado, ","")&amp;IF(AND($I235="Otros",$J235=""),"detalle del motivo, ","")&amp;IF(AND($O235="Sí",$P235=""),"detalle del refuerzo, ","")&amp;IF(AND(OR($I235="Renuncia (hasta 30 nov)",$I235="Baja (desde 1 dic)",$I235="Renuncia excepcional (art. 25.3)",$I235="Traslado de expediente"),OR($E235="",$F235="",$G235="")),"quién deja la plaza, ","")&amp;IF(AND($Q235="No disponible",$R235=""),"vía de cobertura, ","")&amp;IF(AND(OR($R235="Lista de espera · propio centro",$R235="Traslado de expediente",$R235="Lista de espera · otro centro"),OR($S235="",$T235="",$U235="")),"quién ocupa la plaza, ","")</f>
      </c>
      <c r="AD235" s="24">
        <f>IF($D235="","",IF(AND(LEN($AC235)=0,LEN($AK235)=0),"Completa",IF(LEN($AC235)=0,"Revisar: "&amp;LEFT($AK235,LEN($AK235)-2),"Falta: "&amp;LEFT($AC235,LEN($AC235)-2)&amp;IF(LEN($AK235)&gt;0,"  ·  Revisar: "&amp;LEFT($AK235,LEN($AK235)-2),""))))</f>
      </c>
      <c r="AE235">
        <f>IF(AND($D235&lt;&gt;"",OR($I235="Renuncia (hasta 30 nov)",$I235="Baja (desde 1 dic)",$I235="Renuncia excepcional (art. 25.3)",$I235="Traslado de expediente")),COUNTIF($AE$1:AE234,"&gt;0")+1,"")</f>
      </c>
      <c r="AF235">
        <f>IF($Q235="Disponible",COUNTIF($AF$1:AF234,"&gt;0")+1,"")</f>
      </c>
      <c r="AG235">
        <f>IF($O235="Sí",COUNTIF($AG$1:AG234,"&gt;0")+1,"")</f>
      </c>
      <c r="AH235">
        <f>IF(AND($Q235="Disponible",$O235&lt;&gt;"Sí"),COUNTIF($AH$1:AH234,"&gt;0")+1,"")</f>
      </c>
      <c r="AI235">
        <f>IF(AND($Q235="Disponible",$K235&lt;&gt;""),COUNTIFS($K$2:K235,K235,$Q$2:Q235,"Disponible"),"")</f>
      </c>
      <c r="AJ235">
        <f>IF(AI235&lt;&gt;"",K235&amp;"|"&amp;AI235,"")</f>
      </c>
      <c r="AK235">
        <f>IF(AND($Q235="No disponible",OR($R235="Lista de espera · propio centro",$R235="Traslado de expediente",$R235="Lista de espera · otro centro"),$O235="Sí"),"la plaza ya tiene alumno y sigue marcada como refuerzo, ","")&amp;IF(AND($R235="Reconvertida en refuerzo",$O235&lt;&gt;"Sí"),"reconvertida en refuerzo pero sin marcar «En uso como refuerzo», ","")</f>
      </c>
    </row>
    <row r="236" spans="1:37">
      <c r="A236" s="20">
        <f>IF(D236&lt;&gt;"",ROW()-1,"")</f>
      </c>
      <c r="B236" s="55"/>
      <c r="C236" s="56"/>
      <c r="D236" s="56"/>
      <c r="E236" s="56"/>
      <c r="F236" s="56"/>
      <c r="G236" s="56"/>
      <c r="H236" s="56"/>
      <c r="I236" s="56"/>
      <c r="J236" s="57"/>
      <c r="K236" s="56"/>
      <c r="L236" s="58"/>
      <c r="M236" s="58">
        <f>IF(L236="","",L236)</f>
      </c>
      <c r="N236" s="56"/>
      <c r="O236" s="56"/>
      <c r="P236" s="57"/>
      <c r="Q236" s="56"/>
      <c r="R236" s="56"/>
      <c r="S236" s="56"/>
      <c r="T236" s="56"/>
      <c r="U236" s="56"/>
      <c r="V236" s="57"/>
      <c r="W236">
        <f>IF(Q236="Disponible",COUNTIFS($D$2:D236,D236,$Q$2:Q236,"Disponible"),"")</f>
      </c>
      <c r="X236">
        <f>IF(W236&lt;&gt;"",D236&amp;"|"&amp;W236,"")</f>
      </c>
      <c r="Y236">
        <f>IF(X236&lt;&gt;"",IF(K236&lt;&gt;"",K236&amp;" ("&amp;M236&amp;")",M236),"")</f>
      </c>
      <c r="Z236">
        <f>IF(O236="Sí",COUNTIFS($D$2:D236,D236,$O$2:O236,"Sí"),"")</f>
      </c>
      <c r="AA236">
        <f>IF(Z236&lt;&gt;"",D236&amp;"|"&amp;Z236,"")</f>
      </c>
      <c r="AB236">
        <f>IF(AA236&lt;&gt;"",IF(K236&lt;&gt;"",K236&amp;" ("&amp;M236&amp;")",M236),"")</f>
      </c>
      <c r="AC236">
        <f>IF($B236="","fecha, ","")&amp;IF($C236="","quién lo introduce, ","")&amp;IF($I236="","motivo, ","")&amp;IF($K236="","docente, ","")&amp;IF($L236="","horario, ","")&amp;IF($N236="","duración, ","")&amp;IF($Q236="","estado, ","")&amp;IF(AND($I236="Otros",$J236=""),"detalle del motivo, ","")&amp;IF(AND($O236="Sí",$P236=""),"detalle del refuerzo, ","")&amp;IF(AND(OR($I236="Renuncia (hasta 30 nov)",$I236="Baja (desde 1 dic)",$I236="Renuncia excepcional (art. 25.3)",$I236="Traslado de expediente"),OR($E236="",$F236="",$G236="")),"quién deja la plaza, ","")&amp;IF(AND($Q236="No disponible",$R236=""),"vía de cobertura, ","")&amp;IF(AND(OR($R236="Lista de espera · propio centro",$R236="Traslado de expediente",$R236="Lista de espera · otro centro"),OR($S236="",$T236="",$U236="")),"quién ocupa la plaza, ","")</f>
      </c>
      <c r="AD236" s="24">
        <f>IF($D236="","",IF(AND(LEN($AC236)=0,LEN($AK236)=0),"Completa",IF(LEN($AC236)=0,"Revisar: "&amp;LEFT($AK236,LEN($AK236)-2),"Falta: "&amp;LEFT($AC236,LEN($AC236)-2)&amp;IF(LEN($AK236)&gt;0,"  ·  Revisar: "&amp;LEFT($AK236,LEN($AK236)-2),""))))</f>
      </c>
      <c r="AE236">
        <f>IF(AND($D236&lt;&gt;"",OR($I236="Renuncia (hasta 30 nov)",$I236="Baja (desde 1 dic)",$I236="Renuncia excepcional (art. 25.3)",$I236="Traslado de expediente")),COUNTIF($AE$1:AE235,"&gt;0")+1,"")</f>
      </c>
      <c r="AF236">
        <f>IF($Q236="Disponible",COUNTIF($AF$1:AF235,"&gt;0")+1,"")</f>
      </c>
      <c r="AG236">
        <f>IF($O236="Sí",COUNTIF($AG$1:AG235,"&gt;0")+1,"")</f>
      </c>
      <c r="AH236">
        <f>IF(AND($Q236="Disponible",$O236&lt;&gt;"Sí"),COUNTIF($AH$1:AH235,"&gt;0")+1,"")</f>
      </c>
      <c r="AI236">
        <f>IF(AND($Q236="Disponible",$K236&lt;&gt;""),COUNTIFS($K$2:K236,K236,$Q$2:Q236,"Disponible"),"")</f>
      </c>
      <c r="AJ236">
        <f>IF(AI236&lt;&gt;"",K236&amp;"|"&amp;AI236,"")</f>
      </c>
      <c r="AK236">
        <f>IF(AND($Q236="No disponible",OR($R236="Lista de espera · propio centro",$R236="Traslado de expediente",$R236="Lista de espera · otro centro"),$O236="Sí"),"la plaza ya tiene alumno y sigue marcada como refuerzo, ","")&amp;IF(AND($R236="Reconvertida en refuerzo",$O236&lt;&gt;"Sí"),"reconvertida en refuerzo pero sin marcar «En uso como refuerzo», ","")</f>
      </c>
    </row>
    <row r="237" spans="1:37">
      <c r="A237" s="20">
        <f>IF(D237&lt;&gt;"",ROW()-1,"")</f>
      </c>
      <c r="B237" s="55"/>
      <c r="C237" s="56"/>
      <c r="D237" s="56"/>
      <c r="E237" s="56"/>
      <c r="F237" s="56"/>
      <c r="G237" s="56"/>
      <c r="H237" s="56"/>
      <c r="I237" s="56"/>
      <c r="J237" s="57"/>
      <c r="K237" s="56"/>
      <c r="L237" s="58"/>
      <c r="M237" s="58">
        <f>IF(L237="","",L237)</f>
      </c>
      <c r="N237" s="56"/>
      <c r="O237" s="56"/>
      <c r="P237" s="57"/>
      <c r="Q237" s="56"/>
      <c r="R237" s="56"/>
      <c r="S237" s="56"/>
      <c r="T237" s="56"/>
      <c r="U237" s="56"/>
      <c r="V237" s="57"/>
      <c r="W237">
        <f>IF(Q237="Disponible",COUNTIFS($D$2:D237,D237,$Q$2:Q237,"Disponible"),"")</f>
      </c>
      <c r="X237">
        <f>IF(W237&lt;&gt;"",D237&amp;"|"&amp;W237,"")</f>
      </c>
      <c r="Y237">
        <f>IF(X237&lt;&gt;"",IF(K237&lt;&gt;"",K237&amp;" ("&amp;M237&amp;")",M237),"")</f>
      </c>
      <c r="Z237">
        <f>IF(O237="Sí",COUNTIFS($D$2:D237,D237,$O$2:O237,"Sí"),"")</f>
      </c>
      <c r="AA237">
        <f>IF(Z237&lt;&gt;"",D237&amp;"|"&amp;Z237,"")</f>
      </c>
      <c r="AB237">
        <f>IF(AA237&lt;&gt;"",IF(K237&lt;&gt;"",K237&amp;" ("&amp;M237&amp;")",M237),"")</f>
      </c>
      <c r="AC237">
        <f>IF($B237="","fecha, ","")&amp;IF($C237="","quién lo introduce, ","")&amp;IF($I237="","motivo, ","")&amp;IF($K237="","docente, ","")&amp;IF($L237="","horario, ","")&amp;IF($N237="","duración, ","")&amp;IF($Q237="","estado, ","")&amp;IF(AND($I237="Otros",$J237=""),"detalle del motivo, ","")&amp;IF(AND($O237="Sí",$P237=""),"detalle del refuerzo, ","")&amp;IF(AND(OR($I237="Renuncia (hasta 30 nov)",$I237="Baja (desde 1 dic)",$I237="Renuncia excepcional (art. 25.3)",$I237="Traslado de expediente"),OR($E237="",$F237="",$G237="")),"quién deja la plaza, ","")&amp;IF(AND($Q237="No disponible",$R237=""),"vía de cobertura, ","")&amp;IF(AND(OR($R237="Lista de espera · propio centro",$R237="Traslado de expediente",$R237="Lista de espera · otro centro"),OR($S237="",$T237="",$U237="")),"quién ocupa la plaza, ","")</f>
      </c>
      <c r="AD237" s="24">
        <f>IF($D237="","",IF(AND(LEN($AC237)=0,LEN($AK237)=0),"Completa",IF(LEN($AC237)=0,"Revisar: "&amp;LEFT($AK237,LEN($AK237)-2),"Falta: "&amp;LEFT($AC237,LEN($AC237)-2)&amp;IF(LEN($AK237)&gt;0,"  ·  Revisar: "&amp;LEFT($AK237,LEN($AK237)-2),""))))</f>
      </c>
      <c r="AE237">
        <f>IF(AND($D237&lt;&gt;"",OR($I237="Renuncia (hasta 30 nov)",$I237="Baja (desde 1 dic)",$I237="Renuncia excepcional (art. 25.3)",$I237="Traslado de expediente")),COUNTIF($AE$1:AE236,"&gt;0")+1,"")</f>
      </c>
      <c r="AF237">
        <f>IF($Q237="Disponible",COUNTIF($AF$1:AF236,"&gt;0")+1,"")</f>
      </c>
      <c r="AG237">
        <f>IF($O237="Sí",COUNTIF($AG$1:AG236,"&gt;0")+1,"")</f>
      </c>
      <c r="AH237">
        <f>IF(AND($Q237="Disponible",$O237&lt;&gt;"Sí"),COUNTIF($AH$1:AH236,"&gt;0")+1,"")</f>
      </c>
      <c r="AI237">
        <f>IF(AND($Q237="Disponible",$K237&lt;&gt;""),COUNTIFS($K$2:K237,K237,$Q$2:Q237,"Disponible"),"")</f>
      </c>
      <c r="AJ237">
        <f>IF(AI237&lt;&gt;"",K237&amp;"|"&amp;AI237,"")</f>
      </c>
      <c r="AK237">
        <f>IF(AND($Q237="No disponible",OR($R237="Lista de espera · propio centro",$R237="Traslado de expediente",$R237="Lista de espera · otro centro"),$O237="Sí"),"la plaza ya tiene alumno y sigue marcada como refuerzo, ","")&amp;IF(AND($R237="Reconvertida en refuerzo",$O237&lt;&gt;"Sí"),"reconvertida en refuerzo pero sin marcar «En uso como refuerzo», ","")</f>
      </c>
    </row>
    <row r="238" spans="1:37">
      <c r="A238" s="20">
        <f>IF(D238&lt;&gt;"",ROW()-1,"")</f>
      </c>
      <c r="B238" s="55"/>
      <c r="C238" s="56"/>
      <c r="D238" s="56"/>
      <c r="E238" s="56"/>
      <c r="F238" s="56"/>
      <c r="G238" s="56"/>
      <c r="H238" s="56"/>
      <c r="I238" s="56"/>
      <c r="J238" s="57"/>
      <c r="K238" s="56"/>
      <c r="L238" s="58"/>
      <c r="M238" s="58">
        <f>IF(L238="","",L238)</f>
      </c>
      <c r="N238" s="56"/>
      <c r="O238" s="56"/>
      <c r="P238" s="57"/>
      <c r="Q238" s="56"/>
      <c r="R238" s="56"/>
      <c r="S238" s="56"/>
      <c r="T238" s="56"/>
      <c r="U238" s="56"/>
      <c r="V238" s="57"/>
      <c r="W238">
        <f>IF(Q238="Disponible",COUNTIFS($D$2:D238,D238,$Q$2:Q238,"Disponible"),"")</f>
      </c>
      <c r="X238">
        <f>IF(W238&lt;&gt;"",D238&amp;"|"&amp;W238,"")</f>
      </c>
      <c r="Y238">
        <f>IF(X238&lt;&gt;"",IF(K238&lt;&gt;"",K238&amp;" ("&amp;M238&amp;")",M238),"")</f>
      </c>
      <c r="Z238">
        <f>IF(O238="Sí",COUNTIFS($D$2:D238,D238,$O$2:O238,"Sí"),"")</f>
      </c>
      <c r="AA238">
        <f>IF(Z238&lt;&gt;"",D238&amp;"|"&amp;Z238,"")</f>
      </c>
      <c r="AB238">
        <f>IF(AA238&lt;&gt;"",IF(K238&lt;&gt;"",K238&amp;" ("&amp;M238&amp;")",M238),"")</f>
      </c>
      <c r="AC238">
        <f>IF($B238="","fecha, ","")&amp;IF($C238="","quién lo introduce, ","")&amp;IF($I238="","motivo, ","")&amp;IF($K238="","docente, ","")&amp;IF($L238="","horario, ","")&amp;IF($N238="","duración, ","")&amp;IF($Q238="","estado, ","")&amp;IF(AND($I238="Otros",$J238=""),"detalle del motivo, ","")&amp;IF(AND($O238="Sí",$P238=""),"detalle del refuerzo, ","")&amp;IF(AND(OR($I238="Renuncia (hasta 30 nov)",$I238="Baja (desde 1 dic)",$I238="Renuncia excepcional (art. 25.3)",$I238="Traslado de expediente"),OR($E238="",$F238="",$G238="")),"quién deja la plaza, ","")&amp;IF(AND($Q238="No disponible",$R238=""),"vía de cobertura, ","")&amp;IF(AND(OR($R238="Lista de espera · propio centro",$R238="Traslado de expediente",$R238="Lista de espera · otro centro"),OR($S238="",$T238="",$U238="")),"quién ocupa la plaza, ","")</f>
      </c>
      <c r="AD238" s="24">
        <f>IF($D238="","",IF(AND(LEN($AC238)=0,LEN($AK238)=0),"Completa",IF(LEN($AC238)=0,"Revisar: "&amp;LEFT($AK238,LEN($AK238)-2),"Falta: "&amp;LEFT($AC238,LEN($AC238)-2)&amp;IF(LEN($AK238)&gt;0,"  ·  Revisar: "&amp;LEFT($AK238,LEN($AK238)-2),""))))</f>
      </c>
      <c r="AE238">
        <f>IF(AND($D238&lt;&gt;"",OR($I238="Renuncia (hasta 30 nov)",$I238="Baja (desde 1 dic)",$I238="Renuncia excepcional (art. 25.3)",$I238="Traslado de expediente")),COUNTIF($AE$1:AE237,"&gt;0")+1,"")</f>
      </c>
      <c r="AF238">
        <f>IF($Q238="Disponible",COUNTIF($AF$1:AF237,"&gt;0")+1,"")</f>
      </c>
      <c r="AG238">
        <f>IF($O238="Sí",COUNTIF($AG$1:AG237,"&gt;0")+1,"")</f>
      </c>
      <c r="AH238">
        <f>IF(AND($Q238="Disponible",$O238&lt;&gt;"Sí"),COUNTIF($AH$1:AH237,"&gt;0")+1,"")</f>
      </c>
      <c r="AI238">
        <f>IF(AND($Q238="Disponible",$K238&lt;&gt;""),COUNTIFS($K$2:K238,K238,$Q$2:Q238,"Disponible"),"")</f>
      </c>
      <c r="AJ238">
        <f>IF(AI238&lt;&gt;"",K238&amp;"|"&amp;AI238,"")</f>
      </c>
      <c r="AK238">
        <f>IF(AND($Q238="No disponible",OR($R238="Lista de espera · propio centro",$R238="Traslado de expediente",$R238="Lista de espera · otro centro"),$O238="Sí"),"la plaza ya tiene alumno y sigue marcada como refuerzo, ","")&amp;IF(AND($R238="Reconvertida en refuerzo",$O238&lt;&gt;"Sí"),"reconvertida en refuerzo pero sin marcar «En uso como refuerzo», ","")</f>
      </c>
    </row>
    <row r="239" spans="1:37">
      <c r="A239" s="20">
        <f>IF(D239&lt;&gt;"",ROW()-1,"")</f>
      </c>
      <c r="B239" s="55"/>
      <c r="C239" s="56"/>
      <c r="D239" s="56"/>
      <c r="E239" s="56"/>
      <c r="F239" s="56"/>
      <c r="G239" s="56"/>
      <c r="H239" s="56"/>
      <c r="I239" s="56"/>
      <c r="J239" s="57"/>
      <c r="K239" s="56"/>
      <c r="L239" s="58"/>
      <c r="M239" s="58">
        <f>IF(L239="","",L239)</f>
      </c>
      <c r="N239" s="56"/>
      <c r="O239" s="56"/>
      <c r="P239" s="57"/>
      <c r="Q239" s="56"/>
      <c r="R239" s="56"/>
      <c r="S239" s="56"/>
      <c r="T239" s="56"/>
      <c r="U239" s="56"/>
      <c r="V239" s="57"/>
      <c r="W239">
        <f>IF(Q239="Disponible",COUNTIFS($D$2:D239,D239,$Q$2:Q239,"Disponible"),"")</f>
      </c>
      <c r="X239">
        <f>IF(W239&lt;&gt;"",D239&amp;"|"&amp;W239,"")</f>
      </c>
      <c r="Y239">
        <f>IF(X239&lt;&gt;"",IF(K239&lt;&gt;"",K239&amp;" ("&amp;M239&amp;")",M239),"")</f>
      </c>
      <c r="Z239">
        <f>IF(O239="Sí",COUNTIFS($D$2:D239,D239,$O$2:O239,"Sí"),"")</f>
      </c>
      <c r="AA239">
        <f>IF(Z239&lt;&gt;"",D239&amp;"|"&amp;Z239,"")</f>
      </c>
      <c r="AB239">
        <f>IF(AA239&lt;&gt;"",IF(K239&lt;&gt;"",K239&amp;" ("&amp;M239&amp;")",M239),"")</f>
      </c>
      <c r="AC239">
        <f>IF($B239="","fecha, ","")&amp;IF($C239="","quién lo introduce, ","")&amp;IF($I239="","motivo, ","")&amp;IF($K239="","docente, ","")&amp;IF($L239="","horario, ","")&amp;IF($N239="","duración, ","")&amp;IF($Q239="","estado, ","")&amp;IF(AND($I239="Otros",$J239=""),"detalle del motivo, ","")&amp;IF(AND($O239="Sí",$P239=""),"detalle del refuerzo, ","")&amp;IF(AND(OR($I239="Renuncia (hasta 30 nov)",$I239="Baja (desde 1 dic)",$I239="Renuncia excepcional (art. 25.3)",$I239="Traslado de expediente"),OR($E239="",$F239="",$G239="")),"quién deja la plaza, ","")&amp;IF(AND($Q239="No disponible",$R239=""),"vía de cobertura, ","")&amp;IF(AND(OR($R239="Lista de espera · propio centro",$R239="Traslado de expediente",$R239="Lista de espera · otro centro"),OR($S239="",$T239="",$U239="")),"quién ocupa la plaza, ","")</f>
      </c>
      <c r="AD239" s="24">
        <f>IF($D239="","",IF(AND(LEN($AC239)=0,LEN($AK239)=0),"Completa",IF(LEN($AC239)=0,"Revisar: "&amp;LEFT($AK239,LEN($AK239)-2),"Falta: "&amp;LEFT($AC239,LEN($AC239)-2)&amp;IF(LEN($AK239)&gt;0,"  ·  Revisar: "&amp;LEFT($AK239,LEN($AK239)-2),""))))</f>
      </c>
      <c r="AE239">
        <f>IF(AND($D239&lt;&gt;"",OR($I239="Renuncia (hasta 30 nov)",$I239="Baja (desde 1 dic)",$I239="Renuncia excepcional (art. 25.3)",$I239="Traslado de expediente")),COUNTIF($AE$1:AE238,"&gt;0")+1,"")</f>
      </c>
      <c r="AF239">
        <f>IF($Q239="Disponible",COUNTIF($AF$1:AF238,"&gt;0")+1,"")</f>
      </c>
      <c r="AG239">
        <f>IF($O239="Sí",COUNTIF($AG$1:AG238,"&gt;0")+1,"")</f>
      </c>
      <c r="AH239">
        <f>IF(AND($Q239="Disponible",$O239&lt;&gt;"Sí"),COUNTIF($AH$1:AH238,"&gt;0")+1,"")</f>
      </c>
      <c r="AI239">
        <f>IF(AND($Q239="Disponible",$K239&lt;&gt;""),COUNTIFS($K$2:K239,K239,$Q$2:Q239,"Disponible"),"")</f>
      </c>
      <c r="AJ239">
        <f>IF(AI239&lt;&gt;"",K239&amp;"|"&amp;AI239,"")</f>
      </c>
      <c r="AK239">
        <f>IF(AND($Q239="No disponible",OR($R239="Lista de espera · propio centro",$R239="Traslado de expediente",$R239="Lista de espera · otro centro"),$O239="Sí"),"la plaza ya tiene alumno y sigue marcada como refuerzo, ","")&amp;IF(AND($R239="Reconvertida en refuerzo",$O239&lt;&gt;"Sí"),"reconvertida en refuerzo pero sin marcar «En uso como refuerzo», ","")</f>
      </c>
    </row>
    <row r="240" spans="1:37">
      <c r="A240" s="20">
        <f>IF(D240&lt;&gt;"",ROW()-1,"")</f>
      </c>
      <c r="B240" s="55"/>
      <c r="C240" s="56"/>
      <c r="D240" s="56"/>
      <c r="E240" s="56"/>
      <c r="F240" s="56"/>
      <c r="G240" s="56"/>
      <c r="H240" s="56"/>
      <c r="I240" s="56"/>
      <c r="J240" s="57"/>
      <c r="K240" s="56"/>
      <c r="L240" s="58"/>
      <c r="M240" s="58">
        <f>IF(L240="","",L240)</f>
      </c>
      <c r="N240" s="56"/>
      <c r="O240" s="56"/>
      <c r="P240" s="57"/>
      <c r="Q240" s="56"/>
      <c r="R240" s="56"/>
      <c r="S240" s="56"/>
      <c r="T240" s="56"/>
      <c r="U240" s="56"/>
      <c r="V240" s="57"/>
      <c r="W240">
        <f>IF(Q240="Disponible",COUNTIFS($D$2:D240,D240,$Q$2:Q240,"Disponible"),"")</f>
      </c>
      <c r="X240">
        <f>IF(W240&lt;&gt;"",D240&amp;"|"&amp;W240,"")</f>
      </c>
      <c r="Y240">
        <f>IF(X240&lt;&gt;"",IF(K240&lt;&gt;"",K240&amp;" ("&amp;M240&amp;")",M240),"")</f>
      </c>
      <c r="Z240">
        <f>IF(O240="Sí",COUNTIFS($D$2:D240,D240,$O$2:O240,"Sí"),"")</f>
      </c>
      <c r="AA240">
        <f>IF(Z240&lt;&gt;"",D240&amp;"|"&amp;Z240,"")</f>
      </c>
      <c r="AB240">
        <f>IF(AA240&lt;&gt;"",IF(K240&lt;&gt;"",K240&amp;" ("&amp;M240&amp;")",M240),"")</f>
      </c>
      <c r="AC240">
        <f>IF($B240="","fecha, ","")&amp;IF($C240="","quién lo introduce, ","")&amp;IF($I240="","motivo, ","")&amp;IF($K240="","docente, ","")&amp;IF($L240="","horario, ","")&amp;IF($N240="","duración, ","")&amp;IF($Q240="","estado, ","")&amp;IF(AND($I240="Otros",$J240=""),"detalle del motivo, ","")&amp;IF(AND($O240="Sí",$P240=""),"detalle del refuerzo, ","")&amp;IF(AND(OR($I240="Renuncia (hasta 30 nov)",$I240="Baja (desde 1 dic)",$I240="Renuncia excepcional (art. 25.3)",$I240="Traslado de expediente"),OR($E240="",$F240="",$G240="")),"quién deja la plaza, ","")&amp;IF(AND($Q240="No disponible",$R240=""),"vía de cobertura, ","")&amp;IF(AND(OR($R240="Lista de espera · propio centro",$R240="Traslado de expediente",$R240="Lista de espera · otro centro"),OR($S240="",$T240="",$U240="")),"quién ocupa la plaza, ","")</f>
      </c>
      <c r="AD240" s="24">
        <f>IF($D240="","",IF(AND(LEN($AC240)=0,LEN($AK240)=0),"Completa",IF(LEN($AC240)=0,"Revisar: "&amp;LEFT($AK240,LEN($AK240)-2),"Falta: "&amp;LEFT($AC240,LEN($AC240)-2)&amp;IF(LEN($AK240)&gt;0,"  ·  Revisar: "&amp;LEFT($AK240,LEN($AK240)-2),""))))</f>
      </c>
      <c r="AE240">
        <f>IF(AND($D240&lt;&gt;"",OR($I240="Renuncia (hasta 30 nov)",$I240="Baja (desde 1 dic)",$I240="Renuncia excepcional (art. 25.3)",$I240="Traslado de expediente")),COUNTIF($AE$1:AE239,"&gt;0")+1,"")</f>
      </c>
      <c r="AF240">
        <f>IF($Q240="Disponible",COUNTIF($AF$1:AF239,"&gt;0")+1,"")</f>
      </c>
      <c r="AG240">
        <f>IF($O240="Sí",COUNTIF($AG$1:AG239,"&gt;0")+1,"")</f>
      </c>
      <c r="AH240">
        <f>IF(AND($Q240="Disponible",$O240&lt;&gt;"Sí"),COUNTIF($AH$1:AH239,"&gt;0")+1,"")</f>
      </c>
      <c r="AI240">
        <f>IF(AND($Q240="Disponible",$K240&lt;&gt;""),COUNTIFS($K$2:K240,K240,$Q$2:Q240,"Disponible"),"")</f>
      </c>
      <c r="AJ240">
        <f>IF(AI240&lt;&gt;"",K240&amp;"|"&amp;AI240,"")</f>
      </c>
      <c r="AK240">
        <f>IF(AND($Q240="No disponible",OR($R240="Lista de espera · propio centro",$R240="Traslado de expediente",$R240="Lista de espera · otro centro"),$O240="Sí"),"la plaza ya tiene alumno y sigue marcada como refuerzo, ","")&amp;IF(AND($R240="Reconvertida en refuerzo",$O240&lt;&gt;"Sí"),"reconvertida en refuerzo pero sin marcar «En uso como refuerzo», ","")</f>
      </c>
    </row>
    <row r="241" spans="1:37">
      <c r="A241" s="20">
        <f>IF(D241&lt;&gt;"",ROW()-1,"")</f>
      </c>
      <c r="B241" s="55"/>
      <c r="C241" s="56"/>
      <c r="D241" s="56"/>
      <c r="E241" s="56"/>
      <c r="F241" s="56"/>
      <c r="G241" s="56"/>
      <c r="H241" s="56"/>
      <c r="I241" s="56"/>
      <c r="J241" s="57"/>
      <c r="K241" s="56"/>
      <c r="L241" s="58"/>
      <c r="M241" s="58">
        <f>IF(L241="","",L241)</f>
      </c>
      <c r="N241" s="56"/>
      <c r="O241" s="56"/>
      <c r="P241" s="57"/>
      <c r="Q241" s="56"/>
      <c r="R241" s="56"/>
      <c r="S241" s="56"/>
      <c r="T241" s="56"/>
      <c r="U241" s="56"/>
      <c r="V241" s="57"/>
      <c r="W241">
        <f>IF(Q241="Disponible",COUNTIFS($D$2:D241,D241,$Q$2:Q241,"Disponible"),"")</f>
      </c>
      <c r="X241">
        <f>IF(W241&lt;&gt;"",D241&amp;"|"&amp;W241,"")</f>
      </c>
      <c r="Y241">
        <f>IF(X241&lt;&gt;"",IF(K241&lt;&gt;"",K241&amp;" ("&amp;M241&amp;")",M241),"")</f>
      </c>
      <c r="Z241">
        <f>IF(O241="Sí",COUNTIFS($D$2:D241,D241,$O$2:O241,"Sí"),"")</f>
      </c>
      <c r="AA241">
        <f>IF(Z241&lt;&gt;"",D241&amp;"|"&amp;Z241,"")</f>
      </c>
      <c r="AB241">
        <f>IF(AA241&lt;&gt;"",IF(K241&lt;&gt;"",K241&amp;" ("&amp;M241&amp;")",M241),"")</f>
      </c>
      <c r="AC241">
        <f>IF($B241="","fecha, ","")&amp;IF($C241="","quién lo introduce, ","")&amp;IF($I241="","motivo, ","")&amp;IF($K241="","docente, ","")&amp;IF($L241="","horario, ","")&amp;IF($N241="","duración, ","")&amp;IF($Q241="","estado, ","")&amp;IF(AND($I241="Otros",$J241=""),"detalle del motivo, ","")&amp;IF(AND($O241="Sí",$P241=""),"detalle del refuerzo, ","")&amp;IF(AND(OR($I241="Renuncia (hasta 30 nov)",$I241="Baja (desde 1 dic)",$I241="Renuncia excepcional (art. 25.3)",$I241="Traslado de expediente"),OR($E241="",$F241="",$G241="")),"quién deja la plaza, ","")&amp;IF(AND($Q241="No disponible",$R241=""),"vía de cobertura, ","")&amp;IF(AND(OR($R241="Lista de espera · propio centro",$R241="Traslado de expediente",$R241="Lista de espera · otro centro"),OR($S241="",$T241="",$U241="")),"quién ocupa la plaza, ","")</f>
      </c>
      <c r="AD241" s="24">
        <f>IF($D241="","",IF(AND(LEN($AC241)=0,LEN($AK241)=0),"Completa",IF(LEN($AC241)=0,"Revisar: "&amp;LEFT($AK241,LEN($AK241)-2),"Falta: "&amp;LEFT($AC241,LEN($AC241)-2)&amp;IF(LEN($AK241)&gt;0,"  ·  Revisar: "&amp;LEFT($AK241,LEN($AK241)-2),""))))</f>
      </c>
      <c r="AE241">
        <f>IF(AND($D241&lt;&gt;"",OR($I241="Renuncia (hasta 30 nov)",$I241="Baja (desde 1 dic)",$I241="Renuncia excepcional (art. 25.3)",$I241="Traslado de expediente")),COUNTIF($AE$1:AE240,"&gt;0")+1,"")</f>
      </c>
      <c r="AF241">
        <f>IF($Q241="Disponible",COUNTIF($AF$1:AF240,"&gt;0")+1,"")</f>
      </c>
      <c r="AG241">
        <f>IF($O241="Sí",COUNTIF($AG$1:AG240,"&gt;0")+1,"")</f>
      </c>
      <c r="AH241">
        <f>IF(AND($Q241="Disponible",$O241&lt;&gt;"Sí"),COUNTIF($AH$1:AH240,"&gt;0")+1,"")</f>
      </c>
      <c r="AI241">
        <f>IF(AND($Q241="Disponible",$K241&lt;&gt;""),COUNTIFS($K$2:K241,K241,$Q$2:Q241,"Disponible"),"")</f>
      </c>
      <c r="AJ241">
        <f>IF(AI241&lt;&gt;"",K241&amp;"|"&amp;AI241,"")</f>
      </c>
      <c r="AK241">
        <f>IF(AND($Q241="No disponible",OR($R241="Lista de espera · propio centro",$R241="Traslado de expediente",$R241="Lista de espera · otro centro"),$O241="Sí"),"la plaza ya tiene alumno y sigue marcada como refuerzo, ","")&amp;IF(AND($R241="Reconvertida en refuerzo",$O241&lt;&gt;"Sí"),"reconvertida en refuerzo pero sin marcar «En uso como refuerzo», ","")</f>
      </c>
    </row>
    <row r="242" spans="1:37">
      <c r="A242" s="20">
        <f>IF(D242&lt;&gt;"",ROW()-1,"")</f>
      </c>
      <c r="B242" s="55"/>
      <c r="C242" s="56"/>
      <c r="D242" s="56"/>
      <c r="E242" s="56"/>
      <c r="F242" s="56"/>
      <c r="G242" s="56"/>
      <c r="H242" s="56"/>
      <c r="I242" s="56"/>
      <c r="J242" s="57"/>
      <c r="K242" s="56"/>
      <c r="L242" s="58"/>
      <c r="M242" s="58">
        <f>IF(L242="","",L242)</f>
      </c>
      <c r="N242" s="56"/>
      <c r="O242" s="56"/>
      <c r="P242" s="57"/>
      <c r="Q242" s="56"/>
      <c r="R242" s="56"/>
      <c r="S242" s="56"/>
      <c r="T242" s="56"/>
      <c r="U242" s="56"/>
      <c r="V242" s="57"/>
      <c r="W242">
        <f>IF(Q242="Disponible",COUNTIFS($D$2:D242,D242,$Q$2:Q242,"Disponible"),"")</f>
      </c>
      <c r="X242">
        <f>IF(W242&lt;&gt;"",D242&amp;"|"&amp;W242,"")</f>
      </c>
      <c r="Y242">
        <f>IF(X242&lt;&gt;"",IF(K242&lt;&gt;"",K242&amp;" ("&amp;M242&amp;")",M242),"")</f>
      </c>
      <c r="Z242">
        <f>IF(O242="Sí",COUNTIFS($D$2:D242,D242,$O$2:O242,"Sí"),"")</f>
      </c>
      <c r="AA242">
        <f>IF(Z242&lt;&gt;"",D242&amp;"|"&amp;Z242,"")</f>
      </c>
      <c r="AB242">
        <f>IF(AA242&lt;&gt;"",IF(K242&lt;&gt;"",K242&amp;" ("&amp;M242&amp;")",M242),"")</f>
      </c>
      <c r="AC242">
        <f>IF($B242="","fecha, ","")&amp;IF($C242="","quién lo introduce, ","")&amp;IF($I242="","motivo, ","")&amp;IF($K242="","docente, ","")&amp;IF($L242="","horario, ","")&amp;IF($N242="","duración, ","")&amp;IF($Q242="","estado, ","")&amp;IF(AND($I242="Otros",$J242=""),"detalle del motivo, ","")&amp;IF(AND($O242="Sí",$P242=""),"detalle del refuerzo, ","")&amp;IF(AND(OR($I242="Renuncia (hasta 30 nov)",$I242="Baja (desde 1 dic)",$I242="Renuncia excepcional (art. 25.3)",$I242="Traslado de expediente"),OR($E242="",$F242="",$G242="")),"quién deja la plaza, ","")&amp;IF(AND($Q242="No disponible",$R242=""),"vía de cobertura, ","")&amp;IF(AND(OR($R242="Lista de espera · propio centro",$R242="Traslado de expediente",$R242="Lista de espera · otro centro"),OR($S242="",$T242="",$U242="")),"quién ocupa la plaza, ","")</f>
      </c>
      <c r="AD242" s="24">
        <f>IF($D242="","",IF(AND(LEN($AC242)=0,LEN($AK242)=0),"Completa",IF(LEN($AC242)=0,"Revisar: "&amp;LEFT($AK242,LEN($AK242)-2),"Falta: "&amp;LEFT($AC242,LEN($AC242)-2)&amp;IF(LEN($AK242)&gt;0,"  ·  Revisar: "&amp;LEFT($AK242,LEN($AK242)-2),""))))</f>
      </c>
      <c r="AE242">
        <f>IF(AND($D242&lt;&gt;"",OR($I242="Renuncia (hasta 30 nov)",$I242="Baja (desde 1 dic)",$I242="Renuncia excepcional (art. 25.3)",$I242="Traslado de expediente")),COUNTIF($AE$1:AE241,"&gt;0")+1,"")</f>
      </c>
      <c r="AF242">
        <f>IF($Q242="Disponible",COUNTIF($AF$1:AF241,"&gt;0")+1,"")</f>
      </c>
      <c r="AG242">
        <f>IF($O242="Sí",COUNTIF($AG$1:AG241,"&gt;0")+1,"")</f>
      </c>
      <c r="AH242">
        <f>IF(AND($Q242="Disponible",$O242&lt;&gt;"Sí"),COUNTIF($AH$1:AH241,"&gt;0")+1,"")</f>
      </c>
      <c r="AI242">
        <f>IF(AND($Q242="Disponible",$K242&lt;&gt;""),COUNTIFS($K$2:K242,K242,$Q$2:Q242,"Disponible"),"")</f>
      </c>
      <c r="AJ242">
        <f>IF(AI242&lt;&gt;"",K242&amp;"|"&amp;AI242,"")</f>
      </c>
      <c r="AK242">
        <f>IF(AND($Q242="No disponible",OR($R242="Lista de espera · propio centro",$R242="Traslado de expediente",$R242="Lista de espera · otro centro"),$O242="Sí"),"la plaza ya tiene alumno y sigue marcada como refuerzo, ","")&amp;IF(AND($R242="Reconvertida en refuerzo",$O242&lt;&gt;"Sí"),"reconvertida en refuerzo pero sin marcar «En uso como refuerzo», ","")</f>
      </c>
    </row>
    <row r="243" spans="1:37">
      <c r="A243" s="20">
        <f>IF(D243&lt;&gt;"",ROW()-1,"")</f>
      </c>
      <c r="B243" s="55"/>
      <c r="C243" s="56"/>
      <c r="D243" s="56"/>
      <c r="E243" s="56"/>
      <c r="F243" s="56"/>
      <c r="G243" s="56"/>
      <c r="H243" s="56"/>
      <c r="I243" s="56"/>
      <c r="J243" s="57"/>
      <c r="K243" s="56"/>
      <c r="L243" s="58"/>
      <c r="M243" s="58">
        <f>IF(L243="","",L243)</f>
      </c>
      <c r="N243" s="56"/>
      <c r="O243" s="56"/>
      <c r="P243" s="57"/>
      <c r="Q243" s="56"/>
      <c r="R243" s="56"/>
      <c r="S243" s="56"/>
      <c r="T243" s="56"/>
      <c r="U243" s="56"/>
      <c r="V243" s="57"/>
      <c r="W243">
        <f>IF(Q243="Disponible",COUNTIFS($D$2:D243,D243,$Q$2:Q243,"Disponible"),"")</f>
      </c>
      <c r="X243">
        <f>IF(W243&lt;&gt;"",D243&amp;"|"&amp;W243,"")</f>
      </c>
      <c r="Y243">
        <f>IF(X243&lt;&gt;"",IF(K243&lt;&gt;"",K243&amp;" ("&amp;M243&amp;")",M243),"")</f>
      </c>
      <c r="Z243">
        <f>IF(O243="Sí",COUNTIFS($D$2:D243,D243,$O$2:O243,"Sí"),"")</f>
      </c>
      <c r="AA243">
        <f>IF(Z243&lt;&gt;"",D243&amp;"|"&amp;Z243,"")</f>
      </c>
      <c r="AB243">
        <f>IF(AA243&lt;&gt;"",IF(K243&lt;&gt;"",K243&amp;" ("&amp;M243&amp;")",M243),"")</f>
      </c>
      <c r="AC243">
        <f>IF($B243="","fecha, ","")&amp;IF($C243="","quién lo introduce, ","")&amp;IF($I243="","motivo, ","")&amp;IF($K243="","docente, ","")&amp;IF($L243="","horario, ","")&amp;IF($N243="","duración, ","")&amp;IF($Q243="","estado, ","")&amp;IF(AND($I243="Otros",$J243=""),"detalle del motivo, ","")&amp;IF(AND($O243="Sí",$P243=""),"detalle del refuerzo, ","")&amp;IF(AND(OR($I243="Renuncia (hasta 30 nov)",$I243="Baja (desde 1 dic)",$I243="Renuncia excepcional (art. 25.3)",$I243="Traslado de expediente"),OR($E243="",$F243="",$G243="")),"quién deja la plaza, ","")&amp;IF(AND($Q243="No disponible",$R243=""),"vía de cobertura, ","")&amp;IF(AND(OR($R243="Lista de espera · propio centro",$R243="Traslado de expediente",$R243="Lista de espera · otro centro"),OR($S243="",$T243="",$U243="")),"quién ocupa la plaza, ","")</f>
      </c>
      <c r="AD243" s="24">
        <f>IF($D243="","",IF(AND(LEN($AC243)=0,LEN($AK243)=0),"Completa",IF(LEN($AC243)=0,"Revisar: "&amp;LEFT($AK243,LEN($AK243)-2),"Falta: "&amp;LEFT($AC243,LEN($AC243)-2)&amp;IF(LEN($AK243)&gt;0,"  ·  Revisar: "&amp;LEFT($AK243,LEN($AK243)-2),""))))</f>
      </c>
      <c r="AE243">
        <f>IF(AND($D243&lt;&gt;"",OR($I243="Renuncia (hasta 30 nov)",$I243="Baja (desde 1 dic)",$I243="Renuncia excepcional (art. 25.3)",$I243="Traslado de expediente")),COUNTIF($AE$1:AE242,"&gt;0")+1,"")</f>
      </c>
      <c r="AF243">
        <f>IF($Q243="Disponible",COUNTIF($AF$1:AF242,"&gt;0")+1,"")</f>
      </c>
      <c r="AG243">
        <f>IF($O243="Sí",COUNTIF($AG$1:AG242,"&gt;0")+1,"")</f>
      </c>
      <c r="AH243">
        <f>IF(AND($Q243="Disponible",$O243&lt;&gt;"Sí"),COUNTIF($AH$1:AH242,"&gt;0")+1,"")</f>
      </c>
      <c r="AI243">
        <f>IF(AND($Q243="Disponible",$K243&lt;&gt;""),COUNTIFS($K$2:K243,K243,$Q$2:Q243,"Disponible"),"")</f>
      </c>
      <c r="AJ243">
        <f>IF(AI243&lt;&gt;"",K243&amp;"|"&amp;AI243,"")</f>
      </c>
      <c r="AK243">
        <f>IF(AND($Q243="No disponible",OR($R243="Lista de espera · propio centro",$R243="Traslado de expediente",$R243="Lista de espera · otro centro"),$O243="Sí"),"la plaza ya tiene alumno y sigue marcada como refuerzo, ","")&amp;IF(AND($R243="Reconvertida en refuerzo",$O243&lt;&gt;"Sí"),"reconvertida en refuerzo pero sin marcar «En uso como refuerzo», ","")</f>
      </c>
    </row>
    <row r="244" spans="1:37">
      <c r="A244" s="20">
        <f>IF(D244&lt;&gt;"",ROW()-1,"")</f>
      </c>
      <c r="B244" s="55"/>
      <c r="C244" s="56"/>
      <c r="D244" s="56"/>
      <c r="E244" s="56"/>
      <c r="F244" s="56"/>
      <c r="G244" s="56"/>
      <c r="H244" s="56"/>
      <c r="I244" s="56"/>
      <c r="J244" s="57"/>
      <c r="K244" s="56"/>
      <c r="L244" s="58"/>
      <c r="M244" s="58">
        <f>IF(L244="","",L244)</f>
      </c>
      <c r="N244" s="56"/>
      <c r="O244" s="56"/>
      <c r="P244" s="57"/>
      <c r="Q244" s="56"/>
      <c r="R244" s="56"/>
      <c r="S244" s="56"/>
      <c r="T244" s="56"/>
      <c r="U244" s="56"/>
      <c r="V244" s="57"/>
      <c r="W244">
        <f>IF(Q244="Disponible",COUNTIFS($D$2:D244,D244,$Q$2:Q244,"Disponible"),"")</f>
      </c>
      <c r="X244">
        <f>IF(W244&lt;&gt;"",D244&amp;"|"&amp;W244,"")</f>
      </c>
      <c r="Y244">
        <f>IF(X244&lt;&gt;"",IF(K244&lt;&gt;"",K244&amp;" ("&amp;M244&amp;")",M244),"")</f>
      </c>
      <c r="Z244">
        <f>IF(O244="Sí",COUNTIFS($D$2:D244,D244,$O$2:O244,"Sí"),"")</f>
      </c>
      <c r="AA244">
        <f>IF(Z244&lt;&gt;"",D244&amp;"|"&amp;Z244,"")</f>
      </c>
      <c r="AB244">
        <f>IF(AA244&lt;&gt;"",IF(K244&lt;&gt;"",K244&amp;" ("&amp;M244&amp;")",M244),"")</f>
      </c>
      <c r="AC244">
        <f>IF($B244="","fecha, ","")&amp;IF($C244="","quién lo introduce, ","")&amp;IF($I244="","motivo, ","")&amp;IF($K244="","docente, ","")&amp;IF($L244="","horario, ","")&amp;IF($N244="","duración, ","")&amp;IF($Q244="","estado, ","")&amp;IF(AND($I244="Otros",$J244=""),"detalle del motivo, ","")&amp;IF(AND($O244="Sí",$P244=""),"detalle del refuerzo, ","")&amp;IF(AND(OR($I244="Renuncia (hasta 30 nov)",$I244="Baja (desde 1 dic)",$I244="Renuncia excepcional (art. 25.3)",$I244="Traslado de expediente"),OR($E244="",$F244="",$G244="")),"quién deja la plaza, ","")&amp;IF(AND($Q244="No disponible",$R244=""),"vía de cobertura, ","")&amp;IF(AND(OR($R244="Lista de espera · propio centro",$R244="Traslado de expediente",$R244="Lista de espera · otro centro"),OR($S244="",$T244="",$U244="")),"quién ocupa la plaza, ","")</f>
      </c>
      <c r="AD244" s="24">
        <f>IF($D244="","",IF(AND(LEN($AC244)=0,LEN($AK244)=0),"Completa",IF(LEN($AC244)=0,"Revisar: "&amp;LEFT($AK244,LEN($AK244)-2),"Falta: "&amp;LEFT($AC244,LEN($AC244)-2)&amp;IF(LEN($AK244)&gt;0,"  ·  Revisar: "&amp;LEFT($AK244,LEN($AK244)-2),""))))</f>
      </c>
      <c r="AE244">
        <f>IF(AND($D244&lt;&gt;"",OR($I244="Renuncia (hasta 30 nov)",$I244="Baja (desde 1 dic)",$I244="Renuncia excepcional (art. 25.3)",$I244="Traslado de expediente")),COUNTIF($AE$1:AE243,"&gt;0")+1,"")</f>
      </c>
      <c r="AF244">
        <f>IF($Q244="Disponible",COUNTIF($AF$1:AF243,"&gt;0")+1,"")</f>
      </c>
      <c r="AG244">
        <f>IF($O244="Sí",COUNTIF($AG$1:AG243,"&gt;0")+1,"")</f>
      </c>
      <c r="AH244">
        <f>IF(AND($Q244="Disponible",$O244&lt;&gt;"Sí"),COUNTIF($AH$1:AH243,"&gt;0")+1,"")</f>
      </c>
      <c r="AI244">
        <f>IF(AND($Q244="Disponible",$K244&lt;&gt;""),COUNTIFS($K$2:K244,K244,$Q$2:Q244,"Disponible"),"")</f>
      </c>
      <c r="AJ244">
        <f>IF(AI244&lt;&gt;"",K244&amp;"|"&amp;AI244,"")</f>
      </c>
      <c r="AK244">
        <f>IF(AND($Q244="No disponible",OR($R244="Lista de espera · propio centro",$R244="Traslado de expediente",$R244="Lista de espera · otro centro"),$O244="Sí"),"la plaza ya tiene alumno y sigue marcada como refuerzo, ","")&amp;IF(AND($R244="Reconvertida en refuerzo",$O244&lt;&gt;"Sí"),"reconvertida en refuerzo pero sin marcar «En uso como refuerzo», ","")</f>
      </c>
    </row>
    <row r="245" spans="1:37">
      <c r="A245" s="20">
        <f>IF(D245&lt;&gt;"",ROW()-1,"")</f>
      </c>
      <c r="B245" s="55"/>
      <c r="C245" s="56"/>
      <c r="D245" s="56"/>
      <c r="E245" s="56"/>
      <c r="F245" s="56"/>
      <c r="G245" s="56"/>
      <c r="H245" s="56"/>
      <c r="I245" s="56"/>
      <c r="J245" s="57"/>
      <c r="K245" s="56"/>
      <c r="L245" s="58"/>
      <c r="M245" s="58">
        <f>IF(L245="","",L245)</f>
      </c>
      <c r="N245" s="56"/>
      <c r="O245" s="56"/>
      <c r="P245" s="57"/>
      <c r="Q245" s="56"/>
      <c r="R245" s="56"/>
      <c r="S245" s="56"/>
      <c r="T245" s="56"/>
      <c r="U245" s="56"/>
      <c r="V245" s="57"/>
      <c r="W245">
        <f>IF(Q245="Disponible",COUNTIFS($D$2:D245,D245,$Q$2:Q245,"Disponible"),"")</f>
      </c>
      <c r="X245">
        <f>IF(W245&lt;&gt;"",D245&amp;"|"&amp;W245,"")</f>
      </c>
      <c r="Y245">
        <f>IF(X245&lt;&gt;"",IF(K245&lt;&gt;"",K245&amp;" ("&amp;M245&amp;")",M245),"")</f>
      </c>
      <c r="Z245">
        <f>IF(O245="Sí",COUNTIFS($D$2:D245,D245,$O$2:O245,"Sí"),"")</f>
      </c>
      <c r="AA245">
        <f>IF(Z245&lt;&gt;"",D245&amp;"|"&amp;Z245,"")</f>
      </c>
      <c r="AB245">
        <f>IF(AA245&lt;&gt;"",IF(K245&lt;&gt;"",K245&amp;" ("&amp;M245&amp;")",M245),"")</f>
      </c>
      <c r="AC245">
        <f>IF($B245="","fecha, ","")&amp;IF($C245="","quién lo introduce, ","")&amp;IF($I245="","motivo, ","")&amp;IF($K245="","docente, ","")&amp;IF($L245="","horario, ","")&amp;IF($N245="","duración, ","")&amp;IF($Q245="","estado, ","")&amp;IF(AND($I245="Otros",$J245=""),"detalle del motivo, ","")&amp;IF(AND($O245="Sí",$P245=""),"detalle del refuerzo, ","")&amp;IF(AND(OR($I245="Renuncia (hasta 30 nov)",$I245="Baja (desde 1 dic)",$I245="Renuncia excepcional (art. 25.3)",$I245="Traslado de expediente"),OR($E245="",$F245="",$G245="")),"quién deja la plaza, ","")&amp;IF(AND($Q245="No disponible",$R245=""),"vía de cobertura, ","")&amp;IF(AND(OR($R245="Lista de espera · propio centro",$R245="Traslado de expediente",$R245="Lista de espera · otro centro"),OR($S245="",$T245="",$U245="")),"quién ocupa la plaza, ","")</f>
      </c>
      <c r="AD245" s="24">
        <f>IF($D245="","",IF(AND(LEN($AC245)=0,LEN($AK245)=0),"Completa",IF(LEN($AC245)=0,"Revisar: "&amp;LEFT($AK245,LEN($AK245)-2),"Falta: "&amp;LEFT($AC245,LEN($AC245)-2)&amp;IF(LEN($AK245)&gt;0,"  ·  Revisar: "&amp;LEFT($AK245,LEN($AK245)-2),""))))</f>
      </c>
      <c r="AE245">
        <f>IF(AND($D245&lt;&gt;"",OR($I245="Renuncia (hasta 30 nov)",$I245="Baja (desde 1 dic)",$I245="Renuncia excepcional (art. 25.3)",$I245="Traslado de expediente")),COUNTIF($AE$1:AE244,"&gt;0")+1,"")</f>
      </c>
      <c r="AF245">
        <f>IF($Q245="Disponible",COUNTIF($AF$1:AF244,"&gt;0")+1,"")</f>
      </c>
      <c r="AG245">
        <f>IF($O245="Sí",COUNTIF($AG$1:AG244,"&gt;0")+1,"")</f>
      </c>
      <c r="AH245">
        <f>IF(AND($Q245="Disponible",$O245&lt;&gt;"Sí"),COUNTIF($AH$1:AH244,"&gt;0")+1,"")</f>
      </c>
      <c r="AI245">
        <f>IF(AND($Q245="Disponible",$K245&lt;&gt;""),COUNTIFS($K$2:K245,K245,$Q$2:Q245,"Disponible"),"")</f>
      </c>
      <c r="AJ245">
        <f>IF(AI245&lt;&gt;"",K245&amp;"|"&amp;AI245,"")</f>
      </c>
      <c r="AK245">
        <f>IF(AND($Q245="No disponible",OR($R245="Lista de espera · propio centro",$R245="Traslado de expediente",$R245="Lista de espera · otro centro"),$O245="Sí"),"la plaza ya tiene alumno y sigue marcada como refuerzo, ","")&amp;IF(AND($R245="Reconvertida en refuerzo",$O245&lt;&gt;"Sí"),"reconvertida en refuerzo pero sin marcar «En uso como refuerzo», ","")</f>
      </c>
    </row>
    <row r="246" spans="1:37">
      <c r="A246" s="20">
        <f>IF(D246&lt;&gt;"",ROW()-1,"")</f>
      </c>
      <c r="B246" s="55"/>
      <c r="C246" s="56"/>
      <c r="D246" s="56"/>
      <c r="E246" s="56"/>
      <c r="F246" s="56"/>
      <c r="G246" s="56"/>
      <c r="H246" s="56"/>
      <c r="I246" s="56"/>
      <c r="J246" s="57"/>
      <c r="K246" s="56"/>
      <c r="L246" s="58"/>
      <c r="M246" s="58">
        <f>IF(L246="","",L246)</f>
      </c>
      <c r="N246" s="56"/>
      <c r="O246" s="56"/>
      <c r="P246" s="57"/>
      <c r="Q246" s="56"/>
      <c r="R246" s="56"/>
      <c r="S246" s="56"/>
      <c r="T246" s="56"/>
      <c r="U246" s="56"/>
      <c r="V246" s="57"/>
      <c r="W246">
        <f>IF(Q246="Disponible",COUNTIFS($D$2:D246,D246,$Q$2:Q246,"Disponible"),"")</f>
      </c>
      <c r="X246">
        <f>IF(W246&lt;&gt;"",D246&amp;"|"&amp;W246,"")</f>
      </c>
      <c r="Y246">
        <f>IF(X246&lt;&gt;"",IF(K246&lt;&gt;"",K246&amp;" ("&amp;M246&amp;")",M246),"")</f>
      </c>
      <c r="Z246">
        <f>IF(O246="Sí",COUNTIFS($D$2:D246,D246,$O$2:O246,"Sí"),"")</f>
      </c>
      <c r="AA246">
        <f>IF(Z246&lt;&gt;"",D246&amp;"|"&amp;Z246,"")</f>
      </c>
      <c r="AB246">
        <f>IF(AA246&lt;&gt;"",IF(K246&lt;&gt;"",K246&amp;" ("&amp;M246&amp;")",M246),"")</f>
      </c>
      <c r="AC246">
        <f>IF($B246="","fecha, ","")&amp;IF($C246="","quién lo introduce, ","")&amp;IF($I246="","motivo, ","")&amp;IF($K246="","docente, ","")&amp;IF($L246="","horario, ","")&amp;IF($N246="","duración, ","")&amp;IF($Q246="","estado, ","")&amp;IF(AND($I246="Otros",$J246=""),"detalle del motivo, ","")&amp;IF(AND($O246="Sí",$P246=""),"detalle del refuerzo, ","")&amp;IF(AND(OR($I246="Renuncia (hasta 30 nov)",$I246="Baja (desde 1 dic)",$I246="Renuncia excepcional (art. 25.3)",$I246="Traslado de expediente"),OR($E246="",$F246="",$G246="")),"quién deja la plaza, ","")&amp;IF(AND($Q246="No disponible",$R246=""),"vía de cobertura, ","")&amp;IF(AND(OR($R246="Lista de espera · propio centro",$R246="Traslado de expediente",$R246="Lista de espera · otro centro"),OR($S246="",$T246="",$U246="")),"quién ocupa la plaza, ","")</f>
      </c>
      <c r="AD246" s="24">
        <f>IF($D246="","",IF(AND(LEN($AC246)=0,LEN($AK246)=0),"Completa",IF(LEN($AC246)=0,"Revisar: "&amp;LEFT($AK246,LEN($AK246)-2),"Falta: "&amp;LEFT($AC246,LEN($AC246)-2)&amp;IF(LEN($AK246)&gt;0,"  ·  Revisar: "&amp;LEFT($AK246,LEN($AK246)-2),""))))</f>
      </c>
      <c r="AE246">
        <f>IF(AND($D246&lt;&gt;"",OR($I246="Renuncia (hasta 30 nov)",$I246="Baja (desde 1 dic)",$I246="Renuncia excepcional (art. 25.3)",$I246="Traslado de expediente")),COUNTIF($AE$1:AE245,"&gt;0")+1,"")</f>
      </c>
      <c r="AF246">
        <f>IF($Q246="Disponible",COUNTIF($AF$1:AF245,"&gt;0")+1,"")</f>
      </c>
      <c r="AG246">
        <f>IF($O246="Sí",COUNTIF($AG$1:AG245,"&gt;0")+1,"")</f>
      </c>
      <c r="AH246">
        <f>IF(AND($Q246="Disponible",$O246&lt;&gt;"Sí"),COUNTIF($AH$1:AH245,"&gt;0")+1,"")</f>
      </c>
      <c r="AI246">
        <f>IF(AND($Q246="Disponible",$K246&lt;&gt;""),COUNTIFS($K$2:K246,K246,$Q$2:Q246,"Disponible"),"")</f>
      </c>
      <c r="AJ246">
        <f>IF(AI246&lt;&gt;"",K246&amp;"|"&amp;AI246,"")</f>
      </c>
      <c r="AK246">
        <f>IF(AND($Q246="No disponible",OR($R246="Lista de espera · propio centro",$R246="Traslado de expediente",$R246="Lista de espera · otro centro"),$O246="Sí"),"la plaza ya tiene alumno y sigue marcada como refuerzo, ","")&amp;IF(AND($R246="Reconvertida en refuerzo",$O246&lt;&gt;"Sí"),"reconvertida en refuerzo pero sin marcar «En uso como refuerzo», ","")</f>
      </c>
    </row>
    <row r="247" spans="1:37">
      <c r="A247" s="20">
        <f>IF(D247&lt;&gt;"",ROW()-1,"")</f>
      </c>
      <c r="B247" s="55"/>
      <c r="C247" s="56"/>
      <c r="D247" s="56"/>
      <c r="E247" s="56"/>
      <c r="F247" s="56"/>
      <c r="G247" s="56"/>
      <c r="H247" s="56"/>
      <c r="I247" s="56"/>
      <c r="J247" s="57"/>
      <c r="K247" s="56"/>
      <c r="L247" s="58"/>
      <c r="M247" s="58">
        <f>IF(L247="","",L247)</f>
      </c>
      <c r="N247" s="56"/>
      <c r="O247" s="56"/>
      <c r="P247" s="57"/>
      <c r="Q247" s="56"/>
      <c r="R247" s="56"/>
      <c r="S247" s="56"/>
      <c r="T247" s="56"/>
      <c r="U247" s="56"/>
      <c r="V247" s="57"/>
      <c r="W247">
        <f>IF(Q247="Disponible",COUNTIFS($D$2:D247,D247,$Q$2:Q247,"Disponible"),"")</f>
      </c>
      <c r="X247">
        <f>IF(W247&lt;&gt;"",D247&amp;"|"&amp;W247,"")</f>
      </c>
      <c r="Y247">
        <f>IF(X247&lt;&gt;"",IF(K247&lt;&gt;"",K247&amp;" ("&amp;M247&amp;")",M247),"")</f>
      </c>
      <c r="Z247">
        <f>IF(O247="Sí",COUNTIFS($D$2:D247,D247,$O$2:O247,"Sí"),"")</f>
      </c>
      <c r="AA247">
        <f>IF(Z247&lt;&gt;"",D247&amp;"|"&amp;Z247,"")</f>
      </c>
      <c r="AB247">
        <f>IF(AA247&lt;&gt;"",IF(K247&lt;&gt;"",K247&amp;" ("&amp;M247&amp;")",M247),"")</f>
      </c>
      <c r="AC247">
        <f>IF($B247="","fecha, ","")&amp;IF($C247="","quién lo introduce, ","")&amp;IF($I247="","motivo, ","")&amp;IF($K247="","docente, ","")&amp;IF($L247="","horario, ","")&amp;IF($N247="","duración, ","")&amp;IF($Q247="","estado, ","")&amp;IF(AND($I247="Otros",$J247=""),"detalle del motivo, ","")&amp;IF(AND($O247="Sí",$P247=""),"detalle del refuerzo, ","")&amp;IF(AND(OR($I247="Renuncia (hasta 30 nov)",$I247="Baja (desde 1 dic)",$I247="Renuncia excepcional (art. 25.3)",$I247="Traslado de expediente"),OR($E247="",$F247="",$G247="")),"quién deja la plaza, ","")&amp;IF(AND($Q247="No disponible",$R247=""),"vía de cobertura, ","")&amp;IF(AND(OR($R247="Lista de espera · propio centro",$R247="Traslado de expediente",$R247="Lista de espera · otro centro"),OR($S247="",$T247="",$U247="")),"quién ocupa la plaza, ","")</f>
      </c>
      <c r="AD247" s="24">
        <f>IF($D247="","",IF(AND(LEN($AC247)=0,LEN($AK247)=0),"Completa",IF(LEN($AC247)=0,"Revisar: "&amp;LEFT($AK247,LEN($AK247)-2),"Falta: "&amp;LEFT($AC247,LEN($AC247)-2)&amp;IF(LEN($AK247)&gt;0,"  ·  Revisar: "&amp;LEFT($AK247,LEN($AK247)-2),""))))</f>
      </c>
      <c r="AE247">
        <f>IF(AND($D247&lt;&gt;"",OR($I247="Renuncia (hasta 30 nov)",$I247="Baja (desde 1 dic)",$I247="Renuncia excepcional (art. 25.3)",$I247="Traslado de expediente")),COUNTIF($AE$1:AE246,"&gt;0")+1,"")</f>
      </c>
      <c r="AF247">
        <f>IF($Q247="Disponible",COUNTIF($AF$1:AF246,"&gt;0")+1,"")</f>
      </c>
      <c r="AG247">
        <f>IF($O247="Sí",COUNTIF($AG$1:AG246,"&gt;0")+1,"")</f>
      </c>
      <c r="AH247">
        <f>IF(AND($Q247="Disponible",$O247&lt;&gt;"Sí"),COUNTIF($AH$1:AH246,"&gt;0")+1,"")</f>
      </c>
      <c r="AI247">
        <f>IF(AND($Q247="Disponible",$K247&lt;&gt;""),COUNTIFS($K$2:K247,K247,$Q$2:Q247,"Disponible"),"")</f>
      </c>
      <c r="AJ247">
        <f>IF(AI247&lt;&gt;"",K247&amp;"|"&amp;AI247,"")</f>
      </c>
      <c r="AK247">
        <f>IF(AND($Q247="No disponible",OR($R247="Lista de espera · propio centro",$R247="Traslado de expediente",$R247="Lista de espera · otro centro"),$O247="Sí"),"la plaza ya tiene alumno y sigue marcada como refuerzo, ","")&amp;IF(AND($R247="Reconvertida en refuerzo",$O247&lt;&gt;"Sí"),"reconvertida en refuerzo pero sin marcar «En uso como refuerzo», ","")</f>
      </c>
    </row>
    <row r="248" spans="1:37">
      <c r="A248" s="20">
        <f>IF(D248&lt;&gt;"",ROW()-1,"")</f>
      </c>
      <c r="B248" s="55"/>
      <c r="C248" s="56"/>
      <c r="D248" s="56"/>
      <c r="E248" s="56"/>
      <c r="F248" s="56"/>
      <c r="G248" s="56"/>
      <c r="H248" s="56"/>
      <c r="I248" s="56"/>
      <c r="J248" s="57"/>
      <c r="K248" s="56"/>
      <c r="L248" s="58"/>
      <c r="M248" s="58">
        <f>IF(L248="","",L248)</f>
      </c>
      <c r="N248" s="56"/>
      <c r="O248" s="56"/>
      <c r="P248" s="57"/>
      <c r="Q248" s="56"/>
      <c r="R248" s="56"/>
      <c r="S248" s="56"/>
      <c r="T248" s="56"/>
      <c r="U248" s="56"/>
      <c r="V248" s="57"/>
      <c r="W248">
        <f>IF(Q248="Disponible",COUNTIFS($D$2:D248,D248,$Q$2:Q248,"Disponible"),"")</f>
      </c>
      <c r="X248">
        <f>IF(W248&lt;&gt;"",D248&amp;"|"&amp;W248,"")</f>
      </c>
      <c r="Y248">
        <f>IF(X248&lt;&gt;"",IF(K248&lt;&gt;"",K248&amp;" ("&amp;M248&amp;")",M248),"")</f>
      </c>
      <c r="Z248">
        <f>IF(O248="Sí",COUNTIFS($D$2:D248,D248,$O$2:O248,"Sí"),"")</f>
      </c>
      <c r="AA248">
        <f>IF(Z248&lt;&gt;"",D248&amp;"|"&amp;Z248,"")</f>
      </c>
      <c r="AB248">
        <f>IF(AA248&lt;&gt;"",IF(K248&lt;&gt;"",K248&amp;" ("&amp;M248&amp;")",M248),"")</f>
      </c>
      <c r="AC248">
        <f>IF($B248="","fecha, ","")&amp;IF($C248="","quién lo introduce, ","")&amp;IF($I248="","motivo, ","")&amp;IF($K248="","docente, ","")&amp;IF($L248="","horario, ","")&amp;IF($N248="","duración, ","")&amp;IF($Q248="","estado, ","")&amp;IF(AND($I248="Otros",$J248=""),"detalle del motivo, ","")&amp;IF(AND($O248="Sí",$P248=""),"detalle del refuerzo, ","")&amp;IF(AND(OR($I248="Renuncia (hasta 30 nov)",$I248="Baja (desde 1 dic)",$I248="Renuncia excepcional (art. 25.3)",$I248="Traslado de expediente"),OR($E248="",$F248="",$G248="")),"quién deja la plaza, ","")&amp;IF(AND($Q248="No disponible",$R248=""),"vía de cobertura, ","")&amp;IF(AND(OR($R248="Lista de espera · propio centro",$R248="Traslado de expediente",$R248="Lista de espera · otro centro"),OR($S248="",$T248="",$U248="")),"quién ocupa la plaza, ","")</f>
      </c>
      <c r="AD248" s="24">
        <f>IF($D248="","",IF(AND(LEN($AC248)=0,LEN($AK248)=0),"Completa",IF(LEN($AC248)=0,"Revisar: "&amp;LEFT($AK248,LEN($AK248)-2),"Falta: "&amp;LEFT($AC248,LEN($AC248)-2)&amp;IF(LEN($AK248)&gt;0,"  ·  Revisar: "&amp;LEFT($AK248,LEN($AK248)-2),""))))</f>
      </c>
      <c r="AE248">
        <f>IF(AND($D248&lt;&gt;"",OR($I248="Renuncia (hasta 30 nov)",$I248="Baja (desde 1 dic)",$I248="Renuncia excepcional (art. 25.3)",$I248="Traslado de expediente")),COUNTIF($AE$1:AE247,"&gt;0")+1,"")</f>
      </c>
      <c r="AF248">
        <f>IF($Q248="Disponible",COUNTIF($AF$1:AF247,"&gt;0")+1,"")</f>
      </c>
      <c r="AG248">
        <f>IF($O248="Sí",COUNTIF($AG$1:AG247,"&gt;0")+1,"")</f>
      </c>
      <c r="AH248">
        <f>IF(AND($Q248="Disponible",$O248&lt;&gt;"Sí"),COUNTIF($AH$1:AH247,"&gt;0")+1,"")</f>
      </c>
      <c r="AI248">
        <f>IF(AND($Q248="Disponible",$K248&lt;&gt;""),COUNTIFS($K$2:K248,K248,$Q$2:Q248,"Disponible"),"")</f>
      </c>
      <c r="AJ248">
        <f>IF(AI248&lt;&gt;"",K248&amp;"|"&amp;AI248,"")</f>
      </c>
      <c r="AK248">
        <f>IF(AND($Q248="No disponible",OR($R248="Lista de espera · propio centro",$R248="Traslado de expediente",$R248="Lista de espera · otro centro"),$O248="Sí"),"la plaza ya tiene alumno y sigue marcada como refuerzo, ","")&amp;IF(AND($R248="Reconvertida en refuerzo",$O248&lt;&gt;"Sí"),"reconvertida en refuerzo pero sin marcar «En uso como refuerzo», ","")</f>
      </c>
    </row>
    <row r="249" spans="1:37">
      <c r="A249" s="20">
        <f>IF(D249&lt;&gt;"",ROW()-1,"")</f>
      </c>
      <c r="B249" s="55"/>
      <c r="C249" s="56"/>
      <c r="D249" s="56"/>
      <c r="E249" s="56"/>
      <c r="F249" s="56"/>
      <c r="G249" s="56"/>
      <c r="H249" s="56"/>
      <c r="I249" s="56"/>
      <c r="J249" s="57"/>
      <c r="K249" s="56"/>
      <c r="L249" s="58"/>
      <c r="M249" s="58">
        <f>IF(L249="","",L249)</f>
      </c>
      <c r="N249" s="56"/>
      <c r="O249" s="56"/>
      <c r="P249" s="57"/>
      <c r="Q249" s="56"/>
      <c r="R249" s="56"/>
      <c r="S249" s="56"/>
      <c r="T249" s="56"/>
      <c r="U249" s="56"/>
      <c r="V249" s="57"/>
      <c r="W249">
        <f>IF(Q249="Disponible",COUNTIFS($D$2:D249,D249,$Q$2:Q249,"Disponible"),"")</f>
      </c>
      <c r="X249">
        <f>IF(W249&lt;&gt;"",D249&amp;"|"&amp;W249,"")</f>
      </c>
      <c r="Y249">
        <f>IF(X249&lt;&gt;"",IF(K249&lt;&gt;"",K249&amp;" ("&amp;M249&amp;")",M249),"")</f>
      </c>
      <c r="Z249">
        <f>IF(O249="Sí",COUNTIFS($D$2:D249,D249,$O$2:O249,"Sí"),"")</f>
      </c>
      <c r="AA249">
        <f>IF(Z249&lt;&gt;"",D249&amp;"|"&amp;Z249,"")</f>
      </c>
      <c r="AB249">
        <f>IF(AA249&lt;&gt;"",IF(K249&lt;&gt;"",K249&amp;" ("&amp;M249&amp;")",M249),"")</f>
      </c>
      <c r="AC249">
        <f>IF($B249="","fecha, ","")&amp;IF($C249="","quién lo introduce, ","")&amp;IF($I249="","motivo, ","")&amp;IF($K249="","docente, ","")&amp;IF($L249="","horario, ","")&amp;IF($N249="","duración, ","")&amp;IF($Q249="","estado, ","")&amp;IF(AND($I249="Otros",$J249=""),"detalle del motivo, ","")&amp;IF(AND($O249="Sí",$P249=""),"detalle del refuerzo, ","")&amp;IF(AND(OR($I249="Renuncia (hasta 30 nov)",$I249="Baja (desde 1 dic)",$I249="Renuncia excepcional (art. 25.3)",$I249="Traslado de expediente"),OR($E249="",$F249="",$G249="")),"quién deja la plaza, ","")&amp;IF(AND($Q249="No disponible",$R249=""),"vía de cobertura, ","")&amp;IF(AND(OR($R249="Lista de espera · propio centro",$R249="Traslado de expediente",$R249="Lista de espera · otro centro"),OR($S249="",$T249="",$U249="")),"quién ocupa la plaza, ","")</f>
      </c>
      <c r="AD249" s="24">
        <f>IF($D249="","",IF(AND(LEN($AC249)=0,LEN($AK249)=0),"Completa",IF(LEN($AC249)=0,"Revisar: "&amp;LEFT($AK249,LEN($AK249)-2),"Falta: "&amp;LEFT($AC249,LEN($AC249)-2)&amp;IF(LEN($AK249)&gt;0,"  ·  Revisar: "&amp;LEFT($AK249,LEN($AK249)-2),""))))</f>
      </c>
      <c r="AE249">
        <f>IF(AND($D249&lt;&gt;"",OR($I249="Renuncia (hasta 30 nov)",$I249="Baja (desde 1 dic)",$I249="Renuncia excepcional (art. 25.3)",$I249="Traslado de expediente")),COUNTIF($AE$1:AE248,"&gt;0")+1,"")</f>
      </c>
      <c r="AF249">
        <f>IF($Q249="Disponible",COUNTIF($AF$1:AF248,"&gt;0")+1,"")</f>
      </c>
      <c r="AG249">
        <f>IF($O249="Sí",COUNTIF($AG$1:AG248,"&gt;0")+1,"")</f>
      </c>
      <c r="AH249">
        <f>IF(AND($Q249="Disponible",$O249&lt;&gt;"Sí"),COUNTIF($AH$1:AH248,"&gt;0")+1,"")</f>
      </c>
      <c r="AI249">
        <f>IF(AND($Q249="Disponible",$K249&lt;&gt;""),COUNTIFS($K$2:K249,K249,$Q$2:Q249,"Disponible"),"")</f>
      </c>
      <c r="AJ249">
        <f>IF(AI249&lt;&gt;"",K249&amp;"|"&amp;AI249,"")</f>
      </c>
      <c r="AK249">
        <f>IF(AND($Q249="No disponible",OR($R249="Lista de espera · propio centro",$R249="Traslado de expediente",$R249="Lista de espera · otro centro"),$O249="Sí"),"la plaza ya tiene alumno y sigue marcada como refuerzo, ","")&amp;IF(AND($R249="Reconvertida en refuerzo",$O249&lt;&gt;"Sí"),"reconvertida en refuerzo pero sin marcar «En uso como refuerzo», ","")</f>
      </c>
    </row>
    <row r="250" spans="1:37">
      <c r="A250" s="20">
        <f>IF(D250&lt;&gt;"",ROW()-1,"")</f>
      </c>
      <c r="B250" s="55"/>
      <c r="C250" s="56"/>
      <c r="D250" s="56"/>
      <c r="E250" s="56"/>
      <c r="F250" s="56"/>
      <c r="G250" s="56"/>
      <c r="H250" s="56"/>
      <c r="I250" s="56"/>
      <c r="J250" s="57"/>
      <c r="K250" s="56"/>
      <c r="L250" s="58"/>
      <c r="M250" s="58">
        <f>IF(L250="","",L250)</f>
      </c>
      <c r="N250" s="56"/>
      <c r="O250" s="56"/>
      <c r="P250" s="57"/>
      <c r="Q250" s="56"/>
      <c r="R250" s="56"/>
      <c r="S250" s="56"/>
      <c r="T250" s="56"/>
      <c r="U250" s="56"/>
      <c r="V250" s="57"/>
      <c r="W250">
        <f>IF(Q250="Disponible",COUNTIFS($D$2:D250,D250,$Q$2:Q250,"Disponible"),"")</f>
      </c>
      <c r="X250">
        <f>IF(W250&lt;&gt;"",D250&amp;"|"&amp;W250,"")</f>
      </c>
      <c r="Y250">
        <f>IF(X250&lt;&gt;"",IF(K250&lt;&gt;"",K250&amp;" ("&amp;M250&amp;")",M250),"")</f>
      </c>
      <c r="Z250">
        <f>IF(O250="Sí",COUNTIFS($D$2:D250,D250,$O$2:O250,"Sí"),"")</f>
      </c>
      <c r="AA250">
        <f>IF(Z250&lt;&gt;"",D250&amp;"|"&amp;Z250,"")</f>
      </c>
      <c r="AB250">
        <f>IF(AA250&lt;&gt;"",IF(K250&lt;&gt;"",K250&amp;" ("&amp;M250&amp;")",M250),"")</f>
      </c>
      <c r="AC250">
        <f>IF($B250="","fecha, ","")&amp;IF($C250="","quién lo introduce, ","")&amp;IF($I250="","motivo, ","")&amp;IF($K250="","docente, ","")&amp;IF($L250="","horario, ","")&amp;IF($N250="","duración, ","")&amp;IF($Q250="","estado, ","")&amp;IF(AND($I250="Otros",$J250=""),"detalle del motivo, ","")&amp;IF(AND($O250="Sí",$P250=""),"detalle del refuerzo, ","")&amp;IF(AND(OR($I250="Renuncia (hasta 30 nov)",$I250="Baja (desde 1 dic)",$I250="Renuncia excepcional (art. 25.3)",$I250="Traslado de expediente"),OR($E250="",$F250="",$G250="")),"quién deja la plaza, ","")&amp;IF(AND($Q250="No disponible",$R250=""),"vía de cobertura, ","")&amp;IF(AND(OR($R250="Lista de espera · propio centro",$R250="Traslado de expediente",$R250="Lista de espera · otro centro"),OR($S250="",$T250="",$U250="")),"quién ocupa la plaza, ","")</f>
      </c>
      <c r="AD250" s="24">
        <f>IF($D250="","",IF(AND(LEN($AC250)=0,LEN($AK250)=0),"Completa",IF(LEN($AC250)=0,"Revisar: "&amp;LEFT($AK250,LEN($AK250)-2),"Falta: "&amp;LEFT($AC250,LEN($AC250)-2)&amp;IF(LEN($AK250)&gt;0,"  ·  Revisar: "&amp;LEFT($AK250,LEN($AK250)-2),""))))</f>
      </c>
      <c r="AE250">
        <f>IF(AND($D250&lt;&gt;"",OR($I250="Renuncia (hasta 30 nov)",$I250="Baja (desde 1 dic)",$I250="Renuncia excepcional (art. 25.3)",$I250="Traslado de expediente")),COUNTIF($AE$1:AE249,"&gt;0")+1,"")</f>
      </c>
      <c r="AF250">
        <f>IF($Q250="Disponible",COUNTIF($AF$1:AF249,"&gt;0")+1,"")</f>
      </c>
      <c r="AG250">
        <f>IF($O250="Sí",COUNTIF($AG$1:AG249,"&gt;0")+1,"")</f>
      </c>
      <c r="AH250">
        <f>IF(AND($Q250="Disponible",$O250&lt;&gt;"Sí"),COUNTIF($AH$1:AH249,"&gt;0")+1,"")</f>
      </c>
      <c r="AI250">
        <f>IF(AND($Q250="Disponible",$K250&lt;&gt;""),COUNTIFS($K$2:K250,K250,$Q$2:Q250,"Disponible"),"")</f>
      </c>
      <c r="AJ250">
        <f>IF(AI250&lt;&gt;"",K250&amp;"|"&amp;AI250,"")</f>
      </c>
      <c r="AK250">
        <f>IF(AND($Q250="No disponible",OR($R250="Lista de espera · propio centro",$R250="Traslado de expediente",$R250="Lista de espera · otro centro"),$O250="Sí"),"la plaza ya tiene alumno y sigue marcada como refuerzo, ","")&amp;IF(AND($R250="Reconvertida en refuerzo",$O250&lt;&gt;"Sí"),"reconvertida en refuerzo pero sin marcar «En uso como refuerzo», ","")</f>
      </c>
    </row>
    <row r="251" spans="1:37">
      <c r="A251" s="20">
        <f>IF(D251&lt;&gt;"",ROW()-1,"")</f>
      </c>
      <c r="B251" s="55"/>
      <c r="C251" s="56"/>
      <c r="D251" s="56"/>
      <c r="E251" s="56"/>
      <c r="F251" s="56"/>
      <c r="G251" s="56"/>
      <c r="H251" s="56"/>
      <c r="I251" s="56"/>
      <c r="J251" s="57"/>
      <c r="K251" s="56"/>
      <c r="L251" s="58"/>
      <c r="M251" s="58">
        <f>IF(L251="","",L251)</f>
      </c>
      <c r="N251" s="56"/>
      <c r="O251" s="56"/>
      <c r="P251" s="57"/>
      <c r="Q251" s="56"/>
      <c r="R251" s="56"/>
      <c r="S251" s="56"/>
      <c r="T251" s="56"/>
      <c r="U251" s="56"/>
      <c r="V251" s="57"/>
      <c r="W251">
        <f>IF(Q251="Disponible",COUNTIFS($D$2:D251,D251,$Q$2:Q251,"Disponible"),"")</f>
      </c>
      <c r="X251">
        <f>IF(W251&lt;&gt;"",D251&amp;"|"&amp;W251,"")</f>
      </c>
      <c r="Y251">
        <f>IF(X251&lt;&gt;"",IF(K251&lt;&gt;"",K251&amp;" ("&amp;M251&amp;")",M251),"")</f>
      </c>
      <c r="Z251">
        <f>IF(O251="Sí",COUNTIFS($D$2:D251,D251,$O$2:O251,"Sí"),"")</f>
      </c>
      <c r="AA251">
        <f>IF(Z251&lt;&gt;"",D251&amp;"|"&amp;Z251,"")</f>
      </c>
      <c r="AB251">
        <f>IF(AA251&lt;&gt;"",IF(K251&lt;&gt;"",K251&amp;" ("&amp;M251&amp;")",M251),"")</f>
      </c>
      <c r="AC251">
        <f>IF($B251="","fecha, ","")&amp;IF($C251="","quién lo introduce, ","")&amp;IF($I251="","motivo, ","")&amp;IF($K251="","docente, ","")&amp;IF($L251="","horario, ","")&amp;IF($N251="","duración, ","")&amp;IF($Q251="","estado, ","")&amp;IF(AND($I251="Otros",$J251=""),"detalle del motivo, ","")&amp;IF(AND($O251="Sí",$P251=""),"detalle del refuerzo, ","")&amp;IF(AND(OR($I251="Renuncia (hasta 30 nov)",$I251="Baja (desde 1 dic)",$I251="Renuncia excepcional (art. 25.3)",$I251="Traslado de expediente"),OR($E251="",$F251="",$G251="")),"quién deja la plaza, ","")&amp;IF(AND($Q251="No disponible",$R251=""),"vía de cobertura, ","")&amp;IF(AND(OR($R251="Lista de espera · propio centro",$R251="Traslado de expediente",$R251="Lista de espera · otro centro"),OR($S251="",$T251="",$U251="")),"quién ocupa la plaza, ","")</f>
      </c>
      <c r="AD251" s="24">
        <f>IF($D251="","",IF(AND(LEN($AC251)=0,LEN($AK251)=0),"Completa",IF(LEN($AC251)=0,"Revisar: "&amp;LEFT($AK251,LEN($AK251)-2),"Falta: "&amp;LEFT($AC251,LEN($AC251)-2)&amp;IF(LEN($AK251)&gt;0,"  ·  Revisar: "&amp;LEFT($AK251,LEN($AK251)-2),""))))</f>
      </c>
      <c r="AE251">
        <f>IF(AND($D251&lt;&gt;"",OR($I251="Renuncia (hasta 30 nov)",$I251="Baja (desde 1 dic)",$I251="Renuncia excepcional (art. 25.3)",$I251="Traslado de expediente")),COUNTIF($AE$1:AE250,"&gt;0")+1,"")</f>
      </c>
      <c r="AF251">
        <f>IF($Q251="Disponible",COUNTIF($AF$1:AF250,"&gt;0")+1,"")</f>
      </c>
      <c r="AG251">
        <f>IF($O251="Sí",COUNTIF($AG$1:AG250,"&gt;0")+1,"")</f>
      </c>
      <c r="AH251">
        <f>IF(AND($Q251="Disponible",$O251&lt;&gt;"Sí"),COUNTIF($AH$1:AH250,"&gt;0")+1,"")</f>
      </c>
      <c r="AI251">
        <f>IF(AND($Q251="Disponible",$K251&lt;&gt;""),COUNTIFS($K$2:K251,K251,$Q$2:Q251,"Disponible"),"")</f>
      </c>
      <c r="AJ251">
        <f>IF(AI251&lt;&gt;"",K251&amp;"|"&amp;AI251,"")</f>
      </c>
      <c r="AK251">
        <f>IF(AND($Q251="No disponible",OR($R251="Lista de espera · propio centro",$R251="Traslado de expediente",$R251="Lista de espera · otro centro"),$O251="Sí"),"la plaza ya tiene alumno y sigue marcada como refuerzo, ","")&amp;IF(AND($R251="Reconvertida en refuerzo",$O251&lt;&gt;"Sí"),"reconvertida en refuerzo pero sin marcar «En uso como refuerzo», ","")</f>
      </c>
    </row>
    <row r="252" spans="1:37">
      <c r="A252" s="20">
        <f>IF(D252&lt;&gt;"",ROW()-1,"")</f>
      </c>
      <c r="B252" s="55"/>
      <c r="C252" s="56"/>
      <c r="D252" s="56"/>
      <c r="E252" s="56"/>
      <c r="F252" s="56"/>
      <c r="G252" s="56"/>
      <c r="H252" s="56"/>
      <c r="I252" s="56"/>
      <c r="J252" s="57"/>
      <c r="K252" s="56"/>
      <c r="L252" s="58"/>
      <c r="M252" s="58">
        <f>IF(L252="","",L252)</f>
      </c>
      <c r="N252" s="56"/>
      <c r="O252" s="56"/>
      <c r="P252" s="57"/>
      <c r="Q252" s="56"/>
      <c r="R252" s="56"/>
      <c r="S252" s="56"/>
      <c r="T252" s="56"/>
      <c r="U252" s="56"/>
      <c r="V252" s="57"/>
      <c r="W252">
        <f>IF(Q252="Disponible",COUNTIFS($D$2:D252,D252,$Q$2:Q252,"Disponible"),"")</f>
      </c>
      <c r="X252">
        <f>IF(W252&lt;&gt;"",D252&amp;"|"&amp;W252,"")</f>
      </c>
      <c r="Y252">
        <f>IF(X252&lt;&gt;"",IF(K252&lt;&gt;"",K252&amp;" ("&amp;M252&amp;")",M252),"")</f>
      </c>
      <c r="Z252">
        <f>IF(O252="Sí",COUNTIFS($D$2:D252,D252,$O$2:O252,"Sí"),"")</f>
      </c>
      <c r="AA252">
        <f>IF(Z252&lt;&gt;"",D252&amp;"|"&amp;Z252,"")</f>
      </c>
      <c r="AB252">
        <f>IF(AA252&lt;&gt;"",IF(K252&lt;&gt;"",K252&amp;" ("&amp;M252&amp;")",M252),"")</f>
      </c>
      <c r="AC252">
        <f>IF($B252="","fecha, ","")&amp;IF($C252="","quién lo introduce, ","")&amp;IF($I252="","motivo, ","")&amp;IF($K252="","docente, ","")&amp;IF($L252="","horario, ","")&amp;IF($N252="","duración, ","")&amp;IF($Q252="","estado, ","")&amp;IF(AND($I252="Otros",$J252=""),"detalle del motivo, ","")&amp;IF(AND($O252="Sí",$P252=""),"detalle del refuerzo, ","")&amp;IF(AND(OR($I252="Renuncia (hasta 30 nov)",$I252="Baja (desde 1 dic)",$I252="Renuncia excepcional (art. 25.3)",$I252="Traslado de expediente"),OR($E252="",$F252="",$G252="")),"quién deja la plaza, ","")&amp;IF(AND($Q252="No disponible",$R252=""),"vía de cobertura, ","")&amp;IF(AND(OR($R252="Lista de espera · propio centro",$R252="Traslado de expediente",$R252="Lista de espera · otro centro"),OR($S252="",$T252="",$U252="")),"quién ocupa la plaza, ","")</f>
      </c>
      <c r="AD252" s="24">
        <f>IF($D252="","",IF(AND(LEN($AC252)=0,LEN($AK252)=0),"Completa",IF(LEN($AC252)=0,"Revisar: "&amp;LEFT($AK252,LEN($AK252)-2),"Falta: "&amp;LEFT($AC252,LEN($AC252)-2)&amp;IF(LEN($AK252)&gt;0,"  ·  Revisar: "&amp;LEFT($AK252,LEN($AK252)-2),""))))</f>
      </c>
      <c r="AE252">
        <f>IF(AND($D252&lt;&gt;"",OR($I252="Renuncia (hasta 30 nov)",$I252="Baja (desde 1 dic)",$I252="Renuncia excepcional (art. 25.3)",$I252="Traslado de expediente")),COUNTIF($AE$1:AE251,"&gt;0")+1,"")</f>
      </c>
      <c r="AF252">
        <f>IF($Q252="Disponible",COUNTIF($AF$1:AF251,"&gt;0")+1,"")</f>
      </c>
      <c r="AG252">
        <f>IF($O252="Sí",COUNTIF($AG$1:AG251,"&gt;0")+1,"")</f>
      </c>
      <c r="AH252">
        <f>IF(AND($Q252="Disponible",$O252&lt;&gt;"Sí"),COUNTIF($AH$1:AH251,"&gt;0")+1,"")</f>
      </c>
      <c r="AI252">
        <f>IF(AND($Q252="Disponible",$K252&lt;&gt;""),COUNTIFS($K$2:K252,K252,$Q$2:Q252,"Disponible"),"")</f>
      </c>
      <c r="AJ252">
        <f>IF(AI252&lt;&gt;"",K252&amp;"|"&amp;AI252,"")</f>
      </c>
      <c r="AK252">
        <f>IF(AND($Q252="No disponible",OR($R252="Lista de espera · propio centro",$R252="Traslado de expediente",$R252="Lista de espera · otro centro"),$O252="Sí"),"la plaza ya tiene alumno y sigue marcada como refuerzo, ","")&amp;IF(AND($R252="Reconvertida en refuerzo",$O252&lt;&gt;"Sí"),"reconvertida en refuerzo pero sin marcar «En uso como refuerzo», ","")</f>
      </c>
    </row>
    <row r="253" spans="1:37">
      <c r="A253" s="20">
        <f>IF(D253&lt;&gt;"",ROW()-1,"")</f>
      </c>
      <c r="B253" s="55"/>
      <c r="C253" s="56"/>
      <c r="D253" s="56"/>
      <c r="E253" s="56"/>
      <c r="F253" s="56"/>
      <c r="G253" s="56"/>
      <c r="H253" s="56"/>
      <c r="I253" s="56"/>
      <c r="J253" s="57"/>
      <c r="K253" s="56"/>
      <c r="L253" s="58"/>
      <c r="M253" s="58">
        <f>IF(L253="","",L253)</f>
      </c>
      <c r="N253" s="56"/>
      <c r="O253" s="56"/>
      <c r="P253" s="57"/>
      <c r="Q253" s="56"/>
      <c r="R253" s="56"/>
      <c r="S253" s="56"/>
      <c r="T253" s="56"/>
      <c r="U253" s="56"/>
      <c r="V253" s="57"/>
      <c r="W253">
        <f>IF(Q253="Disponible",COUNTIFS($D$2:D253,D253,$Q$2:Q253,"Disponible"),"")</f>
      </c>
      <c r="X253">
        <f>IF(W253&lt;&gt;"",D253&amp;"|"&amp;W253,"")</f>
      </c>
      <c r="Y253">
        <f>IF(X253&lt;&gt;"",IF(K253&lt;&gt;"",K253&amp;" ("&amp;M253&amp;")",M253),"")</f>
      </c>
      <c r="Z253">
        <f>IF(O253="Sí",COUNTIFS($D$2:D253,D253,$O$2:O253,"Sí"),"")</f>
      </c>
      <c r="AA253">
        <f>IF(Z253&lt;&gt;"",D253&amp;"|"&amp;Z253,"")</f>
      </c>
      <c r="AB253">
        <f>IF(AA253&lt;&gt;"",IF(K253&lt;&gt;"",K253&amp;" ("&amp;M253&amp;")",M253),"")</f>
      </c>
      <c r="AC253">
        <f>IF($B253="","fecha, ","")&amp;IF($C253="","quién lo introduce, ","")&amp;IF($I253="","motivo, ","")&amp;IF($K253="","docente, ","")&amp;IF($L253="","horario, ","")&amp;IF($N253="","duración, ","")&amp;IF($Q253="","estado, ","")&amp;IF(AND($I253="Otros",$J253=""),"detalle del motivo, ","")&amp;IF(AND($O253="Sí",$P253=""),"detalle del refuerzo, ","")&amp;IF(AND(OR($I253="Renuncia (hasta 30 nov)",$I253="Baja (desde 1 dic)",$I253="Renuncia excepcional (art. 25.3)",$I253="Traslado de expediente"),OR($E253="",$F253="",$G253="")),"quién deja la plaza, ","")&amp;IF(AND($Q253="No disponible",$R253=""),"vía de cobertura, ","")&amp;IF(AND(OR($R253="Lista de espera · propio centro",$R253="Traslado de expediente",$R253="Lista de espera · otro centro"),OR($S253="",$T253="",$U253="")),"quién ocupa la plaza, ","")</f>
      </c>
      <c r="AD253" s="24">
        <f>IF($D253="","",IF(AND(LEN($AC253)=0,LEN($AK253)=0),"Completa",IF(LEN($AC253)=0,"Revisar: "&amp;LEFT($AK253,LEN($AK253)-2),"Falta: "&amp;LEFT($AC253,LEN($AC253)-2)&amp;IF(LEN($AK253)&gt;0,"  ·  Revisar: "&amp;LEFT($AK253,LEN($AK253)-2),""))))</f>
      </c>
      <c r="AE253">
        <f>IF(AND($D253&lt;&gt;"",OR($I253="Renuncia (hasta 30 nov)",$I253="Baja (desde 1 dic)",$I253="Renuncia excepcional (art. 25.3)",$I253="Traslado de expediente")),COUNTIF($AE$1:AE252,"&gt;0")+1,"")</f>
      </c>
      <c r="AF253">
        <f>IF($Q253="Disponible",COUNTIF($AF$1:AF252,"&gt;0")+1,"")</f>
      </c>
      <c r="AG253">
        <f>IF($O253="Sí",COUNTIF($AG$1:AG252,"&gt;0")+1,"")</f>
      </c>
      <c r="AH253">
        <f>IF(AND($Q253="Disponible",$O253&lt;&gt;"Sí"),COUNTIF($AH$1:AH252,"&gt;0")+1,"")</f>
      </c>
      <c r="AI253">
        <f>IF(AND($Q253="Disponible",$K253&lt;&gt;""),COUNTIFS($K$2:K253,K253,$Q$2:Q253,"Disponible"),"")</f>
      </c>
      <c r="AJ253">
        <f>IF(AI253&lt;&gt;"",K253&amp;"|"&amp;AI253,"")</f>
      </c>
      <c r="AK253">
        <f>IF(AND($Q253="No disponible",OR($R253="Lista de espera · propio centro",$R253="Traslado de expediente",$R253="Lista de espera · otro centro"),$O253="Sí"),"la plaza ya tiene alumno y sigue marcada como refuerzo, ","")&amp;IF(AND($R253="Reconvertida en refuerzo",$O253&lt;&gt;"Sí"),"reconvertida en refuerzo pero sin marcar «En uso como refuerzo», ","")</f>
      </c>
    </row>
    <row r="254" spans="1:37">
      <c r="A254" s="20">
        <f>IF(D254&lt;&gt;"",ROW()-1,"")</f>
      </c>
      <c r="B254" s="55"/>
      <c r="C254" s="56"/>
      <c r="D254" s="56"/>
      <c r="E254" s="56"/>
      <c r="F254" s="56"/>
      <c r="G254" s="56"/>
      <c r="H254" s="56"/>
      <c r="I254" s="56"/>
      <c r="J254" s="57"/>
      <c r="K254" s="56"/>
      <c r="L254" s="58"/>
      <c r="M254" s="58">
        <f>IF(L254="","",L254)</f>
      </c>
      <c r="N254" s="56"/>
      <c r="O254" s="56"/>
      <c r="P254" s="57"/>
      <c r="Q254" s="56"/>
      <c r="R254" s="56"/>
      <c r="S254" s="56"/>
      <c r="T254" s="56"/>
      <c r="U254" s="56"/>
      <c r="V254" s="57"/>
      <c r="W254">
        <f>IF(Q254="Disponible",COUNTIFS($D$2:D254,D254,$Q$2:Q254,"Disponible"),"")</f>
      </c>
      <c r="X254">
        <f>IF(W254&lt;&gt;"",D254&amp;"|"&amp;W254,"")</f>
      </c>
      <c r="Y254">
        <f>IF(X254&lt;&gt;"",IF(K254&lt;&gt;"",K254&amp;" ("&amp;M254&amp;")",M254),"")</f>
      </c>
      <c r="Z254">
        <f>IF(O254="Sí",COUNTIFS($D$2:D254,D254,$O$2:O254,"Sí"),"")</f>
      </c>
      <c r="AA254">
        <f>IF(Z254&lt;&gt;"",D254&amp;"|"&amp;Z254,"")</f>
      </c>
      <c r="AB254">
        <f>IF(AA254&lt;&gt;"",IF(K254&lt;&gt;"",K254&amp;" ("&amp;M254&amp;")",M254),"")</f>
      </c>
      <c r="AC254">
        <f>IF($B254="","fecha, ","")&amp;IF($C254="","quién lo introduce, ","")&amp;IF($I254="","motivo, ","")&amp;IF($K254="","docente, ","")&amp;IF($L254="","horario, ","")&amp;IF($N254="","duración, ","")&amp;IF($Q254="","estado, ","")&amp;IF(AND($I254="Otros",$J254=""),"detalle del motivo, ","")&amp;IF(AND($O254="Sí",$P254=""),"detalle del refuerzo, ","")&amp;IF(AND(OR($I254="Renuncia (hasta 30 nov)",$I254="Baja (desde 1 dic)",$I254="Renuncia excepcional (art. 25.3)",$I254="Traslado de expediente"),OR($E254="",$F254="",$G254="")),"quién deja la plaza, ","")&amp;IF(AND($Q254="No disponible",$R254=""),"vía de cobertura, ","")&amp;IF(AND(OR($R254="Lista de espera · propio centro",$R254="Traslado de expediente",$R254="Lista de espera · otro centro"),OR($S254="",$T254="",$U254="")),"quién ocupa la plaza, ","")</f>
      </c>
      <c r="AD254" s="24">
        <f>IF($D254="","",IF(AND(LEN($AC254)=0,LEN($AK254)=0),"Completa",IF(LEN($AC254)=0,"Revisar: "&amp;LEFT($AK254,LEN($AK254)-2),"Falta: "&amp;LEFT($AC254,LEN($AC254)-2)&amp;IF(LEN($AK254)&gt;0,"  ·  Revisar: "&amp;LEFT($AK254,LEN($AK254)-2),""))))</f>
      </c>
      <c r="AE254">
        <f>IF(AND($D254&lt;&gt;"",OR($I254="Renuncia (hasta 30 nov)",$I254="Baja (desde 1 dic)",$I254="Renuncia excepcional (art. 25.3)",$I254="Traslado de expediente")),COUNTIF($AE$1:AE253,"&gt;0")+1,"")</f>
      </c>
      <c r="AF254">
        <f>IF($Q254="Disponible",COUNTIF($AF$1:AF253,"&gt;0")+1,"")</f>
      </c>
      <c r="AG254">
        <f>IF($O254="Sí",COUNTIF($AG$1:AG253,"&gt;0")+1,"")</f>
      </c>
      <c r="AH254">
        <f>IF(AND($Q254="Disponible",$O254&lt;&gt;"Sí"),COUNTIF($AH$1:AH253,"&gt;0")+1,"")</f>
      </c>
      <c r="AI254">
        <f>IF(AND($Q254="Disponible",$K254&lt;&gt;""),COUNTIFS($K$2:K254,K254,$Q$2:Q254,"Disponible"),"")</f>
      </c>
      <c r="AJ254">
        <f>IF(AI254&lt;&gt;"",K254&amp;"|"&amp;AI254,"")</f>
      </c>
      <c r="AK254">
        <f>IF(AND($Q254="No disponible",OR($R254="Lista de espera · propio centro",$R254="Traslado de expediente",$R254="Lista de espera · otro centro"),$O254="Sí"),"la plaza ya tiene alumno y sigue marcada como refuerzo, ","")&amp;IF(AND($R254="Reconvertida en refuerzo",$O254&lt;&gt;"Sí"),"reconvertida en refuerzo pero sin marcar «En uso como refuerzo», ","")</f>
      </c>
    </row>
    <row r="255" spans="1:37">
      <c r="A255" s="20">
        <f>IF(D255&lt;&gt;"",ROW()-1,"")</f>
      </c>
      <c r="B255" s="55"/>
      <c r="C255" s="56"/>
      <c r="D255" s="56"/>
      <c r="E255" s="56"/>
      <c r="F255" s="56"/>
      <c r="G255" s="56"/>
      <c r="H255" s="56"/>
      <c r="I255" s="56"/>
      <c r="J255" s="57"/>
      <c r="K255" s="56"/>
      <c r="L255" s="58"/>
      <c r="M255" s="58">
        <f>IF(L255="","",L255)</f>
      </c>
      <c r="N255" s="56"/>
      <c r="O255" s="56"/>
      <c r="P255" s="57"/>
      <c r="Q255" s="56"/>
      <c r="R255" s="56"/>
      <c r="S255" s="56"/>
      <c r="T255" s="56"/>
      <c r="U255" s="56"/>
      <c r="V255" s="57"/>
      <c r="W255">
        <f>IF(Q255="Disponible",COUNTIFS($D$2:D255,D255,$Q$2:Q255,"Disponible"),"")</f>
      </c>
      <c r="X255">
        <f>IF(W255&lt;&gt;"",D255&amp;"|"&amp;W255,"")</f>
      </c>
      <c r="Y255">
        <f>IF(X255&lt;&gt;"",IF(K255&lt;&gt;"",K255&amp;" ("&amp;M255&amp;")",M255),"")</f>
      </c>
      <c r="Z255">
        <f>IF(O255="Sí",COUNTIFS($D$2:D255,D255,$O$2:O255,"Sí"),"")</f>
      </c>
      <c r="AA255">
        <f>IF(Z255&lt;&gt;"",D255&amp;"|"&amp;Z255,"")</f>
      </c>
      <c r="AB255">
        <f>IF(AA255&lt;&gt;"",IF(K255&lt;&gt;"",K255&amp;" ("&amp;M255&amp;")",M255),"")</f>
      </c>
      <c r="AC255">
        <f>IF($B255="","fecha, ","")&amp;IF($C255="","quién lo introduce, ","")&amp;IF($I255="","motivo, ","")&amp;IF($K255="","docente, ","")&amp;IF($L255="","horario, ","")&amp;IF($N255="","duración, ","")&amp;IF($Q255="","estado, ","")&amp;IF(AND($I255="Otros",$J255=""),"detalle del motivo, ","")&amp;IF(AND($O255="Sí",$P255=""),"detalle del refuerzo, ","")&amp;IF(AND(OR($I255="Renuncia (hasta 30 nov)",$I255="Baja (desde 1 dic)",$I255="Renuncia excepcional (art. 25.3)",$I255="Traslado de expediente"),OR($E255="",$F255="",$G255="")),"quién deja la plaza, ","")&amp;IF(AND($Q255="No disponible",$R255=""),"vía de cobertura, ","")&amp;IF(AND(OR($R255="Lista de espera · propio centro",$R255="Traslado de expediente",$R255="Lista de espera · otro centro"),OR($S255="",$T255="",$U255="")),"quién ocupa la plaza, ","")</f>
      </c>
      <c r="AD255" s="24">
        <f>IF($D255="","",IF(AND(LEN($AC255)=0,LEN($AK255)=0),"Completa",IF(LEN($AC255)=0,"Revisar: "&amp;LEFT($AK255,LEN($AK255)-2),"Falta: "&amp;LEFT($AC255,LEN($AC255)-2)&amp;IF(LEN($AK255)&gt;0,"  ·  Revisar: "&amp;LEFT($AK255,LEN($AK255)-2),""))))</f>
      </c>
      <c r="AE255">
        <f>IF(AND($D255&lt;&gt;"",OR($I255="Renuncia (hasta 30 nov)",$I255="Baja (desde 1 dic)",$I255="Renuncia excepcional (art. 25.3)",$I255="Traslado de expediente")),COUNTIF($AE$1:AE254,"&gt;0")+1,"")</f>
      </c>
      <c r="AF255">
        <f>IF($Q255="Disponible",COUNTIF($AF$1:AF254,"&gt;0")+1,"")</f>
      </c>
      <c r="AG255">
        <f>IF($O255="Sí",COUNTIF($AG$1:AG254,"&gt;0")+1,"")</f>
      </c>
      <c r="AH255">
        <f>IF(AND($Q255="Disponible",$O255&lt;&gt;"Sí"),COUNTIF($AH$1:AH254,"&gt;0")+1,"")</f>
      </c>
      <c r="AI255">
        <f>IF(AND($Q255="Disponible",$K255&lt;&gt;""),COUNTIFS($K$2:K255,K255,$Q$2:Q255,"Disponible"),"")</f>
      </c>
      <c r="AJ255">
        <f>IF(AI255&lt;&gt;"",K255&amp;"|"&amp;AI255,"")</f>
      </c>
      <c r="AK255">
        <f>IF(AND($Q255="No disponible",OR($R255="Lista de espera · propio centro",$R255="Traslado de expediente",$R255="Lista de espera · otro centro"),$O255="Sí"),"la plaza ya tiene alumno y sigue marcada como refuerzo, ","")&amp;IF(AND($R255="Reconvertida en refuerzo",$O255&lt;&gt;"Sí"),"reconvertida en refuerzo pero sin marcar «En uso como refuerzo», ","")</f>
      </c>
    </row>
    <row r="256" spans="1:37">
      <c r="A256" s="20">
        <f>IF(D256&lt;&gt;"",ROW()-1,"")</f>
      </c>
      <c r="B256" s="55"/>
      <c r="C256" s="56"/>
      <c r="D256" s="56"/>
      <c r="E256" s="56"/>
      <c r="F256" s="56"/>
      <c r="G256" s="56"/>
      <c r="H256" s="56"/>
      <c r="I256" s="56"/>
      <c r="J256" s="57"/>
      <c r="K256" s="56"/>
      <c r="L256" s="58"/>
      <c r="M256" s="58">
        <f>IF(L256="","",L256)</f>
      </c>
      <c r="N256" s="56"/>
      <c r="O256" s="56"/>
      <c r="P256" s="57"/>
      <c r="Q256" s="56"/>
      <c r="R256" s="56"/>
      <c r="S256" s="56"/>
      <c r="T256" s="56"/>
      <c r="U256" s="56"/>
      <c r="V256" s="57"/>
      <c r="W256">
        <f>IF(Q256="Disponible",COUNTIFS($D$2:D256,D256,$Q$2:Q256,"Disponible"),"")</f>
      </c>
      <c r="X256">
        <f>IF(W256&lt;&gt;"",D256&amp;"|"&amp;W256,"")</f>
      </c>
      <c r="Y256">
        <f>IF(X256&lt;&gt;"",IF(K256&lt;&gt;"",K256&amp;" ("&amp;M256&amp;")",M256),"")</f>
      </c>
      <c r="Z256">
        <f>IF(O256="Sí",COUNTIFS($D$2:D256,D256,$O$2:O256,"Sí"),"")</f>
      </c>
      <c r="AA256">
        <f>IF(Z256&lt;&gt;"",D256&amp;"|"&amp;Z256,"")</f>
      </c>
      <c r="AB256">
        <f>IF(AA256&lt;&gt;"",IF(K256&lt;&gt;"",K256&amp;" ("&amp;M256&amp;")",M256),"")</f>
      </c>
      <c r="AC256">
        <f>IF($B256="","fecha, ","")&amp;IF($C256="","quién lo introduce, ","")&amp;IF($I256="","motivo, ","")&amp;IF($K256="","docente, ","")&amp;IF($L256="","horario, ","")&amp;IF($N256="","duración, ","")&amp;IF($Q256="","estado, ","")&amp;IF(AND($I256="Otros",$J256=""),"detalle del motivo, ","")&amp;IF(AND($O256="Sí",$P256=""),"detalle del refuerzo, ","")&amp;IF(AND(OR($I256="Renuncia (hasta 30 nov)",$I256="Baja (desde 1 dic)",$I256="Renuncia excepcional (art. 25.3)",$I256="Traslado de expediente"),OR($E256="",$F256="",$G256="")),"quién deja la plaza, ","")&amp;IF(AND($Q256="No disponible",$R256=""),"vía de cobertura, ","")&amp;IF(AND(OR($R256="Lista de espera · propio centro",$R256="Traslado de expediente",$R256="Lista de espera · otro centro"),OR($S256="",$T256="",$U256="")),"quién ocupa la plaza, ","")</f>
      </c>
      <c r="AD256" s="24">
        <f>IF($D256="","",IF(AND(LEN($AC256)=0,LEN($AK256)=0),"Completa",IF(LEN($AC256)=0,"Revisar: "&amp;LEFT($AK256,LEN($AK256)-2),"Falta: "&amp;LEFT($AC256,LEN($AC256)-2)&amp;IF(LEN($AK256)&gt;0,"  ·  Revisar: "&amp;LEFT($AK256,LEN($AK256)-2),""))))</f>
      </c>
      <c r="AE256">
        <f>IF(AND($D256&lt;&gt;"",OR($I256="Renuncia (hasta 30 nov)",$I256="Baja (desde 1 dic)",$I256="Renuncia excepcional (art. 25.3)",$I256="Traslado de expediente")),COUNTIF($AE$1:AE255,"&gt;0")+1,"")</f>
      </c>
      <c r="AF256">
        <f>IF($Q256="Disponible",COUNTIF($AF$1:AF255,"&gt;0")+1,"")</f>
      </c>
      <c r="AG256">
        <f>IF($O256="Sí",COUNTIF($AG$1:AG255,"&gt;0")+1,"")</f>
      </c>
      <c r="AH256">
        <f>IF(AND($Q256="Disponible",$O256&lt;&gt;"Sí"),COUNTIF($AH$1:AH255,"&gt;0")+1,"")</f>
      </c>
      <c r="AI256">
        <f>IF(AND($Q256="Disponible",$K256&lt;&gt;""),COUNTIFS($K$2:K256,K256,$Q$2:Q256,"Disponible"),"")</f>
      </c>
      <c r="AJ256">
        <f>IF(AI256&lt;&gt;"",K256&amp;"|"&amp;AI256,"")</f>
      </c>
      <c r="AK256">
        <f>IF(AND($Q256="No disponible",OR($R256="Lista de espera · propio centro",$R256="Traslado de expediente",$R256="Lista de espera · otro centro"),$O256="Sí"),"la plaza ya tiene alumno y sigue marcada como refuerzo, ","")&amp;IF(AND($R256="Reconvertida en refuerzo",$O256&lt;&gt;"Sí"),"reconvertida en refuerzo pero sin marcar «En uso como refuerzo», ","")</f>
      </c>
    </row>
    <row r="257" spans="1:37">
      <c r="A257" s="20">
        <f>IF(D257&lt;&gt;"",ROW()-1,"")</f>
      </c>
      <c r="B257" s="55"/>
      <c r="C257" s="56"/>
      <c r="D257" s="56"/>
      <c r="E257" s="56"/>
      <c r="F257" s="56"/>
      <c r="G257" s="56"/>
      <c r="H257" s="56"/>
      <c r="I257" s="56"/>
      <c r="J257" s="57"/>
      <c r="K257" s="56"/>
      <c r="L257" s="58"/>
      <c r="M257" s="58">
        <f>IF(L257="","",L257)</f>
      </c>
      <c r="N257" s="56"/>
      <c r="O257" s="56"/>
      <c r="P257" s="57"/>
      <c r="Q257" s="56"/>
      <c r="R257" s="56"/>
      <c r="S257" s="56"/>
      <c r="T257" s="56"/>
      <c r="U257" s="56"/>
      <c r="V257" s="57"/>
      <c r="W257">
        <f>IF(Q257="Disponible",COUNTIFS($D$2:D257,D257,$Q$2:Q257,"Disponible"),"")</f>
      </c>
      <c r="X257">
        <f>IF(W257&lt;&gt;"",D257&amp;"|"&amp;W257,"")</f>
      </c>
      <c r="Y257">
        <f>IF(X257&lt;&gt;"",IF(K257&lt;&gt;"",K257&amp;" ("&amp;M257&amp;")",M257),"")</f>
      </c>
      <c r="Z257">
        <f>IF(O257="Sí",COUNTIFS($D$2:D257,D257,$O$2:O257,"Sí"),"")</f>
      </c>
      <c r="AA257">
        <f>IF(Z257&lt;&gt;"",D257&amp;"|"&amp;Z257,"")</f>
      </c>
      <c r="AB257">
        <f>IF(AA257&lt;&gt;"",IF(K257&lt;&gt;"",K257&amp;" ("&amp;M257&amp;")",M257),"")</f>
      </c>
      <c r="AC257">
        <f>IF($B257="","fecha, ","")&amp;IF($C257="","quién lo introduce, ","")&amp;IF($I257="","motivo, ","")&amp;IF($K257="","docente, ","")&amp;IF($L257="","horario, ","")&amp;IF($N257="","duración, ","")&amp;IF($Q257="","estado, ","")&amp;IF(AND($I257="Otros",$J257=""),"detalle del motivo, ","")&amp;IF(AND($O257="Sí",$P257=""),"detalle del refuerzo, ","")&amp;IF(AND(OR($I257="Renuncia (hasta 30 nov)",$I257="Baja (desde 1 dic)",$I257="Renuncia excepcional (art. 25.3)",$I257="Traslado de expediente"),OR($E257="",$F257="",$G257="")),"quién deja la plaza, ","")&amp;IF(AND($Q257="No disponible",$R257=""),"vía de cobertura, ","")&amp;IF(AND(OR($R257="Lista de espera · propio centro",$R257="Traslado de expediente",$R257="Lista de espera · otro centro"),OR($S257="",$T257="",$U257="")),"quién ocupa la plaza, ","")</f>
      </c>
      <c r="AD257" s="24">
        <f>IF($D257="","",IF(AND(LEN($AC257)=0,LEN($AK257)=0),"Completa",IF(LEN($AC257)=0,"Revisar: "&amp;LEFT($AK257,LEN($AK257)-2),"Falta: "&amp;LEFT($AC257,LEN($AC257)-2)&amp;IF(LEN($AK257)&gt;0,"  ·  Revisar: "&amp;LEFT($AK257,LEN($AK257)-2),""))))</f>
      </c>
      <c r="AE257">
        <f>IF(AND($D257&lt;&gt;"",OR($I257="Renuncia (hasta 30 nov)",$I257="Baja (desde 1 dic)",$I257="Renuncia excepcional (art. 25.3)",$I257="Traslado de expediente")),COUNTIF($AE$1:AE256,"&gt;0")+1,"")</f>
      </c>
      <c r="AF257">
        <f>IF($Q257="Disponible",COUNTIF($AF$1:AF256,"&gt;0")+1,"")</f>
      </c>
      <c r="AG257">
        <f>IF($O257="Sí",COUNTIF($AG$1:AG256,"&gt;0")+1,"")</f>
      </c>
      <c r="AH257">
        <f>IF(AND($Q257="Disponible",$O257&lt;&gt;"Sí"),COUNTIF($AH$1:AH256,"&gt;0")+1,"")</f>
      </c>
      <c r="AI257">
        <f>IF(AND($Q257="Disponible",$K257&lt;&gt;""),COUNTIFS($K$2:K257,K257,$Q$2:Q257,"Disponible"),"")</f>
      </c>
      <c r="AJ257">
        <f>IF(AI257&lt;&gt;"",K257&amp;"|"&amp;AI257,"")</f>
      </c>
      <c r="AK257">
        <f>IF(AND($Q257="No disponible",OR($R257="Lista de espera · propio centro",$R257="Traslado de expediente",$R257="Lista de espera · otro centro"),$O257="Sí"),"la plaza ya tiene alumno y sigue marcada como refuerzo, ","")&amp;IF(AND($R257="Reconvertida en refuerzo",$O257&lt;&gt;"Sí"),"reconvertida en refuerzo pero sin marcar «En uso como refuerzo», ","")</f>
      </c>
    </row>
    <row r="258" spans="1:37">
      <c r="A258" s="20">
        <f>IF(D258&lt;&gt;"",ROW()-1,"")</f>
      </c>
      <c r="B258" s="55"/>
      <c r="C258" s="56"/>
      <c r="D258" s="56"/>
      <c r="E258" s="56"/>
      <c r="F258" s="56"/>
      <c r="G258" s="56"/>
      <c r="H258" s="56"/>
      <c r="I258" s="56"/>
      <c r="J258" s="57"/>
      <c r="K258" s="56"/>
      <c r="L258" s="58"/>
      <c r="M258" s="58">
        <f>IF(L258="","",L258)</f>
      </c>
      <c r="N258" s="56"/>
      <c r="O258" s="56"/>
      <c r="P258" s="57"/>
      <c r="Q258" s="56"/>
      <c r="R258" s="56"/>
      <c r="S258" s="56"/>
      <c r="T258" s="56"/>
      <c r="U258" s="56"/>
      <c r="V258" s="57"/>
      <c r="W258">
        <f>IF(Q258="Disponible",COUNTIFS($D$2:D258,D258,$Q$2:Q258,"Disponible"),"")</f>
      </c>
      <c r="X258">
        <f>IF(W258&lt;&gt;"",D258&amp;"|"&amp;W258,"")</f>
      </c>
      <c r="Y258">
        <f>IF(X258&lt;&gt;"",IF(K258&lt;&gt;"",K258&amp;" ("&amp;M258&amp;")",M258),"")</f>
      </c>
      <c r="Z258">
        <f>IF(O258="Sí",COUNTIFS($D$2:D258,D258,$O$2:O258,"Sí"),"")</f>
      </c>
      <c r="AA258">
        <f>IF(Z258&lt;&gt;"",D258&amp;"|"&amp;Z258,"")</f>
      </c>
      <c r="AB258">
        <f>IF(AA258&lt;&gt;"",IF(K258&lt;&gt;"",K258&amp;" ("&amp;M258&amp;")",M258),"")</f>
      </c>
      <c r="AC258">
        <f>IF($B258="","fecha, ","")&amp;IF($C258="","quién lo introduce, ","")&amp;IF($I258="","motivo, ","")&amp;IF($K258="","docente, ","")&amp;IF($L258="","horario, ","")&amp;IF($N258="","duración, ","")&amp;IF($Q258="","estado, ","")&amp;IF(AND($I258="Otros",$J258=""),"detalle del motivo, ","")&amp;IF(AND($O258="Sí",$P258=""),"detalle del refuerzo, ","")&amp;IF(AND(OR($I258="Renuncia (hasta 30 nov)",$I258="Baja (desde 1 dic)",$I258="Renuncia excepcional (art. 25.3)",$I258="Traslado de expediente"),OR($E258="",$F258="",$G258="")),"quién deja la plaza, ","")&amp;IF(AND($Q258="No disponible",$R258=""),"vía de cobertura, ","")&amp;IF(AND(OR($R258="Lista de espera · propio centro",$R258="Traslado de expediente",$R258="Lista de espera · otro centro"),OR($S258="",$T258="",$U258="")),"quién ocupa la plaza, ","")</f>
      </c>
      <c r="AD258" s="24">
        <f>IF($D258="","",IF(AND(LEN($AC258)=0,LEN($AK258)=0),"Completa",IF(LEN($AC258)=0,"Revisar: "&amp;LEFT($AK258,LEN($AK258)-2),"Falta: "&amp;LEFT($AC258,LEN($AC258)-2)&amp;IF(LEN($AK258)&gt;0,"  ·  Revisar: "&amp;LEFT($AK258,LEN($AK258)-2),""))))</f>
      </c>
      <c r="AE258">
        <f>IF(AND($D258&lt;&gt;"",OR($I258="Renuncia (hasta 30 nov)",$I258="Baja (desde 1 dic)",$I258="Renuncia excepcional (art. 25.3)",$I258="Traslado de expediente")),COUNTIF($AE$1:AE257,"&gt;0")+1,"")</f>
      </c>
      <c r="AF258">
        <f>IF($Q258="Disponible",COUNTIF($AF$1:AF257,"&gt;0")+1,"")</f>
      </c>
      <c r="AG258">
        <f>IF($O258="Sí",COUNTIF($AG$1:AG257,"&gt;0")+1,"")</f>
      </c>
      <c r="AH258">
        <f>IF(AND($Q258="Disponible",$O258&lt;&gt;"Sí"),COUNTIF($AH$1:AH257,"&gt;0")+1,"")</f>
      </c>
      <c r="AI258">
        <f>IF(AND($Q258="Disponible",$K258&lt;&gt;""),COUNTIFS($K$2:K258,K258,$Q$2:Q258,"Disponible"),"")</f>
      </c>
      <c r="AJ258">
        <f>IF(AI258&lt;&gt;"",K258&amp;"|"&amp;AI258,"")</f>
      </c>
      <c r="AK258">
        <f>IF(AND($Q258="No disponible",OR($R258="Lista de espera · propio centro",$R258="Traslado de expediente",$R258="Lista de espera · otro centro"),$O258="Sí"),"la plaza ya tiene alumno y sigue marcada como refuerzo, ","")&amp;IF(AND($R258="Reconvertida en refuerzo",$O258&lt;&gt;"Sí"),"reconvertida en refuerzo pero sin marcar «En uso como refuerzo», ","")</f>
      </c>
    </row>
    <row r="259" spans="1:37">
      <c r="A259" s="20">
        <f>IF(D259&lt;&gt;"",ROW()-1,"")</f>
      </c>
      <c r="B259" s="55"/>
      <c r="C259" s="56"/>
      <c r="D259" s="56"/>
      <c r="E259" s="56"/>
      <c r="F259" s="56"/>
      <c r="G259" s="56"/>
      <c r="H259" s="56"/>
      <c r="I259" s="56"/>
      <c r="J259" s="57"/>
      <c r="K259" s="56"/>
      <c r="L259" s="58"/>
      <c r="M259" s="58">
        <f>IF(L259="","",L259)</f>
      </c>
      <c r="N259" s="56"/>
      <c r="O259" s="56"/>
      <c r="P259" s="57"/>
      <c r="Q259" s="56"/>
      <c r="R259" s="56"/>
      <c r="S259" s="56"/>
      <c r="T259" s="56"/>
      <c r="U259" s="56"/>
      <c r="V259" s="57"/>
      <c r="W259">
        <f>IF(Q259="Disponible",COUNTIFS($D$2:D259,D259,$Q$2:Q259,"Disponible"),"")</f>
      </c>
      <c r="X259">
        <f>IF(W259&lt;&gt;"",D259&amp;"|"&amp;W259,"")</f>
      </c>
      <c r="Y259">
        <f>IF(X259&lt;&gt;"",IF(K259&lt;&gt;"",K259&amp;" ("&amp;M259&amp;")",M259),"")</f>
      </c>
      <c r="Z259">
        <f>IF(O259="Sí",COUNTIFS($D$2:D259,D259,$O$2:O259,"Sí"),"")</f>
      </c>
      <c r="AA259">
        <f>IF(Z259&lt;&gt;"",D259&amp;"|"&amp;Z259,"")</f>
      </c>
      <c r="AB259">
        <f>IF(AA259&lt;&gt;"",IF(K259&lt;&gt;"",K259&amp;" ("&amp;M259&amp;")",M259),"")</f>
      </c>
      <c r="AC259">
        <f>IF($B259="","fecha, ","")&amp;IF($C259="","quién lo introduce, ","")&amp;IF($I259="","motivo, ","")&amp;IF($K259="","docente, ","")&amp;IF($L259="","horario, ","")&amp;IF($N259="","duración, ","")&amp;IF($Q259="","estado, ","")&amp;IF(AND($I259="Otros",$J259=""),"detalle del motivo, ","")&amp;IF(AND($O259="Sí",$P259=""),"detalle del refuerzo, ","")&amp;IF(AND(OR($I259="Renuncia (hasta 30 nov)",$I259="Baja (desde 1 dic)",$I259="Renuncia excepcional (art. 25.3)",$I259="Traslado de expediente"),OR($E259="",$F259="",$G259="")),"quién deja la plaza, ","")&amp;IF(AND($Q259="No disponible",$R259=""),"vía de cobertura, ","")&amp;IF(AND(OR($R259="Lista de espera · propio centro",$R259="Traslado de expediente",$R259="Lista de espera · otro centro"),OR($S259="",$T259="",$U259="")),"quién ocupa la plaza, ","")</f>
      </c>
      <c r="AD259" s="24">
        <f>IF($D259="","",IF(AND(LEN($AC259)=0,LEN($AK259)=0),"Completa",IF(LEN($AC259)=0,"Revisar: "&amp;LEFT($AK259,LEN($AK259)-2),"Falta: "&amp;LEFT($AC259,LEN($AC259)-2)&amp;IF(LEN($AK259)&gt;0,"  ·  Revisar: "&amp;LEFT($AK259,LEN($AK259)-2),""))))</f>
      </c>
      <c r="AE259">
        <f>IF(AND($D259&lt;&gt;"",OR($I259="Renuncia (hasta 30 nov)",$I259="Baja (desde 1 dic)",$I259="Renuncia excepcional (art. 25.3)",$I259="Traslado de expediente")),COUNTIF($AE$1:AE258,"&gt;0")+1,"")</f>
      </c>
      <c r="AF259">
        <f>IF($Q259="Disponible",COUNTIF($AF$1:AF258,"&gt;0")+1,"")</f>
      </c>
      <c r="AG259">
        <f>IF($O259="Sí",COUNTIF($AG$1:AG258,"&gt;0")+1,"")</f>
      </c>
      <c r="AH259">
        <f>IF(AND($Q259="Disponible",$O259&lt;&gt;"Sí"),COUNTIF($AH$1:AH258,"&gt;0")+1,"")</f>
      </c>
      <c r="AI259">
        <f>IF(AND($Q259="Disponible",$K259&lt;&gt;""),COUNTIFS($K$2:K259,K259,$Q$2:Q259,"Disponible"),"")</f>
      </c>
      <c r="AJ259">
        <f>IF(AI259&lt;&gt;"",K259&amp;"|"&amp;AI259,"")</f>
      </c>
      <c r="AK259">
        <f>IF(AND($Q259="No disponible",OR($R259="Lista de espera · propio centro",$R259="Traslado de expediente",$R259="Lista de espera · otro centro"),$O259="Sí"),"la plaza ya tiene alumno y sigue marcada como refuerzo, ","")&amp;IF(AND($R259="Reconvertida en refuerzo",$O259&lt;&gt;"Sí"),"reconvertida en refuerzo pero sin marcar «En uso como refuerzo», ","")</f>
      </c>
    </row>
    <row r="260" spans="1:37">
      <c r="A260" s="20">
        <f>IF(D260&lt;&gt;"",ROW()-1,"")</f>
      </c>
      <c r="B260" s="55"/>
      <c r="C260" s="56"/>
      <c r="D260" s="56"/>
      <c r="E260" s="56"/>
      <c r="F260" s="56"/>
      <c r="G260" s="56"/>
      <c r="H260" s="56"/>
      <c r="I260" s="56"/>
      <c r="J260" s="57"/>
      <c r="K260" s="56"/>
      <c r="L260" s="58"/>
      <c r="M260" s="58">
        <f>IF(L260="","",L260)</f>
      </c>
      <c r="N260" s="56"/>
      <c r="O260" s="56"/>
      <c r="P260" s="57"/>
      <c r="Q260" s="56"/>
      <c r="R260" s="56"/>
      <c r="S260" s="56"/>
      <c r="T260" s="56"/>
      <c r="U260" s="56"/>
      <c r="V260" s="57"/>
      <c r="W260">
        <f>IF(Q260="Disponible",COUNTIFS($D$2:D260,D260,$Q$2:Q260,"Disponible"),"")</f>
      </c>
      <c r="X260">
        <f>IF(W260&lt;&gt;"",D260&amp;"|"&amp;W260,"")</f>
      </c>
      <c r="Y260">
        <f>IF(X260&lt;&gt;"",IF(K260&lt;&gt;"",K260&amp;" ("&amp;M260&amp;")",M260),"")</f>
      </c>
      <c r="Z260">
        <f>IF(O260="Sí",COUNTIFS($D$2:D260,D260,$O$2:O260,"Sí"),"")</f>
      </c>
      <c r="AA260">
        <f>IF(Z260&lt;&gt;"",D260&amp;"|"&amp;Z260,"")</f>
      </c>
      <c r="AB260">
        <f>IF(AA260&lt;&gt;"",IF(K260&lt;&gt;"",K260&amp;" ("&amp;M260&amp;")",M260),"")</f>
      </c>
      <c r="AC260">
        <f>IF($B260="","fecha, ","")&amp;IF($C260="","quién lo introduce, ","")&amp;IF($I260="","motivo, ","")&amp;IF($K260="","docente, ","")&amp;IF($L260="","horario, ","")&amp;IF($N260="","duración, ","")&amp;IF($Q260="","estado, ","")&amp;IF(AND($I260="Otros",$J260=""),"detalle del motivo, ","")&amp;IF(AND($O260="Sí",$P260=""),"detalle del refuerzo, ","")&amp;IF(AND(OR($I260="Renuncia (hasta 30 nov)",$I260="Baja (desde 1 dic)",$I260="Renuncia excepcional (art. 25.3)",$I260="Traslado de expediente"),OR($E260="",$F260="",$G260="")),"quién deja la plaza, ","")&amp;IF(AND($Q260="No disponible",$R260=""),"vía de cobertura, ","")&amp;IF(AND(OR($R260="Lista de espera · propio centro",$R260="Traslado de expediente",$R260="Lista de espera · otro centro"),OR($S260="",$T260="",$U260="")),"quién ocupa la plaza, ","")</f>
      </c>
      <c r="AD260" s="24">
        <f>IF($D260="","",IF(AND(LEN($AC260)=0,LEN($AK260)=0),"Completa",IF(LEN($AC260)=0,"Revisar: "&amp;LEFT($AK260,LEN($AK260)-2),"Falta: "&amp;LEFT($AC260,LEN($AC260)-2)&amp;IF(LEN($AK260)&gt;0,"  ·  Revisar: "&amp;LEFT($AK260,LEN($AK260)-2),""))))</f>
      </c>
      <c r="AE260">
        <f>IF(AND($D260&lt;&gt;"",OR($I260="Renuncia (hasta 30 nov)",$I260="Baja (desde 1 dic)",$I260="Renuncia excepcional (art. 25.3)",$I260="Traslado de expediente")),COUNTIF($AE$1:AE259,"&gt;0")+1,"")</f>
      </c>
      <c r="AF260">
        <f>IF($Q260="Disponible",COUNTIF($AF$1:AF259,"&gt;0")+1,"")</f>
      </c>
      <c r="AG260">
        <f>IF($O260="Sí",COUNTIF($AG$1:AG259,"&gt;0")+1,"")</f>
      </c>
      <c r="AH260">
        <f>IF(AND($Q260="Disponible",$O260&lt;&gt;"Sí"),COUNTIF($AH$1:AH259,"&gt;0")+1,"")</f>
      </c>
      <c r="AI260">
        <f>IF(AND($Q260="Disponible",$K260&lt;&gt;""),COUNTIFS($K$2:K260,K260,$Q$2:Q260,"Disponible"),"")</f>
      </c>
      <c r="AJ260">
        <f>IF(AI260&lt;&gt;"",K260&amp;"|"&amp;AI260,"")</f>
      </c>
      <c r="AK260">
        <f>IF(AND($Q260="No disponible",OR($R260="Lista de espera · propio centro",$R260="Traslado de expediente",$R260="Lista de espera · otro centro"),$O260="Sí"),"la plaza ya tiene alumno y sigue marcada como refuerzo, ","")&amp;IF(AND($R260="Reconvertida en refuerzo",$O260&lt;&gt;"Sí"),"reconvertida en refuerzo pero sin marcar «En uso como refuerzo», ","")</f>
      </c>
    </row>
    <row r="261" spans="1:37">
      <c r="A261" s="20">
        <f>IF(D261&lt;&gt;"",ROW()-1,"")</f>
      </c>
      <c r="B261" s="55"/>
      <c r="C261" s="56"/>
      <c r="D261" s="56"/>
      <c r="E261" s="56"/>
      <c r="F261" s="56"/>
      <c r="G261" s="56"/>
      <c r="H261" s="56"/>
      <c r="I261" s="56"/>
      <c r="J261" s="57"/>
      <c r="K261" s="56"/>
      <c r="L261" s="58"/>
      <c r="M261" s="58">
        <f>IF(L261="","",L261)</f>
      </c>
      <c r="N261" s="56"/>
      <c r="O261" s="56"/>
      <c r="P261" s="57"/>
      <c r="Q261" s="56"/>
      <c r="R261" s="56"/>
      <c r="S261" s="56"/>
      <c r="T261" s="56"/>
      <c r="U261" s="56"/>
      <c r="V261" s="57"/>
      <c r="W261">
        <f>IF(Q261="Disponible",COUNTIFS($D$2:D261,D261,$Q$2:Q261,"Disponible"),"")</f>
      </c>
      <c r="X261">
        <f>IF(W261&lt;&gt;"",D261&amp;"|"&amp;W261,"")</f>
      </c>
      <c r="Y261">
        <f>IF(X261&lt;&gt;"",IF(K261&lt;&gt;"",K261&amp;" ("&amp;M261&amp;")",M261),"")</f>
      </c>
      <c r="Z261">
        <f>IF(O261="Sí",COUNTIFS($D$2:D261,D261,$O$2:O261,"Sí"),"")</f>
      </c>
      <c r="AA261">
        <f>IF(Z261&lt;&gt;"",D261&amp;"|"&amp;Z261,"")</f>
      </c>
      <c r="AB261">
        <f>IF(AA261&lt;&gt;"",IF(K261&lt;&gt;"",K261&amp;" ("&amp;M261&amp;")",M261),"")</f>
      </c>
      <c r="AC261">
        <f>IF($B261="","fecha, ","")&amp;IF($C261="","quién lo introduce, ","")&amp;IF($I261="","motivo, ","")&amp;IF($K261="","docente, ","")&amp;IF($L261="","horario, ","")&amp;IF($N261="","duración, ","")&amp;IF($Q261="","estado, ","")&amp;IF(AND($I261="Otros",$J261=""),"detalle del motivo, ","")&amp;IF(AND($O261="Sí",$P261=""),"detalle del refuerzo, ","")&amp;IF(AND(OR($I261="Renuncia (hasta 30 nov)",$I261="Baja (desde 1 dic)",$I261="Renuncia excepcional (art. 25.3)",$I261="Traslado de expediente"),OR($E261="",$F261="",$G261="")),"quién deja la plaza, ","")&amp;IF(AND($Q261="No disponible",$R261=""),"vía de cobertura, ","")&amp;IF(AND(OR($R261="Lista de espera · propio centro",$R261="Traslado de expediente",$R261="Lista de espera · otro centro"),OR($S261="",$T261="",$U261="")),"quién ocupa la plaza, ","")</f>
      </c>
      <c r="AD261" s="24">
        <f>IF($D261="","",IF(AND(LEN($AC261)=0,LEN($AK261)=0),"Completa",IF(LEN($AC261)=0,"Revisar: "&amp;LEFT($AK261,LEN($AK261)-2),"Falta: "&amp;LEFT($AC261,LEN($AC261)-2)&amp;IF(LEN($AK261)&gt;0,"  ·  Revisar: "&amp;LEFT($AK261,LEN($AK261)-2),""))))</f>
      </c>
      <c r="AE261">
        <f>IF(AND($D261&lt;&gt;"",OR($I261="Renuncia (hasta 30 nov)",$I261="Baja (desde 1 dic)",$I261="Renuncia excepcional (art. 25.3)",$I261="Traslado de expediente")),COUNTIF($AE$1:AE260,"&gt;0")+1,"")</f>
      </c>
      <c r="AF261">
        <f>IF($Q261="Disponible",COUNTIF($AF$1:AF260,"&gt;0")+1,"")</f>
      </c>
      <c r="AG261">
        <f>IF($O261="Sí",COUNTIF($AG$1:AG260,"&gt;0")+1,"")</f>
      </c>
      <c r="AH261">
        <f>IF(AND($Q261="Disponible",$O261&lt;&gt;"Sí"),COUNTIF($AH$1:AH260,"&gt;0")+1,"")</f>
      </c>
      <c r="AI261">
        <f>IF(AND($Q261="Disponible",$K261&lt;&gt;""),COUNTIFS($K$2:K261,K261,$Q$2:Q261,"Disponible"),"")</f>
      </c>
      <c r="AJ261">
        <f>IF(AI261&lt;&gt;"",K261&amp;"|"&amp;AI261,"")</f>
      </c>
      <c r="AK261">
        <f>IF(AND($Q261="No disponible",OR($R261="Lista de espera · propio centro",$R261="Traslado de expediente",$R261="Lista de espera · otro centro"),$O261="Sí"),"la plaza ya tiene alumno y sigue marcada como refuerzo, ","")&amp;IF(AND($R261="Reconvertida en refuerzo",$O261&lt;&gt;"Sí"),"reconvertida en refuerzo pero sin marcar «En uso como refuerzo», ","")</f>
      </c>
    </row>
    <row r="262" spans="1:37">
      <c r="A262" s="20">
        <f>IF(D262&lt;&gt;"",ROW()-1,"")</f>
      </c>
      <c r="B262" s="55"/>
      <c r="C262" s="56"/>
      <c r="D262" s="56"/>
      <c r="E262" s="56"/>
      <c r="F262" s="56"/>
      <c r="G262" s="56"/>
      <c r="H262" s="56"/>
      <c r="I262" s="56"/>
      <c r="J262" s="57"/>
      <c r="K262" s="56"/>
      <c r="L262" s="58"/>
      <c r="M262" s="58">
        <f>IF(L262="","",L262)</f>
      </c>
      <c r="N262" s="56"/>
      <c r="O262" s="56"/>
      <c r="P262" s="57"/>
      <c r="Q262" s="56"/>
      <c r="R262" s="56"/>
      <c r="S262" s="56"/>
      <c r="T262" s="56"/>
      <c r="U262" s="56"/>
      <c r="V262" s="57"/>
      <c r="W262">
        <f>IF(Q262="Disponible",COUNTIFS($D$2:D262,D262,$Q$2:Q262,"Disponible"),"")</f>
      </c>
      <c r="X262">
        <f>IF(W262&lt;&gt;"",D262&amp;"|"&amp;W262,"")</f>
      </c>
      <c r="Y262">
        <f>IF(X262&lt;&gt;"",IF(K262&lt;&gt;"",K262&amp;" ("&amp;M262&amp;")",M262),"")</f>
      </c>
      <c r="Z262">
        <f>IF(O262="Sí",COUNTIFS($D$2:D262,D262,$O$2:O262,"Sí"),"")</f>
      </c>
      <c r="AA262">
        <f>IF(Z262&lt;&gt;"",D262&amp;"|"&amp;Z262,"")</f>
      </c>
      <c r="AB262">
        <f>IF(AA262&lt;&gt;"",IF(K262&lt;&gt;"",K262&amp;" ("&amp;M262&amp;")",M262),"")</f>
      </c>
      <c r="AC262">
        <f>IF($B262="","fecha, ","")&amp;IF($C262="","quién lo introduce, ","")&amp;IF($I262="","motivo, ","")&amp;IF($K262="","docente, ","")&amp;IF($L262="","horario, ","")&amp;IF($N262="","duración, ","")&amp;IF($Q262="","estado, ","")&amp;IF(AND($I262="Otros",$J262=""),"detalle del motivo, ","")&amp;IF(AND($O262="Sí",$P262=""),"detalle del refuerzo, ","")&amp;IF(AND(OR($I262="Renuncia (hasta 30 nov)",$I262="Baja (desde 1 dic)",$I262="Renuncia excepcional (art. 25.3)",$I262="Traslado de expediente"),OR($E262="",$F262="",$G262="")),"quién deja la plaza, ","")&amp;IF(AND($Q262="No disponible",$R262=""),"vía de cobertura, ","")&amp;IF(AND(OR($R262="Lista de espera · propio centro",$R262="Traslado de expediente",$R262="Lista de espera · otro centro"),OR($S262="",$T262="",$U262="")),"quién ocupa la plaza, ","")</f>
      </c>
      <c r="AD262" s="24">
        <f>IF($D262="","",IF(AND(LEN($AC262)=0,LEN($AK262)=0),"Completa",IF(LEN($AC262)=0,"Revisar: "&amp;LEFT($AK262,LEN($AK262)-2),"Falta: "&amp;LEFT($AC262,LEN($AC262)-2)&amp;IF(LEN($AK262)&gt;0,"  ·  Revisar: "&amp;LEFT($AK262,LEN($AK262)-2),""))))</f>
      </c>
      <c r="AE262">
        <f>IF(AND($D262&lt;&gt;"",OR($I262="Renuncia (hasta 30 nov)",$I262="Baja (desde 1 dic)",$I262="Renuncia excepcional (art. 25.3)",$I262="Traslado de expediente")),COUNTIF($AE$1:AE261,"&gt;0")+1,"")</f>
      </c>
      <c r="AF262">
        <f>IF($Q262="Disponible",COUNTIF($AF$1:AF261,"&gt;0")+1,"")</f>
      </c>
      <c r="AG262">
        <f>IF($O262="Sí",COUNTIF($AG$1:AG261,"&gt;0")+1,"")</f>
      </c>
      <c r="AH262">
        <f>IF(AND($Q262="Disponible",$O262&lt;&gt;"Sí"),COUNTIF($AH$1:AH261,"&gt;0")+1,"")</f>
      </c>
      <c r="AI262">
        <f>IF(AND($Q262="Disponible",$K262&lt;&gt;""),COUNTIFS($K$2:K262,K262,$Q$2:Q262,"Disponible"),"")</f>
      </c>
      <c r="AJ262">
        <f>IF(AI262&lt;&gt;"",K262&amp;"|"&amp;AI262,"")</f>
      </c>
      <c r="AK262">
        <f>IF(AND($Q262="No disponible",OR($R262="Lista de espera · propio centro",$R262="Traslado de expediente",$R262="Lista de espera · otro centro"),$O262="Sí"),"la plaza ya tiene alumno y sigue marcada como refuerzo, ","")&amp;IF(AND($R262="Reconvertida en refuerzo",$O262&lt;&gt;"Sí"),"reconvertida en refuerzo pero sin marcar «En uso como refuerzo», ","")</f>
      </c>
    </row>
    <row r="263" spans="1:37">
      <c r="A263" s="20">
        <f>IF(D263&lt;&gt;"",ROW()-1,"")</f>
      </c>
      <c r="B263" s="55"/>
      <c r="C263" s="56"/>
      <c r="D263" s="56"/>
      <c r="E263" s="56"/>
      <c r="F263" s="56"/>
      <c r="G263" s="56"/>
      <c r="H263" s="56"/>
      <c r="I263" s="56"/>
      <c r="J263" s="57"/>
      <c r="K263" s="56"/>
      <c r="L263" s="58"/>
      <c r="M263" s="58">
        <f>IF(L263="","",L263)</f>
      </c>
      <c r="N263" s="56"/>
      <c r="O263" s="56"/>
      <c r="P263" s="57"/>
      <c r="Q263" s="56"/>
      <c r="R263" s="56"/>
      <c r="S263" s="56"/>
      <c r="T263" s="56"/>
      <c r="U263" s="56"/>
      <c r="V263" s="57"/>
      <c r="W263">
        <f>IF(Q263="Disponible",COUNTIFS($D$2:D263,D263,$Q$2:Q263,"Disponible"),"")</f>
      </c>
      <c r="X263">
        <f>IF(W263&lt;&gt;"",D263&amp;"|"&amp;W263,"")</f>
      </c>
      <c r="Y263">
        <f>IF(X263&lt;&gt;"",IF(K263&lt;&gt;"",K263&amp;" ("&amp;M263&amp;")",M263),"")</f>
      </c>
      <c r="Z263">
        <f>IF(O263="Sí",COUNTIFS($D$2:D263,D263,$O$2:O263,"Sí"),"")</f>
      </c>
      <c r="AA263">
        <f>IF(Z263&lt;&gt;"",D263&amp;"|"&amp;Z263,"")</f>
      </c>
      <c r="AB263">
        <f>IF(AA263&lt;&gt;"",IF(K263&lt;&gt;"",K263&amp;" ("&amp;M263&amp;")",M263),"")</f>
      </c>
      <c r="AC263">
        <f>IF($B263="","fecha, ","")&amp;IF($C263="","quién lo introduce, ","")&amp;IF($I263="","motivo, ","")&amp;IF($K263="","docente, ","")&amp;IF($L263="","horario, ","")&amp;IF($N263="","duración, ","")&amp;IF($Q263="","estado, ","")&amp;IF(AND($I263="Otros",$J263=""),"detalle del motivo, ","")&amp;IF(AND($O263="Sí",$P263=""),"detalle del refuerzo, ","")&amp;IF(AND(OR($I263="Renuncia (hasta 30 nov)",$I263="Baja (desde 1 dic)",$I263="Renuncia excepcional (art. 25.3)",$I263="Traslado de expediente"),OR($E263="",$F263="",$G263="")),"quién deja la plaza, ","")&amp;IF(AND($Q263="No disponible",$R263=""),"vía de cobertura, ","")&amp;IF(AND(OR($R263="Lista de espera · propio centro",$R263="Traslado de expediente",$R263="Lista de espera · otro centro"),OR($S263="",$T263="",$U263="")),"quién ocupa la plaza, ","")</f>
      </c>
      <c r="AD263" s="24">
        <f>IF($D263="","",IF(AND(LEN($AC263)=0,LEN($AK263)=0),"Completa",IF(LEN($AC263)=0,"Revisar: "&amp;LEFT($AK263,LEN($AK263)-2),"Falta: "&amp;LEFT($AC263,LEN($AC263)-2)&amp;IF(LEN($AK263)&gt;0,"  ·  Revisar: "&amp;LEFT($AK263,LEN($AK263)-2),""))))</f>
      </c>
      <c r="AE263">
        <f>IF(AND($D263&lt;&gt;"",OR($I263="Renuncia (hasta 30 nov)",$I263="Baja (desde 1 dic)",$I263="Renuncia excepcional (art. 25.3)",$I263="Traslado de expediente")),COUNTIF($AE$1:AE262,"&gt;0")+1,"")</f>
      </c>
      <c r="AF263">
        <f>IF($Q263="Disponible",COUNTIF($AF$1:AF262,"&gt;0")+1,"")</f>
      </c>
      <c r="AG263">
        <f>IF($O263="Sí",COUNTIF($AG$1:AG262,"&gt;0")+1,"")</f>
      </c>
      <c r="AH263">
        <f>IF(AND($Q263="Disponible",$O263&lt;&gt;"Sí"),COUNTIF($AH$1:AH262,"&gt;0")+1,"")</f>
      </c>
      <c r="AI263">
        <f>IF(AND($Q263="Disponible",$K263&lt;&gt;""),COUNTIFS($K$2:K263,K263,$Q$2:Q263,"Disponible"),"")</f>
      </c>
      <c r="AJ263">
        <f>IF(AI263&lt;&gt;"",K263&amp;"|"&amp;AI263,"")</f>
      </c>
      <c r="AK263">
        <f>IF(AND($Q263="No disponible",OR($R263="Lista de espera · propio centro",$R263="Traslado de expediente",$R263="Lista de espera · otro centro"),$O263="Sí"),"la plaza ya tiene alumno y sigue marcada como refuerzo, ","")&amp;IF(AND($R263="Reconvertida en refuerzo",$O263&lt;&gt;"Sí"),"reconvertida en refuerzo pero sin marcar «En uso como refuerzo», ","")</f>
      </c>
    </row>
    <row r="264" spans="1:37">
      <c r="A264" s="20">
        <f>IF(D264&lt;&gt;"",ROW()-1,"")</f>
      </c>
      <c r="B264" s="55"/>
      <c r="C264" s="56"/>
      <c r="D264" s="56"/>
      <c r="E264" s="56"/>
      <c r="F264" s="56"/>
      <c r="G264" s="56"/>
      <c r="H264" s="56"/>
      <c r="I264" s="56"/>
      <c r="J264" s="57"/>
      <c r="K264" s="56"/>
      <c r="L264" s="58"/>
      <c r="M264" s="58">
        <f>IF(L264="","",L264)</f>
      </c>
      <c r="N264" s="56"/>
      <c r="O264" s="56"/>
      <c r="P264" s="57"/>
      <c r="Q264" s="56"/>
      <c r="R264" s="56"/>
      <c r="S264" s="56"/>
      <c r="T264" s="56"/>
      <c r="U264" s="56"/>
      <c r="V264" s="57"/>
      <c r="W264">
        <f>IF(Q264="Disponible",COUNTIFS($D$2:D264,D264,$Q$2:Q264,"Disponible"),"")</f>
      </c>
      <c r="X264">
        <f>IF(W264&lt;&gt;"",D264&amp;"|"&amp;W264,"")</f>
      </c>
      <c r="Y264">
        <f>IF(X264&lt;&gt;"",IF(K264&lt;&gt;"",K264&amp;" ("&amp;M264&amp;")",M264),"")</f>
      </c>
      <c r="Z264">
        <f>IF(O264="Sí",COUNTIFS($D$2:D264,D264,$O$2:O264,"Sí"),"")</f>
      </c>
      <c r="AA264">
        <f>IF(Z264&lt;&gt;"",D264&amp;"|"&amp;Z264,"")</f>
      </c>
      <c r="AB264">
        <f>IF(AA264&lt;&gt;"",IF(K264&lt;&gt;"",K264&amp;" ("&amp;M264&amp;")",M264),"")</f>
      </c>
      <c r="AC264">
        <f>IF($B264="","fecha, ","")&amp;IF($C264="","quién lo introduce, ","")&amp;IF($I264="","motivo, ","")&amp;IF($K264="","docente, ","")&amp;IF($L264="","horario, ","")&amp;IF($N264="","duración, ","")&amp;IF($Q264="","estado, ","")&amp;IF(AND($I264="Otros",$J264=""),"detalle del motivo, ","")&amp;IF(AND($O264="Sí",$P264=""),"detalle del refuerzo, ","")&amp;IF(AND(OR($I264="Renuncia (hasta 30 nov)",$I264="Baja (desde 1 dic)",$I264="Renuncia excepcional (art. 25.3)",$I264="Traslado de expediente"),OR($E264="",$F264="",$G264="")),"quién deja la plaza, ","")&amp;IF(AND($Q264="No disponible",$R264=""),"vía de cobertura, ","")&amp;IF(AND(OR($R264="Lista de espera · propio centro",$R264="Traslado de expediente",$R264="Lista de espera · otro centro"),OR($S264="",$T264="",$U264="")),"quién ocupa la plaza, ","")</f>
      </c>
      <c r="AD264" s="24">
        <f>IF($D264="","",IF(AND(LEN($AC264)=0,LEN($AK264)=0),"Completa",IF(LEN($AC264)=0,"Revisar: "&amp;LEFT($AK264,LEN($AK264)-2),"Falta: "&amp;LEFT($AC264,LEN($AC264)-2)&amp;IF(LEN($AK264)&gt;0,"  ·  Revisar: "&amp;LEFT($AK264,LEN($AK264)-2),""))))</f>
      </c>
      <c r="AE264">
        <f>IF(AND($D264&lt;&gt;"",OR($I264="Renuncia (hasta 30 nov)",$I264="Baja (desde 1 dic)",$I264="Renuncia excepcional (art. 25.3)",$I264="Traslado de expediente")),COUNTIF($AE$1:AE263,"&gt;0")+1,"")</f>
      </c>
      <c r="AF264">
        <f>IF($Q264="Disponible",COUNTIF($AF$1:AF263,"&gt;0")+1,"")</f>
      </c>
      <c r="AG264">
        <f>IF($O264="Sí",COUNTIF($AG$1:AG263,"&gt;0")+1,"")</f>
      </c>
      <c r="AH264">
        <f>IF(AND($Q264="Disponible",$O264&lt;&gt;"Sí"),COUNTIF($AH$1:AH263,"&gt;0")+1,"")</f>
      </c>
      <c r="AI264">
        <f>IF(AND($Q264="Disponible",$K264&lt;&gt;""),COUNTIFS($K$2:K264,K264,$Q$2:Q264,"Disponible"),"")</f>
      </c>
      <c r="AJ264">
        <f>IF(AI264&lt;&gt;"",K264&amp;"|"&amp;AI264,"")</f>
      </c>
      <c r="AK264">
        <f>IF(AND($Q264="No disponible",OR($R264="Lista de espera · propio centro",$R264="Traslado de expediente",$R264="Lista de espera · otro centro"),$O264="Sí"),"la plaza ya tiene alumno y sigue marcada como refuerzo, ","")&amp;IF(AND($R264="Reconvertida en refuerzo",$O264&lt;&gt;"Sí"),"reconvertida en refuerzo pero sin marcar «En uso como refuerzo», ","")</f>
      </c>
    </row>
    <row r="265" spans="1:37">
      <c r="A265" s="20">
        <f>IF(D265&lt;&gt;"",ROW()-1,"")</f>
      </c>
      <c r="B265" s="55"/>
      <c r="C265" s="56"/>
      <c r="D265" s="56"/>
      <c r="E265" s="56"/>
      <c r="F265" s="56"/>
      <c r="G265" s="56"/>
      <c r="H265" s="56"/>
      <c r="I265" s="56"/>
      <c r="J265" s="57"/>
      <c r="K265" s="56"/>
      <c r="L265" s="58"/>
      <c r="M265" s="58">
        <f>IF(L265="","",L265)</f>
      </c>
      <c r="N265" s="56"/>
      <c r="O265" s="56"/>
      <c r="P265" s="57"/>
      <c r="Q265" s="56"/>
      <c r="R265" s="56"/>
      <c r="S265" s="56"/>
      <c r="T265" s="56"/>
      <c r="U265" s="56"/>
      <c r="V265" s="57"/>
      <c r="W265">
        <f>IF(Q265="Disponible",COUNTIFS($D$2:D265,D265,$Q$2:Q265,"Disponible"),"")</f>
      </c>
      <c r="X265">
        <f>IF(W265&lt;&gt;"",D265&amp;"|"&amp;W265,"")</f>
      </c>
      <c r="Y265">
        <f>IF(X265&lt;&gt;"",IF(K265&lt;&gt;"",K265&amp;" ("&amp;M265&amp;")",M265),"")</f>
      </c>
      <c r="Z265">
        <f>IF(O265="Sí",COUNTIFS($D$2:D265,D265,$O$2:O265,"Sí"),"")</f>
      </c>
      <c r="AA265">
        <f>IF(Z265&lt;&gt;"",D265&amp;"|"&amp;Z265,"")</f>
      </c>
      <c r="AB265">
        <f>IF(AA265&lt;&gt;"",IF(K265&lt;&gt;"",K265&amp;" ("&amp;M265&amp;")",M265),"")</f>
      </c>
      <c r="AC265">
        <f>IF($B265="","fecha, ","")&amp;IF($C265="","quién lo introduce, ","")&amp;IF($I265="","motivo, ","")&amp;IF($K265="","docente, ","")&amp;IF($L265="","horario, ","")&amp;IF($N265="","duración, ","")&amp;IF($Q265="","estado, ","")&amp;IF(AND($I265="Otros",$J265=""),"detalle del motivo, ","")&amp;IF(AND($O265="Sí",$P265=""),"detalle del refuerzo, ","")&amp;IF(AND(OR($I265="Renuncia (hasta 30 nov)",$I265="Baja (desde 1 dic)",$I265="Renuncia excepcional (art. 25.3)",$I265="Traslado de expediente"),OR($E265="",$F265="",$G265="")),"quién deja la plaza, ","")&amp;IF(AND($Q265="No disponible",$R265=""),"vía de cobertura, ","")&amp;IF(AND(OR($R265="Lista de espera · propio centro",$R265="Traslado de expediente",$R265="Lista de espera · otro centro"),OR($S265="",$T265="",$U265="")),"quién ocupa la plaza, ","")</f>
      </c>
      <c r="AD265" s="24">
        <f>IF($D265="","",IF(AND(LEN($AC265)=0,LEN($AK265)=0),"Completa",IF(LEN($AC265)=0,"Revisar: "&amp;LEFT($AK265,LEN($AK265)-2),"Falta: "&amp;LEFT($AC265,LEN($AC265)-2)&amp;IF(LEN($AK265)&gt;0,"  ·  Revisar: "&amp;LEFT($AK265,LEN($AK265)-2),""))))</f>
      </c>
      <c r="AE265">
        <f>IF(AND($D265&lt;&gt;"",OR($I265="Renuncia (hasta 30 nov)",$I265="Baja (desde 1 dic)",$I265="Renuncia excepcional (art. 25.3)",$I265="Traslado de expediente")),COUNTIF($AE$1:AE264,"&gt;0")+1,"")</f>
      </c>
      <c r="AF265">
        <f>IF($Q265="Disponible",COUNTIF($AF$1:AF264,"&gt;0")+1,"")</f>
      </c>
      <c r="AG265">
        <f>IF($O265="Sí",COUNTIF($AG$1:AG264,"&gt;0")+1,"")</f>
      </c>
      <c r="AH265">
        <f>IF(AND($Q265="Disponible",$O265&lt;&gt;"Sí"),COUNTIF($AH$1:AH264,"&gt;0")+1,"")</f>
      </c>
      <c r="AI265">
        <f>IF(AND($Q265="Disponible",$K265&lt;&gt;""),COUNTIFS($K$2:K265,K265,$Q$2:Q265,"Disponible"),"")</f>
      </c>
      <c r="AJ265">
        <f>IF(AI265&lt;&gt;"",K265&amp;"|"&amp;AI265,"")</f>
      </c>
      <c r="AK265">
        <f>IF(AND($Q265="No disponible",OR($R265="Lista de espera · propio centro",$R265="Traslado de expediente",$R265="Lista de espera · otro centro"),$O265="Sí"),"la plaza ya tiene alumno y sigue marcada como refuerzo, ","")&amp;IF(AND($R265="Reconvertida en refuerzo",$O265&lt;&gt;"Sí"),"reconvertida en refuerzo pero sin marcar «En uso como refuerzo», ","")</f>
      </c>
    </row>
    <row r="266" spans="1:37">
      <c r="A266" s="20">
        <f>IF(D266&lt;&gt;"",ROW()-1,"")</f>
      </c>
      <c r="B266" s="55"/>
      <c r="C266" s="56"/>
      <c r="D266" s="56"/>
      <c r="E266" s="56"/>
      <c r="F266" s="56"/>
      <c r="G266" s="56"/>
      <c r="H266" s="56"/>
      <c r="I266" s="56"/>
      <c r="J266" s="57"/>
      <c r="K266" s="56"/>
      <c r="L266" s="58"/>
      <c r="M266" s="58">
        <f>IF(L266="","",L266)</f>
      </c>
      <c r="N266" s="56"/>
      <c r="O266" s="56"/>
      <c r="P266" s="57"/>
      <c r="Q266" s="56"/>
      <c r="R266" s="56"/>
      <c r="S266" s="56"/>
      <c r="T266" s="56"/>
      <c r="U266" s="56"/>
      <c r="V266" s="57"/>
      <c r="W266">
        <f>IF(Q266="Disponible",COUNTIFS($D$2:D266,D266,$Q$2:Q266,"Disponible"),"")</f>
      </c>
      <c r="X266">
        <f>IF(W266&lt;&gt;"",D266&amp;"|"&amp;W266,"")</f>
      </c>
      <c r="Y266">
        <f>IF(X266&lt;&gt;"",IF(K266&lt;&gt;"",K266&amp;" ("&amp;M266&amp;")",M266),"")</f>
      </c>
      <c r="Z266">
        <f>IF(O266="Sí",COUNTIFS($D$2:D266,D266,$O$2:O266,"Sí"),"")</f>
      </c>
      <c r="AA266">
        <f>IF(Z266&lt;&gt;"",D266&amp;"|"&amp;Z266,"")</f>
      </c>
      <c r="AB266">
        <f>IF(AA266&lt;&gt;"",IF(K266&lt;&gt;"",K266&amp;" ("&amp;M266&amp;")",M266),"")</f>
      </c>
      <c r="AC266">
        <f>IF($B266="","fecha, ","")&amp;IF($C266="","quién lo introduce, ","")&amp;IF($I266="","motivo, ","")&amp;IF($K266="","docente, ","")&amp;IF($L266="","horario, ","")&amp;IF($N266="","duración, ","")&amp;IF($Q266="","estado, ","")&amp;IF(AND($I266="Otros",$J266=""),"detalle del motivo, ","")&amp;IF(AND($O266="Sí",$P266=""),"detalle del refuerzo, ","")&amp;IF(AND(OR($I266="Renuncia (hasta 30 nov)",$I266="Baja (desde 1 dic)",$I266="Renuncia excepcional (art. 25.3)",$I266="Traslado de expediente"),OR($E266="",$F266="",$G266="")),"quién deja la plaza, ","")&amp;IF(AND($Q266="No disponible",$R266=""),"vía de cobertura, ","")&amp;IF(AND(OR($R266="Lista de espera · propio centro",$R266="Traslado de expediente",$R266="Lista de espera · otro centro"),OR($S266="",$T266="",$U266="")),"quién ocupa la plaza, ","")</f>
      </c>
      <c r="AD266" s="24">
        <f>IF($D266="","",IF(AND(LEN($AC266)=0,LEN($AK266)=0),"Completa",IF(LEN($AC266)=0,"Revisar: "&amp;LEFT($AK266,LEN($AK266)-2),"Falta: "&amp;LEFT($AC266,LEN($AC266)-2)&amp;IF(LEN($AK266)&gt;0,"  ·  Revisar: "&amp;LEFT($AK266,LEN($AK266)-2),""))))</f>
      </c>
      <c r="AE266">
        <f>IF(AND($D266&lt;&gt;"",OR($I266="Renuncia (hasta 30 nov)",$I266="Baja (desde 1 dic)",$I266="Renuncia excepcional (art. 25.3)",$I266="Traslado de expediente")),COUNTIF($AE$1:AE265,"&gt;0")+1,"")</f>
      </c>
      <c r="AF266">
        <f>IF($Q266="Disponible",COUNTIF($AF$1:AF265,"&gt;0")+1,"")</f>
      </c>
      <c r="AG266">
        <f>IF($O266="Sí",COUNTIF($AG$1:AG265,"&gt;0")+1,"")</f>
      </c>
      <c r="AH266">
        <f>IF(AND($Q266="Disponible",$O266&lt;&gt;"Sí"),COUNTIF($AH$1:AH265,"&gt;0")+1,"")</f>
      </c>
      <c r="AI266">
        <f>IF(AND($Q266="Disponible",$K266&lt;&gt;""),COUNTIFS($K$2:K266,K266,$Q$2:Q266,"Disponible"),"")</f>
      </c>
      <c r="AJ266">
        <f>IF(AI266&lt;&gt;"",K266&amp;"|"&amp;AI266,"")</f>
      </c>
      <c r="AK266">
        <f>IF(AND($Q266="No disponible",OR($R266="Lista de espera · propio centro",$R266="Traslado de expediente",$R266="Lista de espera · otro centro"),$O266="Sí"),"la plaza ya tiene alumno y sigue marcada como refuerzo, ","")&amp;IF(AND($R266="Reconvertida en refuerzo",$O266&lt;&gt;"Sí"),"reconvertida en refuerzo pero sin marcar «En uso como refuerzo», ","")</f>
      </c>
    </row>
    <row r="267" spans="1:37">
      <c r="A267" s="20">
        <f>IF(D267&lt;&gt;"",ROW()-1,"")</f>
      </c>
      <c r="B267" s="55"/>
      <c r="C267" s="56"/>
      <c r="D267" s="56"/>
      <c r="E267" s="56"/>
      <c r="F267" s="56"/>
      <c r="G267" s="56"/>
      <c r="H267" s="56"/>
      <c r="I267" s="56"/>
      <c r="J267" s="57"/>
      <c r="K267" s="56"/>
      <c r="L267" s="58"/>
      <c r="M267" s="58">
        <f>IF(L267="","",L267)</f>
      </c>
      <c r="N267" s="56"/>
      <c r="O267" s="56"/>
      <c r="P267" s="57"/>
      <c r="Q267" s="56"/>
      <c r="R267" s="56"/>
      <c r="S267" s="56"/>
      <c r="T267" s="56"/>
      <c r="U267" s="56"/>
      <c r="V267" s="57"/>
      <c r="W267">
        <f>IF(Q267="Disponible",COUNTIFS($D$2:D267,D267,$Q$2:Q267,"Disponible"),"")</f>
      </c>
      <c r="X267">
        <f>IF(W267&lt;&gt;"",D267&amp;"|"&amp;W267,"")</f>
      </c>
      <c r="Y267">
        <f>IF(X267&lt;&gt;"",IF(K267&lt;&gt;"",K267&amp;" ("&amp;M267&amp;")",M267),"")</f>
      </c>
      <c r="Z267">
        <f>IF(O267="Sí",COUNTIFS($D$2:D267,D267,$O$2:O267,"Sí"),"")</f>
      </c>
      <c r="AA267">
        <f>IF(Z267&lt;&gt;"",D267&amp;"|"&amp;Z267,"")</f>
      </c>
      <c r="AB267">
        <f>IF(AA267&lt;&gt;"",IF(K267&lt;&gt;"",K267&amp;" ("&amp;M267&amp;")",M267),"")</f>
      </c>
      <c r="AC267">
        <f>IF($B267="","fecha, ","")&amp;IF($C267="","quién lo introduce, ","")&amp;IF($I267="","motivo, ","")&amp;IF($K267="","docente, ","")&amp;IF($L267="","horario, ","")&amp;IF($N267="","duración, ","")&amp;IF($Q267="","estado, ","")&amp;IF(AND($I267="Otros",$J267=""),"detalle del motivo, ","")&amp;IF(AND($O267="Sí",$P267=""),"detalle del refuerzo, ","")&amp;IF(AND(OR($I267="Renuncia (hasta 30 nov)",$I267="Baja (desde 1 dic)",$I267="Renuncia excepcional (art. 25.3)",$I267="Traslado de expediente"),OR($E267="",$F267="",$G267="")),"quién deja la plaza, ","")&amp;IF(AND($Q267="No disponible",$R267=""),"vía de cobertura, ","")&amp;IF(AND(OR($R267="Lista de espera · propio centro",$R267="Traslado de expediente",$R267="Lista de espera · otro centro"),OR($S267="",$T267="",$U267="")),"quién ocupa la plaza, ","")</f>
      </c>
      <c r="AD267" s="24">
        <f>IF($D267="","",IF(AND(LEN($AC267)=0,LEN($AK267)=0),"Completa",IF(LEN($AC267)=0,"Revisar: "&amp;LEFT($AK267,LEN($AK267)-2),"Falta: "&amp;LEFT($AC267,LEN($AC267)-2)&amp;IF(LEN($AK267)&gt;0,"  ·  Revisar: "&amp;LEFT($AK267,LEN($AK267)-2),""))))</f>
      </c>
      <c r="AE267">
        <f>IF(AND($D267&lt;&gt;"",OR($I267="Renuncia (hasta 30 nov)",$I267="Baja (desde 1 dic)",$I267="Renuncia excepcional (art. 25.3)",$I267="Traslado de expediente")),COUNTIF($AE$1:AE266,"&gt;0")+1,"")</f>
      </c>
      <c r="AF267">
        <f>IF($Q267="Disponible",COUNTIF($AF$1:AF266,"&gt;0")+1,"")</f>
      </c>
      <c r="AG267">
        <f>IF($O267="Sí",COUNTIF($AG$1:AG266,"&gt;0")+1,"")</f>
      </c>
      <c r="AH267">
        <f>IF(AND($Q267="Disponible",$O267&lt;&gt;"Sí"),COUNTIF($AH$1:AH266,"&gt;0")+1,"")</f>
      </c>
      <c r="AI267">
        <f>IF(AND($Q267="Disponible",$K267&lt;&gt;""),COUNTIFS($K$2:K267,K267,$Q$2:Q267,"Disponible"),"")</f>
      </c>
      <c r="AJ267">
        <f>IF(AI267&lt;&gt;"",K267&amp;"|"&amp;AI267,"")</f>
      </c>
      <c r="AK267">
        <f>IF(AND($Q267="No disponible",OR($R267="Lista de espera · propio centro",$R267="Traslado de expediente",$R267="Lista de espera · otro centro"),$O267="Sí"),"la plaza ya tiene alumno y sigue marcada como refuerzo, ","")&amp;IF(AND($R267="Reconvertida en refuerzo",$O267&lt;&gt;"Sí"),"reconvertida en refuerzo pero sin marcar «En uso como refuerzo», ","")</f>
      </c>
    </row>
    <row r="268" spans="1:37">
      <c r="A268" s="20">
        <f>IF(D268&lt;&gt;"",ROW()-1,"")</f>
      </c>
      <c r="B268" s="55"/>
      <c r="C268" s="56"/>
      <c r="D268" s="56"/>
      <c r="E268" s="56"/>
      <c r="F268" s="56"/>
      <c r="G268" s="56"/>
      <c r="H268" s="56"/>
      <c r="I268" s="56"/>
      <c r="J268" s="57"/>
      <c r="K268" s="56"/>
      <c r="L268" s="58"/>
      <c r="M268" s="58">
        <f>IF(L268="","",L268)</f>
      </c>
      <c r="N268" s="56"/>
      <c r="O268" s="56"/>
      <c r="P268" s="57"/>
      <c r="Q268" s="56"/>
      <c r="R268" s="56"/>
      <c r="S268" s="56"/>
      <c r="T268" s="56"/>
      <c r="U268" s="56"/>
      <c r="V268" s="57"/>
      <c r="W268">
        <f>IF(Q268="Disponible",COUNTIFS($D$2:D268,D268,$Q$2:Q268,"Disponible"),"")</f>
      </c>
      <c r="X268">
        <f>IF(W268&lt;&gt;"",D268&amp;"|"&amp;W268,"")</f>
      </c>
      <c r="Y268">
        <f>IF(X268&lt;&gt;"",IF(K268&lt;&gt;"",K268&amp;" ("&amp;M268&amp;")",M268),"")</f>
      </c>
      <c r="Z268">
        <f>IF(O268="Sí",COUNTIFS($D$2:D268,D268,$O$2:O268,"Sí"),"")</f>
      </c>
      <c r="AA268">
        <f>IF(Z268&lt;&gt;"",D268&amp;"|"&amp;Z268,"")</f>
      </c>
      <c r="AB268">
        <f>IF(AA268&lt;&gt;"",IF(K268&lt;&gt;"",K268&amp;" ("&amp;M268&amp;")",M268),"")</f>
      </c>
      <c r="AC268">
        <f>IF($B268="","fecha, ","")&amp;IF($C268="","quién lo introduce, ","")&amp;IF($I268="","motivo, ","")&amp;IF($K268="","docente, ","")&amp;IF($L268="","horario, ","")&amp;IF($N268="","duración, ","")&amp;IF($Q268="","estado, ","")&amp;IF(AND($I268="Otros",$J268=""),"detalle del motivo, ","")&amp;IF(AND($O268="Sí",$P268=""),"detalle del refuerzo, ","")&amp;IF(AND(OR($I268="Renuncia (hasta 30 nov)",$I268="Baja (desde 1 dic)",$I268="Renuncia excepcional (art. 25.3)",$I268="Traslado de expediente"),OR($E268="",$F268="",$G268="")),"quién deja la plaza, ","")&amp;IF(AND($Q268="No disponible",$R268=""),"vía de cobertura, ","")&amp;IF(AND(OR($R268="Lista de espera · propio centro",$R268="Traslado de expediente",$R268="Lista de espera · otro centro"),OR($S268="",$T268="",$U268="")),"quién ocupa la plaza, ","")</f>
      </c>
      <c r="AD268" s="24">
        <f>IF($D268="","",IF(AND(LEN($AC268)=0,LEN($AK268)=0),"Completa",IF(LEN($AC268)=0,"Revisar: "&amp;LEFT($AK268,LEN($AK268)-2),"Falta: "&amp;LEFT($AC268,LEN($AC268)-2)&amp;IF(LEN($AK268)&gt;0,"  ·  Revisar: "&amp;LEFT($AK268,LEN($AK268)-2),""))))</f>
      </c>
      <c r="AE268">
        <f>IF(AND($D268&lt;&gt;"",OR($I268="Renuncia (hasta 30 nov)",$I268="Baja (desde 1 dic)",$I268="Renuncia excepcional (art. 25.3)",$I268="Traslado de expediente")),COUNTIF($AE$1:AE267,"&gt;0")+1,"")</f>
      </c>
      <c r="AF268">
        <f>IF($Q268="Disponible",COUNTIF($AF$1:AF267,"&gt;0")+1,"")</f>
      </c>
      <c r="AG268">
        <f>IF($O268="Sí",COUNTIF($AG$1:AG267,"&gt;0")+1,"")</f>
      </c>
      <c r="AH268">
        <f>IF(AND($Q268="Disponible",$O268&lt;&gt;"Sí"),COUNTIF($AH$1:AH267,"&gt;0")+1,"")</f>
      </c>
      <c r="AI268">
        <f>IF(AND($Q268="Disponible",$K268&lt;&gt;""),COUNTIFS($K$2:K268,K268,$Q$2:Q268,"Disponible"),"")</f>
      </c>
      <c r="AJ268">
        <f>IF(AI268&lt;&gt;"",K268&amp;"|"&amp;AI268,"")</f>
      </c>
      <c r="AK268">
        <f>IF(AND($Q268="No disponible",OR($R268="Lista de espera · propio centro",$R268="Traslado de expediente",$R268="Lista de espera · otro centro"),$O268="Sí"),"la plaza ya tiene alumno y sigue marcada como refuerzo, ","")&amp;IF(AND($R268="Reconvertida en refuerzo",$O268&lt;&gt;"Sí"),"reconvertida en refuerzo pero sin marcar «En uso como refuerzo», ","")</f>
      </c>
    </row>
    <row r="269" spans="1:37">
      <c r="A269" s="20">
        <f>IF(D269&lt;&gt;"",ROW()-1,"")</f>
      </c>
      <c r="B269" s="55"/>
      <c r="C269" s="56"/>
      <c r="D269" s="56"/>
      <c r="E269" s="56"/>
      <c r="F269" s="56"/>
      <c r="G269" s="56"/>
      <c r="H269" s="56"/>
      <c r="I269" s="56"/>
      <c r="J269" s="57"/>
      <c r="K269" s="56"/>
      <c r="L269" s="58"/>
      <c r="M269" s="58">
        <f>IF(L269="","",L269)</f>
      </c>
      <c r="N269" s="56"/>
      <c r="O269" s="56"/>
      <c r="P269" s="57"/>
      <c r="Q269" s="56"/>
      <c r="R269" s="56"/>
      <c r="S269" s="56"/>
      <c r="T269" s="56"/>
      <c r="U269" s="56"/>
      <c r="V269" s="57"/>
      <c r="W269">
        <f>IF(Q269="Disponible",COUNTIFS($D$2:D269,D269,$Q$2:Q269,"Disponible"),"")</f>
      </c>
      <c r="X269">
        <f>IF(W269&lt;&gt;"",D269&amp;"|"&amp;W269,"")</f>
      </c>
      <c r="Y269">
        <f>IF(X269&lt;&gt;"",IF(K269&lt;&gt;"",K269&amp;" ("&amp;M269&amp;")",M269),"")</f>
      </c>
      <c r="Z269">
        <f>IF(O269="Sí",COUNTIFS($D$2:D269,D269,$O$2:O269,"Sí"),"")</f>
      </c>
      <c r="AA269">
        <f>IF(Z269&lt;&gt;"",D269&amp;"|"&amp;Z269,"")</f>
      </c>
      <c r="AB269">
        <f>IF(AA269&lt;&gt;"",IF(K269&lt;&gt;"",K269&amp;" ("&amp;M269&amp;")",M269),"")</f>
      </c>
      <c r="AC269">
        <f>IF($B269="","fecha, ","")&amp;IF($C269="","quién lo introduce, ","")&amp;IF($I269="","motivo, ","")&amp;IF($K269="","docente, ","")&amp;IF($L269="","horario, ","")&amp;IF($N269="","duración, ","")&amp;IF($Q269="","estado, ","")&amp;IF(AND($I269="Otros",$J269=""),"detalle del motivo, ","")&amp;IF(AND($O269="Sí",$P269=""),"detalle del refuerzo, ","")&amp;IF(AND(OR($I269="Renuncia (hasta 30 nov)",$I269="Baja (desde 1 dic)",$I269="Renuncia excepcional (art. 25.3)",$I269="Traslado de expediente"),OR($E269="",$F269="",$G269="")),"quién deja la plaza, ","")&amp;IF(AND($Q269="No disponible",$R269=""),"vía de cobertura, ","")&amp;IF(AND(OR($R269="Lista de espera · propio centro",$R269="Traslado de expediente",$R269="Lista de espera · otro centro"),OR($S269="",$T269="",$U269="")),"quién ocupa la plaza, ","")</f>
      </c>
      <c r="AD269" s="24">
        <f>IF($D269="","",IF(AND(LEN($AC269)=0,LEN($AK269)=0),"Completa",IF(LEN($AC269)=0,"Revisar: "&amp;LEFT($AK269,LEN($AK269)-2),"Falta: "&amp;LEFT($AC269,LEN($AC269)-2)&amp;IF(LEN($AK269)&gt;0,"  ·  Revisar: "&amp;LEFT($AK269,LEN($AK269)-2),""))))</f>
      </c>
      <c r="AE269">
        <f>IF(AND($D269&lt;&gt;"",OR($I269="Renuncia (hasta 30 nov)",$I269="Baja (desde 1 dic)",$I269="Renuncia excepcional (art. 25.3)",$I269="Traslado de expediente")),COUNTIF($AE$1:AE268,"&gt;0")+1,"")</f>
      </c>
      <c r="AF269">
        <f>IF($Q269="Disponible",COUNTIF($AF$1:AF268,"&gt;0")+1,"")</f>
      </c>
      <c r="AG269">
        <f>IF($O269="Sí",COUNTIF($AG$1:AG268,"&gt;0")+1,"")</f>
      </c>
      <c r="AH269">
        <f>IF(AND($Q269="Disponible",$O269&lt;&gt;"Sí"),COUNTIF($AH$1:AH268,"&gt;0")+1,"")</f>
      </c>
      <c r="AI269">
        <f>IF(AND($Q269="Disponible",$K269&lt;&gt;""),COUNTIFS($K$2:K269,K269,$Q$2:Q269,"Disponible"),"")</f>
      </c>
      <c r="AJ269">
        <f>IF(AI269&lt;&gt;"",K269&amp;"|"&amp;AI269,"")</f>
      </c>
      <c r="AK269">
        <f>IF(AND($Q269="No disponible",OR($R269="Lista de espera · propio centro",$R269="Traslado de expediente",$R269="Lista de espera · otro centro"),$O269="Sí"),"la plaza ya tiene alumno y sigue marcada como refuerzo, ","")&amp;IF(AND($R269="Reconvertida en refuerzo",$O269&lt;&gt;"Sí"),"reconvertida en refuerzo pero sin marcar «En uso como refuerzo», ","")</f>
      </c>
    </row>
    <row r="270" spans="1:37">
      <c r="A270" s="20">
        <f>IF(D270&lt;&gt;"",ROW()-1,"")</f>
      </c>
      <c r="B270" s="55"/>
      <c r="C270" s="56"/>
      <c r="D270" s="56"/>
      <c r="E270" s="56"/>
      <c r="F270" s="56"/>
      <c r="G270" s="56"/>
      <c r="H270" s="56"/>
      <c r="I270" s="56"/>
      <c r="J270" s="57"/>
      <c r="K270" s="56"/>
      <c r="L270" s="58"/>
      <c r="M270" s="58">
        <f>IF(L270="","",L270)</f>
      </c>
      <c r="N270" s="56"/>
      <c r="O270" s="56"/>
      <c r="P270" s="57"/>
      <c r="Q270" s="56"/>
      <c r="R270" s="56"/>
      <c r="S270" s="56"/>
      <c r="T270" s="56"/>
      <c r="U270" s="56"/>
      <c r="V270" s="57"/>
      <c r="W270">
        <f>IF(Q270="Disponible",COUNTIFS($D$2:D270,D270,$Q$2:Q270,"Disponible"),"")</f>
      </c>
      <c r="X270">
        <f>IF(W270&lt;&gt;"",D270&amp;"|"&amp;W270,"")</f>
      </c>
      <c r="Y270">
        <f>IF(X270&lt;&gt;"",IF(K270&lt;&gt;"",K270&amp;" ("&amp;M270&amp;")",M270),"")</f>
      </c>
      <c r="Z270">
        <f>IF(O270="Sí",COUNTIFS($D$2:D270,D270,$O$2:O270,"Sí"),"")</f>
      </c>
      <c r="AA270">
        <f>IF(Z270&lt;&gt;"",D270&amp;"|"&amp;Z270,"")</f>
      </c>
      <c r="AB270">
        <f>IF(AA270&lt;&gt;"",IF(K270&lt;&gt;"",K270&amp;" ("&amp;M270&amp;")",M270),"")</f>
      </c>
      <c r="AC270">
        <f>IF($B270="","fecha, ","")&amp;IF($C270="","quién lo introduce, ","")&amp;IF($I270="","motivo, ","")&amp;IF($K270="","docente, ","")&amp;IF($L270="","horario, ","")&amp;IF($N270="","duración, ","")&amp;IF($Q270="","estado, ","")&amp;IF(AND($I270="Otros",$J270=""),"detalle del motivo, ","")&amp;IF(AND($O270="Sí",$P270=""),"detalle del refuerzo, ","")&amp;IF(AND(OR($I270="Renuncia (hasta 30 nov)",$I270="Baja (desde 1 dic)",$I270="Renuncia excepcional (art. 25.3)",$I270="Traslado de expediente"),OR($E270="",$F270="",$G270="")),"quién deja la plaza, ","")&amp;IF(AND($Q270="No disponible",$R270=""),"vía de cobertura, ","")&amp;IF(AND(OR($R270="Lista de espera · propio centro",$R270="Traslado de expediente",$R270="Lista de espera · otro centro"),OR($S270="",$T270="",$U270="")),"quién ocupa la plaza, ","")</f>
      </c>
      <c r="AD270" s="24">
        <f>IF($D270="","",IF(AND(LEN($AC270)=0,LEN($AK270)=0),"Completa",IF(LEN($AC270)=0,"Revisar: "&amp;LEFT($AK270,LEN($AK270)-2),"Falta: "&amp;LEFT($AC270,LEN($AC270)-2)&amp;IF(LEN($AK270)&gt;0,"  ·  Revisar: "&amp;LEFT($AK270,LEN($AK270)-2),""))))</f>
      </c>
      <c r="AE270">
        <f>IF(AND($D270&lt;&gt;"",OR($I270="Renuncia (hasta 30 nov)",$I270="Baja (desde 1 dic)",$I270="Renuncia excepcional (art. 25.3)",$I270="Traslado de expediente")),COUNTIF($AE$1:AE269,"&gt;0")+1,"")</f>
      </c>
      <c r="AF270">
        <f>IF($Q270="Disponible",COUNTIF($AF$1:AF269,"&gt;0")+1,"")</f>
      </c>
      <c r="AG270">
        <f>IF($O270="Sí",COUNTIF($AG$1:AG269,"&gt;0")+1,"")</f>
      </c>
      <c r="AH270">
        <f>IF(AND($Q270="Disponible",$O270&lt;&gt;"Sí"),COUNTIF($AH$1:AH269,"&gt;0")+1,"")</f>
      </c>
      <c r="AI270">
        <f>IF(AND($Q270="Disponible",$K270&lt;&gt;""),COUNTIFS($K$2:K270,K270,$Q$2:Q270,"Disponible"),"")</f>
      </c>
      <c r="AJ270">
        <f>IF(AI270&lt;&gt;"",K270&amp;"|"&amp;AI270,"")</f>
      </c>
      <c r="AK270">
        <f>IF(AND($Q270="No disponible",OR($R270="Lista de espera · propio centro",$R270="Traslado de expediente",$R270="Lista de espera · otro centro"),$O270="Sí"),"la plaza ya tiene alumno y sigue marcada como refuerzo, ","")&amp;IF(AND($R270="Reconvertida en refuerzo",$O270&lt;&gt;"Sí"),"reconvertida en refuerzo pero sin marcar «En uso como refuerzo», ","")</f>
      </c>
    </row>
    <row r="271" spans="1:37">
      <c r="A271" s="20">
        <f>IF(D271&lt;&gt;"",ROW()-1,"")</f>
      </c>
      <c r="B271" s="55"/>
      <c r="C271" s="56"/>
      <c r="D271" s="56"/>
      <c r="E271" s="56"/>
      <c r="F271" s="56"/>
      <c r="G271" s="56"/>
      <c r="H271" s="56"/>
      <c r="I271" s="56"/>
      <c r="J271" s="57"/>
      <c r="K271" s="56"/>
      <c r="L271" s="58"/>
      <c r="M271" s="58">
        <f>IF(L271="","",L271)</f>
      </c>
      <c r="N271" s="56"/>
      <c r="O271" s="56"/>
      <c r="P271" s="57"/>
      <c r="Q271" s="56"/>
      <c r="R271" s="56"/>
      <c r="S271" s="56"/>
      <c r="T271" s="56"/>
      <c r="U271" s="56"/>
      <c r="V271" s="57"/>
      <c r="W271">
        <f>IF(Q271="Disponible",COUNTIFS($D$2:D271,D271,$Q$2:Q271,"Disponible"),"")</f>
      </c>
      <c r="X271">
        <f>IF(W271&lt;&gt;"",D271&amp;"|"&amp;W271,"")</f>
      </c>
      <c r="Y271">
        <f>IF(X271&lt;&gt;"",IF(K271&lt;&gt;"",K271&amp;" ("&amp;M271&amp;")",M271),"")</f>
      </c>
      <c r="Z271">
        <f>IF(O271="Sí",COUNTIFS($D$2:D271,D271,$O$2:O271,"Sí"),"")</f>
      </c>
      <c r="AA271">
        <f>IF(Z271&lt;&gt;"",D271&amp;"|"&amp;Z271,"")</f>
      </c>
      <c r="AB271">
        <f>IF(AA271&lt;&gt;"",IF(K271&lt;&gt;"",K271&amp;" ("&amp;M271&amp;")",M271),"")</f>
      </c>
      <c r="AC271">
        <f>IF($B271="","fecha, ","")&amp;IF($C271="","quién lo introduce, ","")&amp;IF($I271="","motivo, ","")&amp;IF($K271="","docente, ","")&amp;IF($L271="","horario, ","")&amp;IF($N271="","duración, ","")&amp;IF($Q271="","estado, ","")&amp;IF(AND($I271="Otros",$J271=""),"detalle del motivo, ","")&amp;IF(AND($O271="Sí",$P271=""),"detalle del refuerzo, ","")&amp;IF(AND(OR($I271="Renuncia (hasta 30 nov)",$I271="Baja (desde 1 dic)",$I271="Renuncia excepcional (art. 25.3)",$I271="Traslado de expediente"),OR($E271="",$F271="",$G271="")),"quién deja la plaza, ","")&amp;IF(AND($Q271="No disponible",$R271=""),"vía de cobertura, ","")&amp;IF(AND(OR($R271="Lista de espera · propio centro",$R271="Traslado de expediente",$R271="Lista de espera · otro centro"),OR($S271="",$T271="",$U271="")),"quién ocupa la plaza, ","")</f>
      </c>
      <c r="AD271" s="24">
        <f>IF($D271="","",IF(AND(LEN($AC271)=0,LEN($AK271)=0),"Completa",IF(LEN($AC271)=0,"Revisar: "&amp;LEFT($AK271,LEN($AK271)-2),"Falta: "&amp;LEFT($AC271,LEN($AC271)-2)&amp;IF(LEN($AK271)&gt;0,"  ·  Revisar: "&amp;LEFT($AK271,LEN($AK271)-2),""))))</f>
      </c>
      <c r="AE271">
        <f>IF(AND($D271&lt;&gt;"",OR($I271="Renuncia (hasta 30 nov)",$I271="Baja (desde 1 dic)",$I271="Renuncia excepcional (art. 25.3)",$I271="Traslado de expediente")),COUNTIF($AE$1:AE270,"&gt;0")+1,"")</f>
      </c>
      <c r="AF271">
        <f>IF($Q271="Disponible",COUNTIF($AF$1:AF270,"&gt;0")+1,"")</f>
      </c>
      <c r="AG271">
        <f>IF($O271="Sí",COUNTIF($AG$1:AG270,"&gt;0")+1,"")</f>
      </c>
      <c r="AH271">
        <f>IF(AND($Q271="Disponible",$O271&lt;&gt;"Sí"),COUNTIF($AH$1:AH270,"&gt;0")+1,"")</f>
      </c>
      <c r="AI271">
        <f>IF(AND($Q271="Disponible",$K271&lt;&gt;""),COUNTIFS($K$2:K271,K271,$Q$2:Q271,"Disponible"),"")</f>
      </c>
      <c r="AJ271">
        <f>IF(AI271&lt;&gt;"",K271&amp;"|"&amp;AI271,"")</f>
      </c>
      <c r="AK271">
        <f>IF(AND($Q271="No disponible",OR($R271="Lista de espera · propio centro",$R271="Traslado de expediente",$R271="Lista de espera · otro centro"),$O271="Sí"),"la plaza ya tiene alumno y sigue marcada como refuerzo, ","")&amp;IF(AND($R271="Reconvertida en refuerzo",$O271&lt;&gt;"Sí"),"reconvertida en refuerzo pero sin marcar «En uso como refuerzo», ","")</f>
      </c>
    </row>
    <row r="272" spans="1:37">
      <c r="A272" s="20">
        <f>IF(D272&lt;&gt;"",ROW()-1,"")</f>
      </c>
      <c r="B272" s="55"/>
      <c r="C272" s="56"/>
      <c r="D272" s="56"/>
      <c r="E272" s="56"/>
      <c r="F272" s="56"/>
      <c r="G272" s="56"/>
      <c r="H272" s="56"/>
      <c r="I272" s="56"/>
      <c r="J272" s="57"/>
      <c r="K272" s="56"/>
      <c r="L272" s="58"/>
      <c r="M272" s="58">
        <f>IF(L272="","",L272)</f>
      </c>
      <c r="N272" s="56"/>
      <c r="O272" s="56"/>
      <c r="P272" s="57"/>
      <c r="Q272" s="56"/>
      <c r="R272" s="56"/>
      <c r="S272" s="56"/>
      <c r="T272" s="56"/>
      <c r="U272" s="56"/>
      <c r="V272" s="57"/>
      <c r="W272">
        <f>IF(Q272="Disponible",COUNTIFS($D$2:D272,D272,$Q$2:Q272,"Disponible"),"")</f>
      </c>
      <c r="X272">
        <f>IF(W272&lt;&gt;"",D272&amp;"|"&amp;W272,"")</f>
      </c>
      <c r="Y272">
        <f>IF(X272&lt;&gt;"",IF(K272&lt;&gt;"",K272&amp;" ("&amp;M272&amp;")",M272),"")</f>
      </c>
      <c r="Z272">
        <f>IF(O272="Sí",COUNTIFS($D$2:D272,D272,$O$2:O272,"Sí"),"")</f>
      </c>
      <c r="AA272">
        <f>IF(Z272&lt;&gt;"",D272&amp;"|"&amp;Z272,"")</f>
      </c>
      <c r="AB272">
        <f>IF(AA272&lt;&gt;"",IF(K272&lt;&gt;"",K272&amp;" ("&amp;M272&amp;")",M272),"")</f>
      </c>
      <c r="AC272">
        <f>IF($B272="","fecha, ","")&amp;IF($C272="","quién lo introduce, ","")&amp;IF($I272="","motivo, ","")&amp;IF($K272="","docente, ","")&amp;IF($L272="","horario, ","")&amp;IF($N272="","duración, ","")&amp;IF($Q272="","estado, ","")&amp;IF(AND($I272="Otros",$J272=""),"detalle del motivo, ","")&amp;IF(AND($O272="Sí",$P272=""),"detalle del refuerzo, ","")&amp;IF(AND(OR($I272="Renuncia (hasta 30 nov)",$I272="Baja (desde 1 dic)",$I272="Renuncia excepcional (art. 25.3)",$I272="Traslado de expediente"),OR($E272="",$F272="",$G272="")),"quién deja la plaza, ","")&amp;IF(AND($Q272="No disponible",$R272=""),"vía de cobertura, ","")&amp;IF(AND(OR($R272="Lista de espera · propio centro",$R272="Traslado de expediente",$R272="Lista de espera · otro centro"),OR($S272="",$T272="",$U272="")),"quién ocupa la plaza, ","")</f>
      </c>
      <c r="AD272" s="24">
        <f>IF($D272="","",IF(AND(LEN($AC272)=0,LEN($AK272)=0),"Completa",IF(LEN($AC272)=0,"Revisar: "&amp;LEFT($AK272,LEN($AK272)-2),"Falta: "&amp;LEFT($AC272,LEN($AC272)-2)&amp;IF(LEN($AK272)&gt;0,"  ·  Revisar: "&amp;LEFT($AK272,LEN($AK272)-2),""))))</f>
      </c>
      <c r="AE272">
        <f>IF(AND($D272&lt;&gt;"",OR($I272="Renuncia (hasta 30 nov)",$I272="Baja (desde 1 dic)",$I272="Renuncia excepcional (art. 25.3)",$I272="Traslado de expediente")),COUNTIF($AE$1:AE271,"&gt;0")+1,"")</f>
      </c>
      <c r="AF272">
        <f>IF($Q272="Disponible",COUNTIF($AF$1:AF271,"&gt;0")+1,"")</f>
      </c>
      <c r="AG272">
        <f>IF($O272="Sí",COUNTIF($AG$1:AG271,"&gt;0")+1,"")</f>
      </c>
      <c r="AH272">
        <f>IF(AND($Q272="Disponible",$O272&lt;&gt;"Sí"),COUNTIF($AH$1:AH271,"&gt;0")+1,"")</f>
      </c>
      <c r="AI272">
        <f>IF(AND($Q272="Disponible",$K272&lt;&gt;""),COUNTIFS($K$2:K272,K272,$Q$2:Q272,"Disponible"),"")</f>
      </c>
      <c r="AJ272">
        <f>IF(AI272&lt;&gt;"",K272&amp;"|"&amp;AI272,"")</f>
      </c>
      <c r="AK272">
        <f>IF(AND($Q272="No disponible",OR($R272="Lista de espera · propio centro",$R272="Traslado de expediente",$R272="Lista de espera · otro centro"),$O272="Sí"),"la plaza ya tiene alumno y sigue marcada como refuerzo, ","")&amp;IF(AND($R272="Reconvertida en refuerzo",$O272&lt;&gt;"Sí"),"reconvertida en refuerzo pero sin marcar «En uso como refuerzo», ","")</f>
      </c>
    </row>
    <row r="273" spans="1:37">
      <c r="A273" s="20">
        <f>IF(D273&lt;&gt;"",ROW()-1,"")</f>
      </c>
      <c r="B273" s="55"/>
      <c r="C273" s="56"/>
      <c r="D273" s="56"/>
      <c r="E273" s="56"/>
      <c r="F273" s="56"/>
      <c r="G273" s="56"/>
      <c r="H273" s="56"/>
      <c r="I273" s="56"/>
      <c r="J273" s="57"/>
      <c r="K273" s="56"/>
      <c r="L273" s="58"/>
      <c r="M273" s="58">
        <f>IF(L273="","",L273)</f>
      </c>
      <c r="N273" s="56"/>
      <c r="O273" s="56"/>
      <c r="P273" s="57"/>
      <c r="Q273" s="56"/>
      <c r="R273" s="56"/>
      <c r="S273" s="56"/>
      <c r="T273" s="56"/>
      <c r="U273" s="56"/>
      <c r="V273" s="57"/>
      <c r="W273">
        <f>IF(Q273="Disponible",COUNTIFS($D$2:D273,D273,$Q$2:Q273,"Disponible"),"")</f>
      </c>
      <c r="X273">
        <f>IF(W273&lt;&gt;"",D273&amp;"|"&amp;W273,"")</f>
      </c>
      <c r="Y273">
        <f>IF(X273&lt;&gt;"",IF(K273&lt;&gt;"",K273&amp;" ("&amp;M273&amp;")",M273),"")</f>
      </c>
      <c r="Z273">
        <f>IF(O273="Sí",COUNTIFS($D$2:D273,D273,$O$2:O273,"Sí"),"")</f>
      </c>
      <c r="AA273">
        <f>IF(Z273&lt;&gt;"",D273&amp;"|"&amp;Z273,"")</f>
      </c>
      <c r="AB273">
        <f>IF(AA273&lt;&gt;"",IF(K273&lt;&gt;"",K273&amp;" ("&amp;M273&amp;")",M273),"")</f>
      </c>
      <c r="AC273">
        <f>IF($B273="","fecha, ","")&amp;IF($C273="","quién lo introduce, ","")&amp;IF($I273="","motivo, ","")&amp;IF($K273="","docente, ","")&amp;IF($L273="","horario, ","")&amp;IF($N273="","duración, ","")&amp;IF($Q273="","estado, ","")&amp;IF(AND($I273="Otros",$J273=""),"detalle del motivo, ","")&amp;IF(AND($O273="Sí",$P273=""),"detalle del refuerzo, ","")&amp;IF(AND(OR($I273="Renuncia (hasta 30 nov)",$I273="Baja (desde 1 dic)",$I273="Renuncia excepcional (art. 25.3)",$I273="Traslado de expediente"),OR($E273="",$F273="",$G273="")),"quién deja la plaza, ","")&amp;IF(AND($Q273="No disponible",$R273=""),"vía de cobertura, ","")&amp;IF(AND(OR($R273="Lista de espera · propio centro",$R273="Traslado de expediente",$R273="Lista de espera · otro centro"),OR($S273="",$T273="",$U273="")),"quién ocupa la plaza, ","")</f>
      </c>
      <c r="AD273" s="24">
        <f>IF($D273="","",IF(AND(LEN($AC273)=0,LEN($AK273)=0),"Completa",IF(LEN($AC273)=0,"Revisar: "&amp;LEFT($AK273,LEN($AK273)-2),"Falta: "&amp;LEFT($AC273,LEN($AC273)-2)&amp;IF(LEN($AK273)&gt;0,"  ·  Revisar: "&amp;LEFT($AK273,LEN($AK273)-2),""))))</f>
      </c>
      <c r="AE273">
        <f>IF(AND($D273&lt;&gt;"",OR($I273="Renuncia (hasta 30 nov)",$I273="Baja (desde 1 dic)",$I273="Renuncia excepcional (art. 25.3)",$I273="Traslado de expediente")),COUNTIF($AE$1:AE272,"&gt;0")+1,"")</f>
      </c>
      <c r="AF273">
        <f>IF($Q273="Disponible",COUNTIF($AF$1:AF272,"&gt;0")+1,"")</f>
      </c>
      <c r="AG273">
        <f>IF($O273="Sí",COUNTIF($AG$1:AG272,"&gt;0")+1,"")</f>
      </c>
      <c r="AH273">
        <f>IF(AND($Q273="Disponible",$O273&lt;&gt;"Sí"),COUNTIF($AH$1:AH272,"&gt;0")+1,"")</f>
      </c>
      <c r="AI273">
        <f>IF(AND($Q273="Disponible",$K273&lt;&gt;""),COUNTIFS($K$2:K273,K273,$Q$2:Q273,"Disponible"),"")</f>
      </c>
      <c r="AJ273">
        <f>IF(AI273&lt;&gt;"",K273&amp;"|"&amp;AI273,"")</f>
      </c>
      <c r="AK273">
        <f>IF(AND($Q273="No disponible",OR($R273="Lista de espera · propio centro",$R273="Traslado de expediente",$R273="Lista de espera · otro centro"),$O273="Sí"),"la plaza ya tiene alumno y sigue marcada como refuerzo, ","")&amp;IF(AND($R273="Reconvertida en refuerzo",$O273&lt;&gt;"Sí"),"reconvertida en refuerzo pero sin marcar «En uso como refuerzo», ","")</f>
      </c>
    </row>
    <row r="274" spans="1:37">
      <c r="A274" s="20">
        <f>IF(D274&lt;&gt;"",ROW()-1,"")</f>
      </c>
      <c r="B274" s="55"/>
      <c r="C274" s="56"/>
      <c r="D274" s="56"/>
      <c r="E274" s="56"/>
      <c r="F274" s="56"/>
      <c r="G274" s="56"/>
      <c r="H274" s="56"/>
      <c r="I274" s="56"/>
      <c r="J274" s="57"/>
      <c r="K274" s="56"/>
      <c r="L274" s="58"/>
      <c r="M274" s="58">
        <f>IF(L274="","",L274)</f>
      </c>
      <c r="N274" s="56"/>
      <c r="O274" s="56"/>
      <c r="P274" s="57"/>
      <c r="Q274" s="56"/>
      <c r="R274" s="56"/>
      <c r="S274" s="56"/>
      <c r="T274" s="56"/>
      <c r="U274" s="56"/>
      <c r="V274" s="57"/>
      <c r="W274">
        <f>IF(Q274="Disponible",COUNTIFS($D$2:D274,D274,$Q$2:Q274,"Disponible"),"")</f>
      </c>
      <c r="X274">
        <f>IF(W274&lt;&gt;"",D274&amp;"|"&amp;W274,"")</f>
      </c>
      <c r="Y274">
        <f>IF(X274&lt;&gt;"",IF(K274&lt;&gt;"",K274&amp;" ("&amp;M274&amp;")",M274),"")</f>
      </c>
      <c r="Z274">
        <f>IF(O274="Sí",COUNTIFS($D$2:D274,D274,$O$2:O274,"Sí"),"")</f>
      </c>
      <c r="AA274">
        <f>IF(Z274&lt;&gt;"",D274&amp;"|"&amp;Z274,"")</f>
      </c>
      <c r="AB274">
        <f>IF(AA274&lt;&gt;"",IF(K274&lt;&gt;"",K274&amp;" ("&amp;M274&amp;")",M274),"")</f>
      </c>
      <c r="AC274">
        <f>IF($B274="","fecha, ","")&amp;IF($C274="","quién lo introduce, ","")&amp;IF($I274="","motivo, ","")&amp;IF($K274="","docente, ","")&amp;IF($L274="","horario, ","")&amp;IF($N274="","duración, ","")&amp;IF($Q274="","estado, ","")&amp;IF(AND($I274="Otros",$J274=""),"detalle del motivo, ","")&amp;IF(AND($O274="Sí",$P274=""),"detalle del refuerzo, ","")&amp;IF(AND(OR($I274="Renuncia (hasta 30 nov)",$I274="Baja (desde 1 dic)",$I274="Renuncia excepcional (art. 25.3)",$I274="Traslado de expediente"),OR($E274="",$F274="",$G274="")),"quién deja la plaza, ","")&amp;IF(AND($Q274="No disponible",$R274=""),"vía de cobertura, ","")&amp;IF(AND(OR($R274="Lista de espera · propio centro",$R274="Traslado de expediente",$R274="Lista de espera · otro centro"),OR($S274="",$T274="",$U274="")),"quién ocupa la plaza, ","")</f>
      </c>
      <c r="AD274" s="24">
        <f>IF($D274="","",IF(AND(LEN($AC274)=0,LEN($AK274)=0),"Completa",IF(LEN($AC274)=0,"Revisar: "&amp;LEFT($AK274,LEN($AK274)-2),"Falta: "&amp;LEFT($AC274,LEN($AC274)-2)&amp;IF(LEN($AK274)&gt;0,"  ·  Revisar: "&amp;LEFT($AK274,LEN($AK274)-2),""))))</f>
      </c>
      <c r="AE274">
        <f>IF(AND($D274&lt;&gt;"",OR($I274="Renuncia (hasta 30 nov)",$I274="Baja (desde 1 dic)",$I274="Renuncia excepcional (art. 25.3)",$I274="Traslado de expediente")),COUNTIF($AE$1:AE273,"&gt;0")+1,"")</f>
      </c>
      <c r="AF274">
        <f>IF($Q274="Disponible",COUNTIF($AF$1:AF273,"&gt;0")+1,"")</f>
      </c>
      <c r="AG274">
        <f>IF($O274="Sí",COUNTIF($AG$1:AG273,"&gt;0")+1,"")</f>
      </c>
      <c r="AH274">
        <f>IF(AND($Q274="Disponible",$O274&lt;&gt;"Sí"),COUNTIF($AH$1:AH273,"&gt;0")+1,"")</f>
      </c>
      <c r="AI274">
        <f>IF(AND($Q274="Disponible",$K274&lt;&gt;""),COUNTIFS($K$2:K274,K274,$Q$2:Q274,"Disponible"),"")</f>
      </c>
      <c r="AJ274">
        <f>IF(AI274&lt;&gt;"",K274&amp;"|"&amp;AI274,"")</f>
      </c>
      <c r="AK274">
        <f>IF(AND($Q274="No disponible",OR($R274="Lista de espera · propio centro",$R274="Traslado de expediente",$R274="Lista de espera · otro centro"),$O274="Sí"),"la plaza ya tiene alumno y sigue marcada como refuerzo, ","")&amp;IF(AND($R274="Reconvertida en refuerzo",$O274&lt;&gt;"Sí"),"reconvertida en refuerzo pero sin marcar «En uso como refuerzo», ","")</f>
      </c>
    </row>
    <row r="275" spans="1:37">
      <c r="A275" s="20">
        <f>IF(D275&lt;&gt;"",ROW()-1,"")</f>
      </c>
      <c r="B275" s="55"/>
      <c r="C275" s="56"/>
      <c r="D275" s="56"/>
      <c r="E275" s="56"/>
      <c r="F275" s="56"/>
      <c r="G275" s="56"/>
      <c r="H275" s="56"/>
      <c r="I275" s="56"/>
      <c r="J275" s="57"/>
      <c r="K275" s="56"/>
      <c r="L275" s="58"/>
      <c r="M275" s="58">
        <f>IF(L275="","",L275)</f>
      </c>
      <c r="N275" s="56"/>
      <c r="O275" s="56"/>
      <c r="P275" s="57"/>
      <c r="Q275" s="56"/>
      <c r="R275" s="56"/>
      <c r="S275" s="56"/>
      <c r="T275" s="56"/>
      <c r="U275" s="56"/>
      <c r="V275" s="57"/>
      <c r="W275">
        <f>IF(Q275="Disponible",COUNTIFS($D$2:D275,D275,$Q$2:Q275,"Disponible"),"")</f>
      </c>
      <c r="X275">
        <f>IF(W275&lt;&gt;"",D275&amp;"|"&amp;W275,"")</f>
      </c>
      <c r="Y275">
        <f>IF(X275&lt;&gt;"",IF(K275&lt;&gt;"",K275&amp;" ("&amp;M275&amp;")",M275),"")</f>
      </c>
      <c r="Z275">
        <f>IF(O275="Sí",COUNTIFS($D$2:D275,D275,$O$2:O275,"Sí"),"")</f>
      </c>
      <c r="AA275">
        <f>IF(Z275&lt;&gt;"",D275&amp;"|"&amp;Z275,"")</f>
      </c>
      <c r="AB275">
        <f>IF(AA275&lt;&gt;"",IF(K275&lt;&gt;"",K275&amp;" ("&amp;M275&amp;")",M275),"")</f>
      </c>
      <c r="AC275">
        <f>IF($B275="","fecha, ","")&amp;IF($C275="","quién lo introduce, ","")&amp;IF($I275="","motivo, ","")&amp;IF($K275="","docente, ","")&amp;IF($L275="","horario, ","")&amp;IF($N275="","duración, ","")&amp;IF($Q275="","estado, ","")&amp;IF(AND($I275="Otros",$J275=""),"detalle del motivo, ","")&amp;IF(AND($O275="Sí",$P275=""),"detalle del refuerzo, ","")&amp;IF(AND(OR($I275="Renuncia (hasta 30 nov)",$I275="Baja (desde 1 dic)",$I275="Renuncia excepcional (art. 25.3)",$I275="Traslado de expediente"),OR($E275="",$F275="",$G275="")),"quién deja la plaza, ","")&amp;IF(AND($Q275="No disponible",$R275=""),"vía de cobertura, ","")&amp;IF(AND(OR($R275="Lista de espera · propio centro",$R275="Traslado de expediente",$R275="Lista de espera · otro centro"),OR($S275="",$T275="",$U275="")),"quién ocupa la plaza, ","")</f>
      </c>
      <c r="AD275" s="24">
        <f>IF($D275="","",IF(AND(LEN($AC275)=0,LEN($AK275)=0),"Completa",IF(LEN($AC275)=0,"Revisar: "&amp;LEFT($AK275,LEN($AK275)-2),"Falta: "&amp;LEFT($AC275,LEN($AC275)-2)&amp;IF(LEN($AK275)&gt;0,"  ·  Revisar: "&amp;LEFT($AK275,LEN($AK275)-2),""))))</f>
      </c>
      <c r="AE275">
        <f>IF(AND($D275&lt;&gt;"",OR($I275="Renuncia (hasta 30 nov)",$I275="Baja (desde 1 dic)",$I275="Renuncia excepcional (art. 25.3)",$I275="Traslado de expediente")),COUNTIF($AE$1:AE274,"&gt;0")+1,"")</f>
      </c>
      <c r="AF275">
        <f>IF($Q275="Disponible",COUNTIF($AF$1:AF274,"&gt;0")+1,"")</f>
      </c>
      <c r="AG275">
        <f>IF($O275="Sí",COUNTIF($AG$1:AG274,"&gt;0")+1,"")</f>
      </c>
      <c r="AH275">
        <f>IF(AND($Q275="Disponible",$O275&lt;&gt;"Sí"),COUNTIF($AH$1:AH274,"&gt;0")+1,"")</f>
      </c>
      <c r="AI275">
        <f>IF(AND($Q275="Disponible",$K275&lt;&gt;""),COUNTIFS($K$2:K275,K275,$Q$2:Q275,"Disponible"),"")</f>
      </c>
      <c r="AJ275">
        <f>IF(AI275&lt;&gt;"",K275&amp;"|"&amp;AI275,"")</f>
      </c>
      <c r="AK275">
        <f>IF(AND($Q275="No disponible",OR($R275="Lista de espera · propio centro",$R275="Traslado de expediente",$R275="Lista de espera · otro centro"),$O275="Sí"),"la plaza ya tiene alumno y sigue marcada como refuerzo, ","")&amp;IF(AND($R275="Reconvertida en refuerzo",$O275&lt;&gt;"Sí"),"reconvertida en refuerzo pero sin marcar «En uso como refuerzo», ","")</f>
      </c>
    </row>
    <row r="276" spans="1:37">
      <c r="A276" s="20">
        <f>IF(D276&lt;&gt;"",ROW()-1,"")</f>
      </c>
      <c r="B276" s="55"/>
      <c r="C276" s="56"/>
      <c r="D276" s="56"/>
      <c r="E276" s="56"/>
      <c r="F276" s="56"/>
      <c r="G276" s="56"/>
      <c r="H276" s="56"/>
      <c r="I276" s="56"/>
      <c r="J276" s="57"/>
      <c r="K276" s="56"/>
      <c r="L276" s="58"/>
      <c r="M276" s="58">
        <f>IF(L276="","",L276)</f>
      </c>
      <c r="N276" s="56"/>
      <c r="O276" s="56"/>
      <c r="P276" s="57"/>
      <c r="Q276" s="56"/>
      <c r="R276" s="56"/>
      <c r="S276" s="56"/>
      <c r="T276" s="56"/>
      <c r="U276" s="56"/>
      <c r="V276" s="57"/>
      <c r="W276">
        <f>IF(Q276="Disponible",COUNTIFS($D$2:D276,D276,$Q$2:Q276,"Disponible"),"")</f>
      </c>
      <c r="X276">
        <f>IF(W276&lt;&gt;"",D276&amp;"|"&amp;W276,"")</f>
      </c>
      <c r="Y276">
        <f>IF(X276&lt;&gt;"",IF(K276&lt;&gt;"",K276&amp;" ("&amp;M276&amp;")",M276),"")</f>
      </c>
      <c r="Z276">
        <f>IF(O276="Sí",COUNTIFS($D$2:D276,D276,$O$2:O276,"Sí"),"")</f>
      </c>
      <c r="AA276">
        <f>IF(Z276&lt;&gt;"",D276&amp;"|"&amp;Z276,"")</f>
      </c>
      <c r="AB276">
        <f>IF(AA276&lt;&gt;"",IF(K276&lt;&gt;"",K276&amp;" ("&amp;M276&amp;")",M276),"")</f>
      </c>
      <c r="AC276">
        <f>IF($B276="","fecha, ","")&amp;IF($C276="","quién lo introduce, ","")&amp;IF($I276="","motivo, ","")&amp;IF($K276="","docente, ","")&amp;IF($L276="","horario, ","")&amp;IF($N276="","duración, ","")&amp;IF($Q276="","estado, ","")&amp;IF(AND($I276="Otros",$J276=""),"detalle del motivo, ","")&amp;IF(AND($O276="Sí",$P276=""),"detalle del refuerzo, ","")&amp;IF(AND(OR($I276="Renuncia (hasta 30 nov)",$I276="Baja (desde 1 dic)",$I276="Renuncia excepcional (art. 25.3)",$I276="Traslado de expediente"),OR($E276="",$F276="",$G276="")),"quién deja la plaza, ","")&amp;IF(AND($Q276="No disponible",$R276=""),"vía de cobertura, ","")&amp;IF(AND(OR($R276="Lista de espera · propio centro",$R276="Traslado de expediente",$R276="Lista de espera · otro centro"),OR($S276="",$T276="",$U276="")),"quién ocupa la plaza, ","")</f>
      </c>
      <c r="AD276" s="24">
        <f>IF($D276="","",IF(AND(LEN($AC276)=0,LEN($AK276)=0),"Completa",IF(LEN($AC276)=0,"Revisar: "&amp;LEFT($AK276,LEN($AK276)-2),"Falta: "&amp;LEFT($AC276,LEN($AC276)-2)&amp;IF(LEN($AK276)&gt;0,"  ·  Revisar: "&amp;LEFT($AK276,LEN($AK276)-2),""))))</f>
      </c>
      <c r="AE276">
        <f>IF(AND($D276&lt;&gt;"",OR($I276="Renuncia (hasta 30 nov)",$I276="Baja (desde 1 dic)",$I276="Renuncia excepcional (art. 25.3)",$I276="Traslado de expediente")),COUNTIF($AE$1:AE275,"&gt;0")+1,"")</f>
      </c>
      <c r="AF276">
        <f>IF($Q276="Disponible",COUNTIF($AF$1:AF275,"&gt;0")+1,"")</f>
      </c>
      <c r="AG276">
        <f>IF($O276="Sí",COUNTIF($AG$1:AG275,"&gt;0")+1,"")</f>
      </c>
      <c r="AH276">
        <f>IF(AND($Q276="Disponible",$O276&lt;&gt;"Sí"),COUNTIF($AH$1:AH275,"&gt;0")+1,"")</f>
      </c>
      <c r="AI276">
        <f>IF(AND($Q276="Disponible",$K276&lt;&gt;""),COUNTIFS($K$2:K276,K276,$Q$2:Q276,"Disponible"),"")</f>
      </c>
      <c r="AJ276">
        <f>IF(AI276&lt;&gt;"",K276&amp;"|"&amp;AI276,"")</f>
      </c>
      <c r="AK276">
        <f>IF(AND($Q276="No disponible",OR($R276="Lista de espera · propio centro",$R276="Traslado de expediente",$R276="Lista de espera · otro centro"),$O276="Sí"),"la plaza ya tiene alumno y sigue marcada como refuerzo, ","")&amp;IF(AND($R276="Reconvertida en refuerzo",$O276&lt;&gt;"Sí"),"reconvertida en refuerzo pero sin marcar «En uso como refuerzo», ","")</f>
      </c>
    </row>
    <row r="277" spans="1:37">
      <c r="A277" s="20">
        <f>IF(D277&lt;&gt;"",ROW()-1,"")</f>
      </c>
      <c r="B277" s="55"/>
      <c r="C277" s="56"/>
      <c r="D277" s="56"/>
      <c r="E277" s="56"/>
      <c r="F277" s="56"/>
      <c r="G277" s="56"/>
      <c r="H277" s="56"/>
      <c r="I277" s="56"/>
      <c r="J277" s="57"/>
      <c r="K277" s="56"/>
      <c r="L277" s="58"/>
      <c r="M277" s="58">
        <f>IF(L277="","",L277)</f>
      </c>
      <c r="N277" s="56"/>
      <c r="O277" s="56"/>
      <c r="P277" s="57"/>
      <c r="Q277" s="56"/>
      <c r="R277" s="56"/>
      <c r="S277" s="56"/>
      <c r="T277" s="56"/>
      <c r="U277" s="56"/>
      <c r="V277" s="57"/>
      <c r="W277">
        <f>IF(Q277="Disponible",COUNTIFS($D$2:D277,D277,$Q$2:Q277,"Disponible"),"")</f>
      </c>
      <c r="X277">
        <f>IF(W277&lt;&gt;"",D277&amp;"|"&amp;W277,"")</f>
      </c>
      <c r="Y277">
        <f>IF(X277&lt;&gt;"",IF(K277&lt;&gt;"",K277&amp;" ("&amp;M277&amp;")",M277),"")</f>
      </c>
      <c r="Z277">
        <f>IF(O277="Sí",COUNTIFS($D$2:D277,D277,$O$2:O277,"Sí"),"")</f>
      </c>
      <c r="AA277">
        <f>IF(Z277&lt;&gt;"",D277&amp;"|"&amp;Z277,"")</f>
      </c>
      <c r="AB277">
        <f>IF(AA277&lt;&gt;"",IF(K277&lt;&gt;"",K277&amp;" ("&amp;M277&amp;")",M277),"")</f>
      </c>
      <c r="AC277">
        <f>IF($B277="","fecha, ","")&amp;IF($C277="","quién lo introduce, ","")&amp;IF($I277="","motivo, ","")&amp;IF($K277="","docente, ","")&amp;IF($L277="","horario, ","")&amp;IF($N277="","duración, ","")&amp;IF($Q277="","estado, ","")&amp;IF(AND($I277="Otros",$J277=""),"detalle del motivo, ","")&amp;IF(AND($O277="Sí",$P277=""),"detalle del refuerzo, ","")&amp;IF(AND(OR($I277="Renuncia (hasta 30 nov)",$I277="Baja (desde 1 dic)",$I277="Renuncia excepcional (art. 25.3)",$I277="Traslado de expediente"),OR($E277="",$F277="",$G277="")),"quién deja la plaza, ","")&amp;IF(AND($Q277="No disponible",$R277=""),"vía de cobertura, ","")&amp;IF(AND(OR($R277="Lista de espera · propio centro",$R277="Traslado de expediente",$R277="Lista de espera · otro centro"),OR($S277="",$T277="",$U277="")),"quién ocupa la plaza, ","")</f>
      </c>
      <c r="AD277" s="24">
        <f>IF($D277="","",IF(AND(LEN($AC277)=0,LEN($AK277)=0),"Completa",IF(LEN($AC277)=0,"Revisar: "&amp;LEFT($AK277,LEN($AK277)-2),"Falta: "&amp;LEFT($AC277,LEN($AC277)-2)&amp;IF(LEN($AK277)&gt;0,"  ·  Revisar: "&amp;LEFT($AK277,LEN($AK277)-2),""))))</f>
      </c>
      <c r="AE277">
        <f>IF(AND($D277&lt;&gt;"",OR($I277="Renuncia (hasta 30 nov)",$I277="Baja (desde 1 dic)",$I277="Renuncia excepcional (art. 25.3)",$I277="Traslado de expediente")),COUNTIF($AE$1:AE276,"&gt;0")+1,"")</f>
      </c>
      <c r="AF277">
        <f>IF($Q277="Disponible",COUNTIF($AF$1:AF276,"&gt;0")+1,"")</f>
      </c>
      <c r="AG277">
        <f>IF($O277="Sí",COUNTIF($AG$1:AG276,"&gt;0")+1,"")</f>
      </c>
      <c r="AH277">
        <f>IF(AND($Q277="Disponible",$O277&lt;&gt;"Sí"),COUNTIF($AH$1:AH276,"&gt;0")+1,"")</f>
      </c>
      <c r="AI277">
        <f>IF(AND($Q277="Disponible",$K277&lt;&gt;""),COUNTIFS($K$2:K277,K277,$Q$2:Q277,"Disponible"),"")</f>
      </c>
      <c r="AJ277">
        <f>IF(AI277&lt;&gt;"",K277&amp;"|"&amp;AI277,"")</f>
      </c>
      <c r="AK277">
        <f>IF(AND($Q277="No disponible",OR($R277="Lista de espera · propio centro",$R277="Traslado de expediente",$R277="Lista de espera · otro centro"),$O277="Sí"),"la plaza ya tiene alumno y sigue marcada como refuerzo, ","")&amp;IF(AND($R277="Reconvertida en refuerzo",$O277&lt;&gt;"Sí"),"reconvertida en refuerzo pero sin marcar «En uso como refuerzo», ","")</f>
      </c>
    </row>
    <row r="278" spans="1:37">
      <c r="A278" s="20">
        <f>IF(D278&lt;&gt;"",ROW()-1,"")</f>
      </c>
      <c r="B278" s="55"/>
      <c r="C278" s="56"/>
      <c r="D278" s="56"/>
      <c r="E278" s="56"/>
      <c r="F278" s="56"/>
      <c r="G278" s="56"/>
      <c r="H278" s="56"/>
      <c r="I278" s="56"/>
      <c r="J278" s="57"/>
      <c r="K278" s="56"/>
      <c r="L278" s="58"/>
      <c r="M278" s="58">
        <f>IF(L278="","",L278)</f>
      </c>
      <c r="N278" s="56"/>
      <c r="O278" s="56"/>
      <c r="P278" s="57"/>
      <c r="Q278" s="56"/>
      <c r="R278" s="56"/>
      <c r="S278" s="56"/>
      <c r="T278" s="56"/>
      <c r="U278" s="56"/>
      <c r="V278" s="57"/>
      <c r="W278">
        <f>IF(Q278="Disponible",COUNTIFS($D$2:D278,D278,$Q$2:Q278,"Disponible"),"")</f>
      </c>
      <c r="X278">
        <f>IF(W278&lt;&gt;"",D278&amp;"|"&amp;W278,"")</f>
      </c>
      <c r="Y278">
        <f>IF(X278&lt;&gt;"",IF(K278&lt;&gt;"",K278&amp;" ("&amp;M278&amp;")",M278),"")</f>
      </c>
      <c r="Z278">
        <f>IF(O278="Sí",COUNTIFS($D$2:D278,D278,$O$2:O278,"Sí"),"")</f>
      </c>
      <c r="AA278">
        <f>IF(Z278&lt;&gt;"",D278&amp;"|"&amp;Z278,"")</f>
      </c>
      <c r="AB278">
        <f>IF(AA278&lt;&gt;"",IF(K278&lt;&gt;"",K278&amp;" ("&amp;M278&amp;")",M278),"")</f>
      </c>
      <c r="AC278">
        <f>IF($B278="","fecha, ","")&amp;IF($C278="","quién lo introduce, ","")&amp;IF($I278="","motivo, ","")&amp;IF($K278="","docente, ","")&amp;IF($L278="","horario, ","")&amp;IF($N278="","duración, ","")&amp;IF($Q278="","estado, ","")&amp;IF(AND($I278="Otros",$J278=""),"detalle del motivo, ","")&amp;IF(AND($O278="Sí",$P278=""),"detalle del refuerzo, ","")&amp;IF(AND(OR($I278="Renuncia (hasta 30 nov)",$I278="Baja (desde 1 dic)",$I278="Renuncia excepcional (art. 25.3)",$I278="Traslado de expediente"),OR($E278="",$F278="",$G278="")),"quién deja la plaza, ","")&amp;IF(AND($Q278="No disponible",$R278=""),"vía de cobertura, ","")&amp;IF(AND(OR($R278="Lista de espera · propio centro",$R278="Traslado de expediente",$R278="Lista de espera · otro centro"),OR($S278="",$T278="",$U278="")),"quién ocupa la plaza, ","")</f>
      </c>
      <c r="AD278" s="24">
        <f>IF($D278="","",IF(AND(LEN($AC278)=0,LEN($AK278)=0),"Completa",IF(LEN($AC278)=0,"Revisar: "&amp;LEFT($AK278,LEN($AK278)-2),"Falta: "&amp;LEFT($AC278,LEN($AC278)-2)&amp;IF(LEN($AK278)&gt;0,"  ·  Revisar: "&amp;LEFT($AK278,LEN($AK278)-2),""))))</f>
      </c>
      <c r="AE278">
        <f>IF(AND($D278&lt;&gt;"",OR($I278="Renuncia (hasta 30 nov)",$I278="Baja (desde 1 dic)",$I278="Renuncia excepcional (art. 25.3)",$I278="Traslado de expediente")),COUNTIF($AE$1:AE277,"&gt;0")+1,"")</f>
      </c>
      <c r="AF278">
        <f>IF($Q278="Disponible",COUNTIF($AF$1:AF277,"&gt;0")+1,"")</f>
      </c>
      <c r="AG278">
        <f>IF($O278="Sí",COUNTIF($AG$1:AG277,"&gt;0")+1,"")</f>
      </c>
      <c r="AH278">
        <f>IF(AND($Q278="Disponible",$O278&lt;&gt;"Sí"),COUNTIF($AH$1:AH277,"&gt;0")+1,"")</f>
      </c>
      <c r="AI278">
        <f>IF(AND($Q278="Disponible",$K278&lt;&gt;""),COUNTIFS($K$2:K278,K278,$Q$2:Q278,"Disponible"),"")</f>
      </c>
      <c r="AJ278">
        <f>IF(AI278&lt;&gt;"",K278&amp;"|"&amp;AI278,"")</f>
      </c>
      <c r="AK278">
        <f>IF(AND($Q278="No disponible",OR($R278="Lista de espera · propio centro",$R278="Traslado de expediente",$R278="Lista de espera · otro centro"),$O278="Sí"),"la plaza ya tiene alumno y sigue marcada como refuerzo, ","")&amp;IF(AND($R278="Reconvertida en refuerzo",$O278&lt;&gt;"Sí"),"reconvertida en refuerzo pero sin marcar «En uso como refuerzo», ","")</f>
      </c>
    </row>
    <row r="279" spans="1:37">
      <c r="A279" s="20">
        <f>IF(D279&lt;&gt;"",ROW()-1,"")</f>
      </c>
      <c r="B279" s="55"/>
      <c r="C279" s="56"/>
      <c r="D279" s="56"/>
      <c r="E279" s="56"/>
      <c r="F279" s="56"/>
      <c r="G279" s="56"/>
      <c r="H279" s="56"/>
      <c r="I279" s="56"/>
      <c r="J279" s="57"/>
      <c r="K279" s="56"/>
      <c r="L279" s="58"/>
      <c r="M279" s="58">
        <f>IF(L279="","",L279)</f>
      </c>
      <c r="N279" s="56"/>
      <c r="O279" s="56"/>
      <c r="P279" s="57"/>
      <c r="Q279" s="56"/>
      <c r="R279" s="56"/>
      <c r="S279" s="56"/>
      <c r="T279" s="56"/>
      <c r="U279" s="56"/>
      <c r="V279" s="57"/>
      <c r="W279">
        <f>IF(Q279="Disponible",COUNTIFS($D$2:D279,D279,$Q$2:Q279,"Disponible"),"")</f>
      </c>
      <c r="X279">
        <f>IF(W279&lt;&gt;"",D279&amp;"|"&amp;W279,"")</f>
      </c>
      <c r="Y279">
        <f>IF(X279&lt;&gt;"",IF(K279&lt;&gt;"",K279&amp;" ("&amp;M279&amp;")",M279),"")</f>
      </c>
      <c r="Z279">
        <f>IF(O279="Sí",COUNTIFS($D$2:D279,D279,$O$2:O279,"Sí"),"")</f>
      </c>
      <c r="AA279">
        <f>IF(Z279&lt;&gt;"",D279&amp;"|"&amp;Z279,"")</f>
      </c>
      <c r="AB279">
        <f>IF(AA279&lt;&gt;"",IF(K279&lt;&gt;"",K279&amp;" ("&amp;M279&amp;")",M279),"")</f>
      </c>
      <c r="AC279">
        <f>IF($B279="","fecha, ","")&amp;IF($C279="","quién lo introduce, ","")&amp;IF($I279="","motivo, ","")&amp;IF($K279="","docente, ","")&amp;IF($L279="","horario, ","")&amp;IF($N279="","duración, ","")&amp;IF($Q279="","estado, ","")&amp;IF(AND($I279="Otros",$J279=""),"detalle del motivo, ","")&amp;IF(AND($O279="Sí",$P279=""),"detalle del refuerzo, ","")&amp;IF(AND(OR($I279="Renuncia (hasta 30 nov)",$I279="Baja (desde 1 dic)",$I279="Renuncia excepcional (art. 25.3)",$I279="Traslado de expediente"),OR($E279="",$F279="",$G279="")),"quién deja la plaza, ","")&amp;IF(AND($Q279="No disponible",$R279=""),"vía de cobertura, ","")&amp;IF(AND(OR($R279="Lista de espera · propio centro",$R279="Traslado de expediente",$R279="Lista de espera · otro centro"),OR($S279="",$T279="",$U279="")),"quién ocupa la plaza, ","")</f>
      </c>
      <c r="AD279" s="24">
        <f>IF($D279="","",IF(AND(LEN($AC279)=0,LEN($AK279)=0),"Completa",IF(LEN($AC279)=0,"Revisar: "&amp;LEFT($AK279,LEN($AK279)-2),"Falta: "&amp;LEFT($AC279,LEN($AC279)-2)&amp;IF(LEN($AK279)&gt;0,"  ·  Revisar: "&amp;LEFT($AK279,LEN($AK279)-2),""))))</f>
      </c>
      <c r="AE279">
        <f>IF(AND($D279&lt;&gt;"",OR($I279="Renuncia (hasta 30 nov)",$I279="Baja (desde 1 dic)",$I279="Renuncia excepcional (art. 25.3)",$I279="Traslado de expediente")),COUNTIF($AE$1:AE278,"&gt;0")+1,"")</f>
      </c>
      <c r="AF279">
        <f>IF($Q279="Disponible",COUNTIF($AF$1:AF278,"&gt;0")+1,"")</f>
      </c>
      <c r="AG279">
        <f>IF($O279="Sí",COUNTIF($AG$1:AG278,"&gt;0")+1,"")</f>
      </c>
      <c r="AH279">
        <f>IF(AND($Q279="Disponible",$O279&lt;&gt;"Sí"),COUNTIF($AH$1:AH278,"&gt;0")+1,"")</f>
      </c>
      <c r="AI279">
        <f>IF(AND($Q279="Disponible",$K279&lt;&gt;""),COUNTIFS($K$2:K279,K279,$Q$2:Q279,"Disponible"),"")</f>
      </c>
      <c r="AJ279">
        <f>IF(AI279&lt;&gt;"",K279&amp;"|"&amp;AI279,"")</f>
      </c>
      <c r="AK279">
        <f>IF(AND($Q279="No disponible",OR($R279="Lista de espera · propio centro",$R279="Traslado de expediente",$R279="Lista de espera · otro centro"),$O279="Sí"),"la plaza ya tiene alumno y sigue marcada como refuerzo, ","")&amp;IF(AND($R279="Reconvertida en refuerzo",$O279&lt;&gt;"Sí"),"reconvertida en refuerzo pero sin marcar «En uso como refuerzo», ","")</f>
      </c>
    </row>
    <row r="280" spans="1:37">
      <c r="A280" s="20">
        <f>IF(D280&lt;&gt;"",ROW()-1,"")</f>
      </c>
      <c r="B280" s="55"/>
      <c r="C280" s="56"/>
      <c r="D280" s="56"/>
      <c r="E280" s="56"/>
      <c r="F280" s="56"/>
      <c r="G280" s="56"/>
      <c r="H280" s="56"/>
      <c r="I280" s="56"/>
      <c r="J280" s="57"/>
      <c r="K280" s="56"/>
      <c r="L280" s="58"/>
      <c r="M280" s="58">
        <f>IF(L280="","",L280)</f>
      </c>
      <c r="N280" s="56"/>
      <c r="O280" s="56"/>
      <c r="P280" s="57"/>
      <c r="Q280" s="56"/>
      <c r="R280" s="56"/>
      <c r="S280" s="56"/>
      <c r="T280" s="56"/>
      <c r="U280" s="56"/>
      <c r="V280" s="57"/>
      <c r="W280">
        <f>IF(Q280="Disponible",COUNTIFS($D$2:D280,D280,$Q$2:Q280,"Disponible"),"")</f>
      </c>
      <c r="X280">
        <f>IF(W280&lt;&gt;"",D280&amp;"|"&amp;W280,"")</f>
      </c>
      <c r="Y280">
        <f>IF(X280&lt;&gt;"",IF(K280&lt;&gt;"",K280&amp;" ("&amp;M280&amp;")",M280),"")</f>
      </c>
      <c r="Z280">
        <f>IF(O280="Sí",COUNTIFS($D$2:D280,D280,$O$2:O280,"Sí"),"")</f>
      </c>
      <c r="AA280">
        <f>IF(Z280&lt;&gt;"",D280&amp;"|"&amp;Z280,"")</f>
      </c>
      <c r="AB280">
        <f>IF(AA280&lt;&gt;"",IF(K280&lt;&gt;"",K280&amp;" ("&amp;M280&amp;")",M280),"")</f>
      </c>
      <c r="AC280">
        <f>IF($B280="","fecha, ","")&amp;IF($C280="","quién lo introduce, ","")&amp;IF($I280="","motivo, ","")&amp;IF($K280="","docente, ","")&amp;IF($L280="","horario, ","")&amp;IF($N280="","duración, ","")&amp;IF($Q280="","estado, ","")&amp;IF(AND($I280="Otros",$J280=""),"detalle del motivo, ","")&amp;IF(AND($O280="Sí",$P280=""),"detalle del refuerzo, ","")&amp;IF(AND(OR($I280="Renuncia (hasta 30 nov)",$I280="Baja (desde 1 dic)",$I280="Renuncia excepcional (art. 25.3)",$I280="Traslado de expediente"),OR($E280="",$F280="",$G280="")),"quién deja la plaza, ","")&amp;IF(AND($Q280="No disponible",$R280=""),"vía de cobertura, ","")&amp;IF(AND(OR($R280="Lista de espera · propio centro",$R280="Traslado de expediente",$R280="Lista de espera · otro centro"),OR($S280="",$T280="",$U280="")),"quién ocupa la plaza, ","")</f>
      </c>
      <c r="AD280" s="24">
        <f>IF($D280="","",IF(AND(LEN($AC280)=0,LEN($AK280)=0),"Completa",IF(LEN($AC280)=0,"Revisar: "&amp;LEFT($AK280,LEN($AK280)-2),"Falta: "&amp;LEFT($AC280,LEN($AC280)-2)&amp;IF(LEN($AK280)&gt;0,"  ·  Revisar: "&amp;LEFT($AK280,LEN($AK280)-2),""))))</f>
      </c>
      <c r="AE280">
        <f>IF(AND($D280&lt;&gt;"",OR($I280="Renuncia (hasta 30 nov)",$I280="Baja (desde 1 dic)",$I280="Renuncia excepcional (art. 25.3)",$I280="Traslado de expediente")),COUNTIF($AE$1:AE279,"&gt;0")+1,"")</f>
      </c>
      <c r="AF280">
        <f>IF($Q280="Disponible",COUNTIF($AF$1:AF279,"&gt;0")+1,"")</f>
      </c>
      <c r="AG280">
        <f>IF($O280="Sí",COUNTIF($AG$1:AG279,"&gt;0")+1,"")</f>
      </c>
      <c r="AH280">
        <f>IF(AND($Q280="Disponible",$O280&lt;&gt;"Sí"),COUNTIF($AH$1:AH279,"&gt;0")+1,"")</f>
      </c>
      <c r="AI280">
        <f>IF(AND($Q280="Disponible",$K280&lt;&gt;""),COUNTIFS($K$2:K280,K280,$Q$2:Q280,"Disponible"),"")</f>
      </c>
      <c r="AJ280">
        <f>IF(AI280&lt;&gt;"",K280&amp;"|"&amp;AI280,"")</f>
      </c>
      <c r="AK280">
        <f>IF(AND($Q280="No disponible",OR($R280="Lista de espera · propio centro",$R280="Traslado de expediente",$R280="Lista de espera · otro centro"),$O280="Sí"),"la plaza ya tiene alumno y sigue marcada como refuerzo, ","")&amp;IF(AND($R280="Reconvertida en refuerzo",$O280&lt;&gt;"Sí"),"reconvertida en refuerzo pero sin marcar «En uso como refuerzo», ","")</f>
      </c>
    </row>
    <row r="281" spans="1:37">
      <c r="A281" s="20">
        <f>IF(D281&lt;&gt;"",ROW()-1,"")</f>
      </c>
      <c r="B281" s="55"/>
      <c r="C281" s="56"/>
      <c r="D281" s="56"/>
      <c r="E281" s="56"/>
      <c r="F281" s="56"/>
      <c r="G281" s="56"/>
      <c r="H281" s="56"/>
      <c r="I281" s="56"/>
      <c r="J281" s="57"/>
      <c r="K281" s="56"/>
      <c r="L281" s="58"/>
      <c r="M281" s="58">
        <f>IF(L281="","",L281)</f>
      </c>
      <c r="N281" s="56"/>
      <c r="O281" s="56"/>
      <c r="P281" s="57"/>
      <c r="Q281" s="56"/>
      <c r="R281" s="56"/>
      <c r="S281" s="56"/>
      <c r="T281" s="56"/>
      <c r="U281" s="56"/>
      <c r="V281" s="57"/>
      <c r="W281">
        <f>IF(Q281="Disponible",COUNTIFS($D$2:D281,D281,$Q$2:Q281,"Disponible"),"")</f>
      </c>
      <c r="X281">
        <f>IF(W281&lt;&gt;"",D281&amp;"|"&amp;W281,"")</f>
      </c>
      <c r="Y281">
        <f>IF(X281&lt;&gt;"",IF(K281&lt;&gt;"",K281&amp;" ("&amp;M281&amp;")",M281),"")</f>
      </c>
      <c r="Z281">
        <f>IF(O281="Sí",COUNTIFS($D$2:D281,D281,$O$2:O281,"Sí"),"")</f>
      </c>
      <c r="AA281">
        <f>IF(Z281&lt;&gt;"",D281&amp;"|"&amp;Z281,"")</f>
      </c>
      <c r="AB281">
        <f>IF(AA281&lt;&gt;"",IF(K281&lt;&gt;"",K281&amp;" ("&amp;M281&amp;")",M281),"")</f>
      </c>
      <c r="AC281">
        <f>IF($B281="","fecha, ","")&amp;IF($C281="","quién lo introduce, ","")&amp;IF($I281="","motivo, ","")&amp;IF($K281="","docente, ","")&amp;IF($L281="","horario, ","")&amp;IF($N281="","duración, ","")&amp;IF($Q281="","estado, ","")&amp;IF(AND($I281="Otros",$J281=""),"detalle del motivo, ","")&amp;IF(AND($O281="Sí",$P281=""),"detalle del refuerzo, ","")&amp;IF(AND(OR($I281="Renuncia (hasta 30 nov)",$I281="Baja (desde 1 dic)",$I281="Renuncia excepcional (art. 25.3)",$I281="Traslado de expediente"),OR($E281="",$F281="",$G281="")),"quién deja la plaza, ","")&amp;IF(AND($Q281="No disponible",$R281=""),"vía de cobertura, ","")&amp;IF(AND(OR($R281="Lista de espera · propio centro",$R281="Traslado de expediente",$R281="Lista de espera · otro centro"),OR($S281="",$T281="",$U281="")),"quién ocupa la plaza, ","")</f>
      </c>
      <c r="AD281" s="24">
        <f>IF($D281="","",IF(AND(LEN($AC281)=0,LEN($AK281)=0),"Completa",IF(LEN($AC281)=0,"Revisar: "&amp;LEFT($AK281,LEN($AK281)-2),"Falta: "&amp;LEFT($AC281,LEN($AC281)-2)&amp;IF(LEN($AK281)&gt;0,"  ·  Revisar: "&amp;LEFT($AK281,LEN($AK281)-2),""))))</f>
      </c>
      <c r="AE281">
        <f>IF(AND($D281&lt;&gt;"",OR($I281="Renuncia (hasta 30 nov)",$I281="Baja (desde 1 dic)",$I281="Renuncia excepcional (art. 25.3)",$I281="Traslado de expediente")),COUNTIF($AE$1:AE280,"&gt;0")+1,"")</f>
      </c>
      <c r="AF281">
        <f>IF($Q281="Disponible",COUNTIF($AF$1:AF280,"&gt;0")+1,"")</f>
      </c>
      <c r="AG281">
        <f>IF($O281="Sí",COUNTIF($AG$1:AG280,"&gt;0")+1,"")</f>
      </c>
      <c r="AH281">
        <f>IF(AND($Q281="Disponible",$O281&lt;&gt;"Sí"),COUNTIF($AH$1:AH280,"&gt;0")+1,"")</f>
      </c>
      <c r="AI281">
        <f>IF(AND($Q281="Disponible",$K281&lt;&gt;""),COUNTIFS($K$2:K281,K281,$Q$2:Q281,"Disponible"),"")</f>
      </c>
      <c r="AJ281">
        <f>IF(AI281&lt;&gt;"",K281&amp;"|"&amp;AI281,"")</f>
      </c>
      <c r="AK281">
        <f>IF(AND($Q281="No disponible",OR($R281="Lista de espera · propio centro",$R281="Traslado de expediente",$R281="Lista de espera · otro centro"),$O281="Sí"),"la plaza ya tiene alumno y sigue marcada como refuerzo, ","")&amp;IF(AND($R281="Reconvertida en refuerzo",$O281&lt;&gt;"Sí"),"reconvertida en refuerzo pero sin marcar «En uso como refuerzo», ","")</f>
      </c>
    </row>
    <row r="282" spans="1:37">
      <c r="A282" s="20">
        <f>IF(D282&lt;&gt;"",ROW()-1,"")</f>
      </c>
      <c r="B282" s="55"/>
      <c r="C282" s="56"/>
      <c r="D282" s="56"/>
      <c r="E282" s="56"/>
      <c r="F282" s="56"/>
      <c r="G282" s="56"/>
      <c r="H282" s="56"/>
      <c r="I282" s="56"/>
      <c r="J282" s="57"/>
      <c r="K282" s="56"/>
      <c r="L282" s="58"/>
      <c r="M282" s="58">
        <f>IF(L282="","",L282)</f>
      </c>
      <c r="N282" s="56"/>
      <c r="O282" s="56"/>
      <c r="P282" s="57"/>
      <c r="Q282" s="56"/>
      <c r="R282" s="56"/>
      <c r="S282" s="56"/>
      <c r="T282" s="56"/>
      <c r="U282" s="56"/>
      <c r="V282" s="57"/>
      <c r="W282">
        <f>IF(Q282="Disponible",COUNTIFS($D$2:D282,D282,$Q$2:Q282,"Disponible"),"")</f>
      </c>
      <c r="X282">
        <f>IF(W282&lt;&gt;"",D282&amp;"|"&amp;W282,"")</f>
      </c>
      <c r="Y282">
        <f>IF(X282&lt;&gt;"",IF(K282&lt;&gt;"",K282&amp;" ("&amp;M282&amp;")",M282),"")</f>
      </c>
      <c r="Z282">
        <f>IF(O282="Sí",COUNTIFS($D$2:D282,D282,$O$2:O282,"Sí"),"")</f>
      </c>
      <c r="AA282">
        <f>IF(Z282&lt;&gt;"",D282&amp;"|"&amp;Z282,"")</f>
      </c>
      <c r="AB282">
        <f>IF(AA282&lt;&gt;"",IF(K282&lt;&gt;"",K282&amp;" ("&amp;M282&amp;")",M282),"")</f>
      </c>
      <c r="AC282">
        <f>IF($B282="","fecha, ","")&amp;IF($C282="","quién lo introduce, ","")&amp;IF($I282="","motivo, ","")&amp;IF($K282="","docente, ","")&amp;IF($L282="","horario, ","")&amp;IF($N282="","duración, ","")&amp;IF($Q282="","estado, ","")&amp;IF(AND($I282="Otros",$J282=""),"detalle del motivo, ","")&amp;IF(AND($O282="Sí",$P282=""),"detalle del refuerzo, ","")&amp;IF(AND(OR($I282="Renuncia (hasta 30 nov)",$I282="Baja (desde 1 dic)",$I282="Renuncia excepcional (art. 25.3)",$I282="Traslado de expediente"),OR($E282="",$F282="",$G282="")),"quién deja la plaza, ","")&amp;IF(AND($Q282="No disponible",$R282=""),"vía de cobertura, ","")&amp;IF(AND(OR($R282="Lista de espera · propio centro",$R282="Traslado de expediente",$R282="Lista de espera · otro centro"),OR($S282="",$T282="",$U282="")),"quién ocupa la plaza, ","")</f>
      </c>
      <c r="AD282" s="24">
        <f>IF($D282="","",IF(AND(LEN($AC282)=0,LEN($AK282)=0),"Completa",IF(LEN($AC282)=0,"Revisar: "&amp;LEFT($AK282,LEN($AK282)-2),"Falta: "&amp;LEFT($AC282,LEN($AC282)-2)&amp;IF(LEN($AK282)&gt;0,"  ·  Revisar: "&amp;LEFT($AK282,LEN($AK282)-2),""))))</f>
      </c>
      <c r="AE282">
        <f>IF(AND($D282&lt;&gt;"",OR($I282="Renuncia (hasta 30 nov)",$I282="Baja (desde 1 dic)",$I282="Renuncia excepcional (art. 25.3)",$I282="Traslado de expediente")),COUNTIF($AE$1:AE281,"&gt;0")+1,"")</f>
      </c>
      <c r="AF282">
        <f>IF($Q282="Disponible",COUNTIF($AF$1:AF281,"&gt;0")+1,"")</f>
      </c>
      <c r="AG282">
        <f>IF($O282="Sí",COUNTIF($AG$1:AG281,"&gt;0")+1,"")</f>
      </c>
      <c r="AH282">
        <f>IF(AND($Q282="Disponible",$O282&lt;&gt;"Sí"),COUNTIF($AH$1:AH281,"&gt;0")+1,"")</f>
      </c>
      <c r="AI282">
        <f>IF(AND($Q282="Disponible",$K282&lt;&gt;""),COUNTIFS($K$2:K282,K282,$Q$2:Q282,"Disponible"),"")</f>
      </c>
      <c r="AJ282">
        <f>IF(AI282&lt;&gt;"",K282&amp;"|"&amp;AI282,"")</f>
      </c>
      <c r="AK282">
        <f>IF(AND($Q282="No disponible",OR($R282="Lista de espera · propio centro",$R282="Traslado de expediente",$R282="Lista de espera · otro centro"),$O282="Sí"),"la plaza ya tiene alumno y sigue marcada como refuerzo, ","")&amp;IF(AND($R282="Reconvertida en refuerzo",$O282&lt;&gt;"Sí"),"reconvertida en refuerzo pero sin marcar «En uso como refuerzo», ","")</f>
      </c>
    </row>
    <row r="283" spans="1:37">
      <c r="A283" s="20">
        <f>IF(D283&lt;&gt;"",ROW()-1,"")</f>
      </c>
      <c r="B283" s="55"/>
      <c r="C283" s="56"/>
      <c r="D283" s="56"/>
      <c r="E283" s="56"/>
      <c r="F283" s="56"/>
      <c r="G283" s="56"/>
      <c r="H283" s="56"/>
      <c r="I283" s="56"/>
      <c r="J283" s="57"/>
      <c r="K283" s="56"/>
      <c r="L283" s="58"/>
      <c r="M283" s="58">
        <f>IF(L283="","",L283)</f>
      </c>
      <c r="N283" s="56"/>
      <c r="O283" s="56"/>
      <c r="P283" s="57"/>
      <c r="Q283" s="56"/>
      <c r="R283" s="56"/>
      <c r="S283" s="56"/>
      <c r="T283" s="56"/>
      <c r="U283" s="56"/>
      <c r="V283" s="57"/>
      <c r="W283">
        <f>IF(Q283="Disponible",COUNTIFS($D$2:D283,D283,$Q$2:Q283,"Disponible"),"")</f>
      </c>
      <c r="X283">
        <f>IF(W283&lt;&gt;"",D283&amp;"|"&amp;W283,"")</f>
      </c>
      <c r="Y283">
        <f>IF(X283&lt;&gt;"",IF(K283&lt;&gt;"",K283&amp;" ("&amp;M283&amp;")",M283),"")</f>
      </c>
      <c r="Z283">
        <f>IF(O283="Sí",COUNTIFS($D$2:D283,D283,$O$2:O283,"Sí"),"")</f>
      </c>
      <c r="AA283">
        <f>IF(Z283&lt;&gt;"",D283&amp;"|"&amp;Z283,"")</f>
      </c>
      <c r="AB283">
        <f>IF(AA283&lt;&gt;"",IF(K283&lt;&gt;"",K283&amp;" ("&amp;M283&amp;")",M283),"")</f>
      </c>
      <c r="AC283">
        <f>IF($B283="","fecha, ","")&amp;IF($C283="","quién lo introduce, ","")&amp;IF($I283="","motivo, ","")&amp;IF($K283="","docente, ","")&amp;IF($L283="","horario, ","")&amp;IF($N283="","duración, ","")&amp;IF($Q283="","estado, ","")&amp;IF(AND($I283="Otros",$J283=""),"detalle del motivo, ","")&amp;IF(AND($O283="Sí",$P283=""),"detalle del refuerzo, ","")&amp;IF(AND(OR($I283="Renuncia (hasta 30 nov)",$I283="Baja (desde 1 dic)",$I283="Renuncia excepcional (art. 25.3)",$I283="Traslado de expediente"),OR($E283="",$F283="",$G283="")),"quién deja la plaza, ","")&amp;IF(AND($Q283="No disponible",$R283=""),"vía de cobertura, ","")&amp;IF(AND(OR($R283="Lista de espera · propio centro",$R283="Traslado de expediente",$R283="Lista de espera · otro centro"),OR($S283="",$T283="",$U283="")),"quién ocupa la plaza, ","")</f>
      </c>
      <c r="AD283" s="24">
        <f>IF($D283="","",IF(AND(LEN($AC283)=0,LEN($AK283)=0),"Completa",IF(LEN($AC283)=0,"Revisar: "&amp;LEFT($AK283,LEN($AK283)-2),"Falta: "&amp;LEFT($AC283,LEN($AC283)-2)&amp;IF(LEN($AK283)&gt;0,"  ·  Revisar: "&amp;LEFT($AK283,LEN($AK283)-2),""))))</f>
      </c>
      <c r="AE283">
        <f>IF(AND($D283&lt;&gt;"",OR($I283="Renuncia (hasta 30 nov)",$I283="Baja (desde 1 dic)",$I283="Renuncia excepcional (art. 25.3)",$I283="Traslado de expediente")),COUNTIF($AE$1:AE282,"&gt;0")+1,"")</f>
      </c>
      <c r="AF283">
        <f>IF($Q283="Disponible",COUNTIF($AF$1:AF282,"&gt;0")+1,"")</f>
      </c>
      <c r="AG283">
        <f>IF($O283="Sí",COUNTIF($AG$1:AG282,"&gt;0")+1,"")</f>
      </c>
      <c r="AH283">
        <f>IF(AND($Q283="Disponible",$O283&lt;&gt;"Sí"),COUNTIF($AH$1:AH282,"&gt;0")+1,"")</f>
      </c>
      <c r="AI283">
        <f>IF(AND($Q283="Disponible",$K283&lt;&gt;""),COUNTIFS($K$2:K283,K283,$Q$2:Q283,"Disponible"),"")</f>
      </c>
      <c r="AJ283">
        <f>IF(AI283&lt;&gt;"",K283&amp;"|"&amp;AI283,"")</f>
      </c>
      <c r="AK283">
        <f>IF(AND($Q283="No disponible",OR($R283="Lista de espera · propio centro",$R283="Traslado de expediente",$R283="Lista de espera · otro centro"),$O283="Sí"),"la plaza ya tiene alumno y sigue marcada como refuerzo, ","")&amp;IF(AND($R283="Reconvertida en refuerzo",$O283&lt;&gt;"Sí"),"reconvertida en refuerzo pero sin marcar «En uso como refuerzo», ","")</f>
      </c>
    </row>
    <row r="284" spans="1:37">
      <c r="A284" s="20">
        <f>IF(D284&lt;&gt;"",ROW()-1,"")</f>
      </c>
      <c r="B284" s="55"/>
      <c r="C284" s="56"/>
      <c r="D284" s="56"/>
      <c r="E284" s="56"/>
      <c r="F284" s="56"/>
      <c r="G284" s="56"/>
      <c r="H284" s="56"/>
      <c r="I284" s="56"/>
      <c r="J284" s="57"/>
      <c r="K284" s="56"/>
      <c r="L284" s="58"/>
      <c r="M284" s="58">
        <f>IF(L284="","",L284)</f>
      </c>
      <c r="N284" s="56"/>
      <c r="O284" s="56"/>
      <c r="P284" s="57"/>
      <c r="Q284" s="56"/>
      <c r="R284" s="56"/>
      <c r="S284" s="56"/>
      <c r="T284" s="56"/>
      <c r="U284" s="56"/>
      <c r="V284" s="57"/>
      <c r="W284">
        <f>IF(Q284="Disponible",COUNTIFS($D$2:D284,D284,$Q$2:Q284,"Disponible"),"")</f>
      </c>
      <c r="X284">
        <f>IF(W284&lt;&gt;"",D284&amp;"|"&amp;W284,"")</f>
      </c>
      <c r="Y284">
        <f>IF(X284&lt;&gt;"",IF(K284&lt;&gt;"",K284&amp;" ("&amp;M284&amp;")",M284),"")</f>
      </c>
      <c r="Z284">
        <f>IF(O284="Sí",COUNTIFS($D$2:D284,D284,$O$2:O284,"Sí"),"")</f>
      </c>
      <c r="AA284">
        <f>IF(Z284&lt;&gt;"",D284&amp;"|"&amp;Z284,"")</f>
      </c>
      <c r="AB284">
        <f>IF(AA284&lt;&gt;"",IF(K284&lt;&gt;"",K284&amp;" ("&amp;M284&amp;")",M284),"")</f>
      </c>
      <c r="AC284">
        <f>IF($B284="","fecha, ","")&amp;IF($C284="","quién lo introduce, ","")&amp;IF($I284="","motivo, ","")&amp;IF($K284="","docente, ","")&amp;IF($L284="","horario, ","")&amp;IF($N284="","duración, ","")&amp;IF($Q284="","estado, ","")&amp;IF(AND($I284="Otros",$J284=""),"detalle del motivo, ","")&amp;IF(AND($O284="Sí",$P284=""),"detalle del refuerzo, ","")&amp;IF(AND(OR($I284="Renuncia (hasta 30 nov)",$I284="Baja (desde 1 dic)",$I284="Renuncia excepcional (art. 25.3)",$I284="Traslado de expediente"),OR($E284="",$F284="",$G284="")),"quién deja la plaza, ","")&amp;IF(AND($Q284="No disponible",$R284=""),"vía de cobertura, ","")&amp;IF(AND(OR($R284="Lista de espera · propio centro",$R284="Traslado de expediente",$R284="Lista de espera · otro centro"),OR($S284="",$T284="",$U284="")),"quién ocupa la plaza, ","")</f>
      </c>
      <c r="AD284" s="24">
        <f>IF($D284="","",IF(AND(LEN($AC284)=0,LEN($AK284)=0),"Completa",IF(LEN($AC284)=0,"Revisar: "&amp;LEFT($AK284,LEN($AK284)-2),"Falta: "&amp;LEFT($AC284,LEN($AC284)-2)&amp;IF(LEN($AK284)&gt;0,"  ·  Revisar: "&amp;LEFT($AK284,LEN($AK284)-2),""))))</f>
      </c>
      <c r="AE284">
        <f>IF(AND($D284&lt;&gt;"",OR($I284="Renuncia (hasta 30 nov)",$I284="Baja (desde 1 dic)",$I284="Renuncia excepcional (art. 25.3)",$I284="Traslado de expediente")),COUNTIF($AE$1:AE283,"&gt;0")+1,"")</f>
      </c>
      <c r="AF284">
        <f>IF($Q284="Disponible",COUNTIF($AF$1:AF283,"&gt;0")+1,"")</f>
      </c>
      <c r="AG284">
        <f>IF($O284="Sí",COUNTIF($AG$1:AG283,"&gt;0")+1,"")</f>
      </c>
      <c r="AH284">
        <f>IF(AND($Q284="Disponible",$O284&lt;&gt;"Sí"),COUNTIF($AH$1:AH283,"&gt;0")+1,"")</f>
      </c>
      <c r="AI284">
        <f>IF(AND($Q284="Disponible",$K284&lt;&gt;""),COUNTIFS($K$2:K284,K284,$Q$2:Q284,"Disponible"),"")</f>
      </c>
      <c r="AJ284">
        <f>IF(AI284&lt;&gt;"",K284&amp;"|"&amp;AI284,"")</f>
      </c>
      <c r="AK284">
        <f>IF(AND($Q284="No disponible",OR($R284="Lista de espera · propio centro",$R284="Traslado de expediente",$R284="Lista de espera · otro centro"),$O284="Sí"),"la plaza ya tiene alumno y sigue marcada como refuerzo, ","")&amp;IF(AND($R284="Reconvertida en refuerzo",$O284&lt;&gt;"Sí"),"reconvertida en refuerzo pero sin marcar «En uso como refuerzo», ","")</f>
      </c>
    </row>
    <row r="285" spans="1:37">
      <c r="A285" s="20">
        <f>IF(D285&lt;&gt;"",ROW()-1,"")</f>
      </c>
      <c r="B285" s="55"/>
      <c r="C285" s="56"/>
      <c r="D285" s="56"/>
      <c r="E285" s="56"/>
      <c r="F285" s="56"/>
      <c r="G285" s="56"/>
      <c r="H285" s="56"/>
      <c r="I285" s="56"/>
      <c r="J285" s="57"/>
      <c r="K285" s="56"/>
      <c r="L285" s="58"/>
      <c r="M285" s="58">
        <f>IF(L285="","",L285)</f>
      </c>
      <c r="N285" s="56"/>
      <c r="O285" s="56"/>
      <c r="P285" s="57"/>
      <c r="Q285" s="56"/>
      <c r="R285" s="56"/>
      <c r="S285" s="56"/>
      <c r="T285" s="56"/>
      <c r="U285" s="56"/>
      <c r="V285" s="57"/>
      <c r="W285">
        <f>IF(Q285="Disponible",COUNTIFS($D$2:D285,D285,$Q$2:Q285,"Disponible"),"")</f>
      </c>
      <c r="X285">
        <f>IF(W285&lt;&gt;"",D285&amp;"|"&amp;W285,"")</f>
      </c>
      <c r="Y285">
        <f>IF(X285&lt;&gt;"",IF(K285&lt;&gt;"",K285&amp;" ("&amp;M285&amp;")",M285),"")</f>
      </c>
      <c r="Z285">
        <f>IF(O285="Sí",COUNTIFS($D$2:D285,D285,$O$2:O285,"Sí"),"")</f>
      </c>
      <c r="AA285">
        <f>IF(Z285&lt;&gt;"",D285&amp;"|"&amp;Z285,"")</f>
      </c>
      <c r="AB285">
        <f>IF(AA285&lt;&gt;"",IF(K285&lt;&gt;"",K285&amp;" ("&amp;M285&amp;")",M285),"")</f>
      </c>
      <c r="AC285">
        <f>IF($B285="","fecha, ","")&amp;IF($C285="","quién lo introduce, ","")&amp;IF($I285="","motivo, ","")&amp;IF($K285="","docente, ","")&amp;IF($L285="","horario, ","")&amp;IF($N285="","duración, ","")&amp;IF($Q285="","estado, ","")&amp;IF(AND($I285="Otros",$J285=""),"detalle del motivo, ","")&amp;IF(AND($O285="Sí",$P285=""),"detalle del refuerzo, ","")&amp;IF(AND(OR($I285="Renuncia (hasta 30 nov)",$I285="Baja (desde 1 dic)",$I285="Renuncia excepcional (art. 25.3)",$I285="Traslado de expediente"),OR($E285="",$F285="",$G285="")),"quién deja la plaza, ","")&amp;IF(AND($Q285="No disponible",$R285=""),"vía de cobertura, ","")&amp;IF(AND(OR($R285="Lista de espera · propio centro",$R285="Traslado de expediente",$R285="Lista de espera · otro centro"),OR($S285="",$T285="",$U285="")),"quién ocupa la plaza, ","")</f>
      </c>
      <c r="AD285" s="24">
        <f>IF($D285="","",IF(AND(LEN($AC285)=0,LEN($AK285)=0),"Completa",IF(LEN($AC285)=0,"Revisar: "&amp;LEFT($AK285,LEN($AK285)-2),"Falta: "&amp;LEFT($AC285,LEN($AC285)-2)&amp;IF(LEN($AK285)&gt;0,"  ·  Revisar: "&amp;LEFT($AK285,LEN($AK285)-2),""))))</f>
      </c>
      <c r="AE285">
        <f>IF(AND($D285&lt;&gt;"",OR($I285="Renuncia (hasta 30 nov)",$I285="Baja (desde 1 dic)",$I285="Renuncia excepcional (art. 25.3)",$I285="Traslado de expediente")),COUNTIF($AE$1:AE284,"&gt;0")+1,"")</f>
      </c>
      <c r="AF285">
        <f>IF($Q285="Disponible",COUNTIF($AF$1:AF284,"&gt;0")+1,"")</f>
      </c>
      <c r="AG285">
        <f>IF($O285="Sí",COUNTIF($AG$1:AG284,"&gt;0")+1,"")</f>
      </c>
      <c r="AH285">
        <f>IF(AND($Q285="Disponible",$O285&lt;&gt;"Sí"),COUNTIF($AH$1:AH284,"&gt;0")+1,"")</f>
      </c>
      <c r="AI285">
        <f>IF(AND($Q285="Disponible",$K285&lt;&gt;""),COUNTIFS($K$2:K285,K285,$Q$2:Q285,"Disponible"),"")</f>
      </c>
      <c r="AJ285">
        <f>IF(AI285&lt;&gt;"",K285&amp;"|"&amp;AI285,"")</f>
      </c>
      <c r="AK285">
        <f>IF(AND($Q285="No disponible",OR($R285="Lista de espera · propio centro",$R285="Traslado de expediente",$R285="Lista de espera · otro centro"),$O285="Sí"),"la plaza ya tiene alumno y sigue marcada como refuerzo, ","")&amp;IF(AND($R285="Reconvertida en refuerzo",$O285&lt;&gt;"Sí"),"reconvertida en refuerzo pero sin marcar «En uso como refuerzo», ","")</f>
      </c>
    </row>
    <row r="286" spans="1:37">
      <c r="A286" s="20">
        <f>IF(D286&lt;&gt;"",ROW()-1,"")</f>
      </c>
      <c r="B286" s="55"/>
      <c r="C286" s="56"/>
      <c r="D286" s="56"/>
      <c r="E286" s="56"/>
      <c r="F286" s="56"/>
      <c r="G286" s="56"/>
      <c r="H286" s="56"/>
      <c r="I286" s="56"/>
      <c r="J286" s="57"/>
      <c r="K286" s="56"/>
      <c r="L286" s="58"/>
      <c r="M286" s="58">
        <f>IF(L286="","",L286)</f>
      </c>
      <c r="N286" s="56"/>
      <c r="O286" s="56"/>
      <c r="P286" s="57"/>
      <c r="Q286" s="56"/>
      <c r="R286" s="56"/>
      <c r="S286" s="56"/>
      <c r="T286" s="56"/>
      <c r="U286" s="56"/>
      <c r="V286" s="57"/>
      <c r="W286">
        <f>IF(Q286="Disponible",COUNTIFS($D$2:D286,D286,$Q$2:Q286,"Disponible"),"")</f>
      </c>
      <c r="X286">
        <f>IF(W286&lt;&gt;"",D286&amp;"|"&amp;W286,"")</f>
      </c>
      <c r="Y286">
        <f>IF(X286&lt;&gt;"",IF(K286&lt;&gt;"",K286&amp;" ("&amp;M286&amp;")",M286),"")</f>
      </c>
      <c r="Z286">
        <f>IF(O286="Sí",COUNTIFS($D$2:D286,D286,$O$2:O286,"Sí"),"")</f>
      </c>
      <c r="AA286">
        <f>IF(Z286&lt;&gt;"",D286&amp;"|"&amp;Z286,"")</f>
      </c>
      <c r="AB286">
        <f>IF(AA286&lt;&gt;"",IF(K286&lt;&gt;"",K286&amp;" ("&amp;M286&amp;")",M286),"")</f>
      </c>
      <c r="AC286">
        <f>IF($B286="","fecha, ","")&amp;IF($C286="","quién lo introduce, ","")&amp;IF($I286="","motivo, ","")&amp;IF($K286="","docente, ","")&amp;IF($L286="","horario, ","")&amp;IF($N286="","duración, ","")&amp;IF($Q286="","estado, ","")&amp;IF(AND($I286="Otros",$J286=""),"detalle del motivo, ","")&amp;IF(AND($O286="Sí",$P286=""),"detalle del refuerzo, ","")&amp;IF(AND(OR($I286="Renuncia (hasta 30 nov)",$I286="Baja (desde 1 dic)",$I286="Renuncia excepcional (art. 25.3)",$I286="Traslado de expediente"),OR($E286="",$F286="",$G286="")),"quién deja la plaza, ","")&amp;IF(AND($Q286="No disponible",$R286=""),"vía de cobertura, ","")&amp;IF(AND(OR($R286="Lista de espera · propio centro",$R286="Traslado de expediente",$R286="Lista de espera · otro centro"),OR($S286="",$T286="",$U286="")),"quién ocupa la plaza, ","")</f>
      </c>
      <c r="AD286" s="24">
        <f>IF($D286="","",IF(AND(LEN($AC286)=0,LEN($AK286)=0),"Completa",IF(LEN($AC286)=0,"Revisar: "&amp;LEFT($AK286,LEN($AK286)-2),"Falta: "&amp;LEFT($AC286,LEN($AC286)-2)&amp;IF(LEN($AK286)&gt;0,"  ·  Revisar: "&amp;LEFT($AK286,LEN($AK286)-2),""))))</f>
      </c>
      <c r="AE286">
        <f>IF(AND($D286&lt;&gt;"",OR($I286="Renuncia (hasta 30 nov)",$I286="Baja (desde 1 dic)",$I286="Renuncia excepcional (art. 25.3)",$I286="Traslado de expediente")),COUNTIF($AE$1:AE285,"&gt;0")+1,"")</f>
      </c>
      <c r="AF286">
        <f>IF($Q286="Disponible",COUNTIF($AF$1:AF285,"&gt;0")+1,"")</f>
      </c>
      <c r="AG286">
        <f>IF($O286="Sí",COUNTIF($AG$1:AG285,"&gt;0")+1,"")</f>
      </c>
      <c r="AH286">
        <f>IF(AND($Q286="Disponible",$O286&lt;&gt;"Sí"),COUNTIF($AH$1:AH285,"&gt;0")+1,"")</f>
      </c>
      <c r="AI286">
        <f>IF(AND($Q286="Disponible",$K286&lt;&gt;""),COUNTIFS($K$2:K286,K286,$Q$2:Q286,"Disponible"),"")</f>
      </c>
      <c r="AJ286">
        <f>IF(AI286&lt;&gt;"",K286&amp;"|"&amp;AI286,"")</f>
      </c>
      <c r="AK286">
        <f>IF(AND($Q286="No disponible",OR($R286="Lista de espera · propio centro",$R286="Traslado de expediente",$R286="Lista de espera · otro centro"),$O286="Sí"),"la plaza ya tiene alumno y sigue marcada como refuerzo, ","")&amp;IF(AND($R286="Reconvertida en refuerzo",$O286&lt;&gt;"Sí"),"reconvertida en refuerzo pero sin marcar «En uso como refuerzo», ","")</f>
      </c>
    </row>
    <row r="287" spans="1:37">
      <c r="A287" s="20">
        <f>IF(D287&lt;&gt;"",ROW()-1,"")</f>
      </c>
      <c r="B287" s="55"/>
      <c r="C287" s="56"/>
      <c r="D287" s="56"/>
      <c r="E287" s="56"/>
      <c r="F287" s="56"/>
      <c r="G287" s="56"/>
      <c r="H287" s="56"/>
      <c r="I287" s="56"/>
      <c r="J287" s="57"/>
      <c r="K287" s="56"/>
      <c r="L287" s="58"/>
      <c r="M287" s="58">
        <f>IF(L287="","",L287)</f>
      </c>
      <c r="N287" s="56"/>
      <c r="O287" s="56"/>
      <c r="P287" s="57"/>
      <c r="Q287" s="56"/>
      <c r="R287" s="56"/>
      <c r="S287" s="56"/>
      <c r="T287" s="56"/>
      <c r="U287" s="56"/>
      <c r="V287" s="57"/>
      <c r="W287">
        <f>IF(Q287="Disponible",COUNTIFS($D$2:D287,D287,$Q$2:Q287,"Disponible"),"")</f>
      </c>
      <c r="X287">
        <f>IF(W287&lt;&gt;"",D287&amp;"|"&amp;W287,"")</f>
      </c>
      <c r="Y287">
        <f>IF(X287&lt;&gt;"",IF(K287&lt;&gt;"",K287&amp;" ("&amp;M287&amp;")",M287),"")</f>
      </c>
      <c r="Z287">
        <f>IF(O287="Sí",COUNTIFS($D$2:D287,D287,$O$2:O287,"Sí"),"")</f>
      </c>
      <c r="AA287">
        <f>IF(Z287&lt;&gt;"",D287&amp;"|"&amp;Z287,"")</f>
      </c>
      <c r="AB287">
        <f>IF(AA287&lt;&gt;"",IF(K287&lt;&gt;"",K287&amp;" ("&amp;M287&amp;")",M287),"")</f>
      </c>
      <c r="AC287">
        <f>IF($B287="","fecha, ","")&amp;IF($C287="","quién lo introduce, ","")&amp;IF($I287="","motivo, ","")&amp;IF($K287="","docente, ","")&amp;IF($L287="","horario, ","")&amp;IF($N287="","duración, ","")&amp;IF($Q287="","estado, ","")&amp;IF(AND($I287="Otros",$J287=""),"detalle del motivo, ","")&amp;IF(AND($O287="Sí",$P287=""),"detalle del refuerzo, ","")&amp;IF(AND(OR($I287="Renuncia (hasta 30 nov)",$I287="Baja (desde 1 dic)",$I287="Renuncia excepcional (art. 25.3)",$I287="Traslado de expediente"),OR($E287="",$F287="",$G287="")),"quién deja la plaza, ","")&amp;IF(AND($Q287="No disponible",$R287=""),"vía de cobertura, ","")&amp;IF(AND(OR($R287="Lista de espera · propio centro",$R287="Traslado de expediente",$R287="Lista de espera · otro centro"),OR($S287="",$T287="",$U287="")),"quién ocupa la plaza, ","")</f>
      </c>
      <c r="AD287" s="24">
        <f>IF($D287="","",IF(AND(LEN($AC287)=0,LEN($AK287)=0),"Completa",IF(LEN($AC287)=0,"Revisar: "&amp;LEFT($AK287,LEN($AK287)-2),"Falta: "&amp;LEFT($AC287,LEN($AC287)-2)&amp;IF(LEN($AK287)&gt;0,"  ·  Revisar: "&amp;LEFT($AK287,LEN($AK287)-2),""))))</f>
      </c>
      <c r="AE287">
        <f>IF(AND($D287&lt;&gt;"",OR($I287="Renuncia (hasta 30 nov)",$I287="Baja (desde 1 dic)",$I287="Renuncia excepcional (art. 25.3)",$I287="Traslado de expediente")),COUNTIF($AE$1:AE286,"&gt;0")+1,"")</f>
      </c>
      <c r="AF287">
        <f>IF($Q287="Disponible",COUNTIF($AF$1:AF286,"&gt;0")+1,"")</f>
      </c>
      <c r="AG287">
        <f>IF($O287="Sí",COUNTIF($AG$1:AG286,"&gt;0")+1,"")</f>
      </c>
      <c r="AH287">
        <f>IF(AND($Q287="Disponible",$O287&lt;&gt;"Sí"),COUNTIF($AH$1:AH286,"&gt;0")+1,"")</f>
      </c>
      <c r="AI287">
        <f>IF(AND($Q287="Disponible",$K287&lt;&gt;""),COUNTIFS($K$2:K287,K287,$Q$2:Q287,"Disponible"),"")</f>
      </c>
      <c r="AJ287">
        <f>IF(AI287&lt;&gt;"",K287&amp;"|"&amp;AI287,"")</f>
      </c>
      <c r="AK287">
        <f>IF(AND($Q287="No disponible",OR($R287="Lista de espera · propio centro",$R287="Traslado de expediente",$R287="Lista de espera · otro centro"),$O287="Sí"),"la plaza ya tiene alumno y sigue marcada como refuerzo, ","")&amp;IF(AND($R287="Reconvertida en refuerzo",$O287&lt;&gt;"Sí"),"reconvertida en refuerzo pero sin marcar «En uso como refuerzo», ","")</f>
      </c>
    </row>
    <row r="288" spans="1:37">
      <c r="A288" s="20">
        <f>IF(D288&lt;&gt;"",ROW()-1,"")</f>
      </c>
      <c r="B288" s="55"/>
      <c r="C288" s="56"/>
      <c r="D288" s="56"/>
      <c r="E288" s="56"/>
      <c r="F288" s="56"/>
      <c r="G288" s="56"/>
      <c r="H288" s="56"/>
      <c r="I288" s="56"/>
      <c r="J288" s="57"/>
      <c r="K288" s="56"/>
      <c r="L288" s="58"/>
      <c r="M288" s="58">
        <f>IF(L288="","",L288)</f>
      </c>
      <c r="N288" s="56"/>
      <c r="O288" s="56"/>
      <c r="P288" s="57"/>
      <c r="Q288" s="56"/>
      <c r="R288" s="56"/>
      <c r="S288" s="56"/>
      <c r="T288" s="56"/>
      <c r="U288" s="56"/>
      <c r="V288" s="57"/>
      <c r="W288">
        <f>IF(Q288="Disponible",COUNTIFS($D$2:D288,D288,$Q$2:Q288,"Disponible"),"")</f>
      </c>
      <c r="X288">
        <f>IF(W288&lt;&gt;"",D288&amp;"|"&amp;W288,"")</f>
      </c>
      <c r="Y288">
        <f>IF(X288&lt;&gt;"",IF(K288&lt;&gt;"",K288&amp;" ("&amp;M288&amp;")",M288),"")</f>
      </c>
      <c r="Z288">
        <f>IF(O288="Sí",COUNTIFS($D$2:D288,D288,$O$2:O288,"Sí"),"")</f>
      </c>
      <c r="AA288">
        <f>IF(Z288&lt;&gt;"",D288&amp;"|"&amp;Z288,"")</f>
      </c>
      <c r="AB288">
        <f>IF(AA288&lt;&gt;"",IF(K288&lt;&gt;"",K288&amp;" ("&amp;M288&amp;")",M288),"")</f>
      </c>
      <c r="AC288">
        <f>IF($B288="","fecha, ","")&amp;IF($C288="","quién lo introduce, ","")&amp;IF($I288="","motivo, ","")&amp;IF($K288="","docente, ","")&amp;IF($L288="","horario, ","")&amp;IF($N288="","duración, ","")&amp;IF($Q288="","estado, ","")&amp;IF(AND($I288="Otros",$J288=""),"detalle del motivo, ","")&amp;IF(AND($O288="Sí",$P288=""),"detalle del refuerzo, ","")&amp;IF(AND(OR($I288="Renuncia (hasta 30 nov)",$I288="Baja (desde 1 dic)",$I288="Renuncia excepcional (art. 25.3)",$I288="Traslado de expediente"),OR($E288="",$F288="",$G288="")),"quién deja la plaza, ","")&amp;IF(AND($Q288="No disponible",$R288=""),"vía de cobertura, ","")&amp;IF(AND(OR($R288="Lista de espera · propio centro",$R288="Traslado de expediente",$R288="Lista de espera · otro centro"),OR($S288="",$T288="",$U288="")),"quién ocupa la plaza, ","")</f>
      </c>
      <c r="AD288" s="24">
        <f>IF($D288="","",IF(AND(LEN($AC288)=0,LEN($AK288)=0),"Completa",IF(LEN($AC288)=0,"Revisar: "&amp;LEFT($AK288,LEN($AK288)-2),"Falta: "&amp;LEFT($AC288,LEN($AC288)-2)&amp;IF(LEN($AK288)&gt;0,"  ·  Revisar: "&amp;LEFT($AK288,LEN($AK288)-2),""))))</f>
      </c>
      <c r="AE288">
        <f>IF(AND($D288&lt;&gt;"",OR($I288="Renuncia (hasta 30 nov)",$I288="Baja (desde 1 dic)",$I288="Renuncia excepcional (art. 25.3)",$I288="Traslado de expediente")),COUNTIF($AE$1:AE287,"&gt;0")+1,"")</f>
      </c>
      <c r="AF288">
        <f>IF($Q288="Disponible",COUNTIF($AF$1:AF287,"&gt;0")+1,"")</f>
      </c>
      <c r="AG288">
        <f>IF($O288="Sí",COUNTIF($AG$1:AG287,"&gt;0")+1,"")</f>
      </c>
      <c r="AH288">
        <f>IF(AND($Q288="Disponible",$O288&lt;&gt;"Sí"),COUNTIF($AH$1:AH287,"&gt;0")+1,"")</f>
      </c>
      <c r="AI288">
        <f>IF(AND($Q288="Disponible",$K288&lt;&gt;""),COUNTIFS($K$2:K288,K288,$Q$2:Q288,"Disponible"),"")</f>
      </c>
      <c r="AJ288">
        <f>IF(AI288&lt;&gt;"",K288&amp;"|"&amp;AI288,"")</f>
      </c>
      <c r="AK288">
        <f>IF(AND($Q288="No disponible",OR($R288="Lista de espera · propio centro",$R288="Traslado de expediente",$R288="Lista de espera · otro centro"),$O288="Sí"),"la plaza ya tiene alumno y sigue marcada como refuerzo, ","")&amp;IF(AND($R288="Reconvertida en refuerzo",$O288&lt;&gt;"Sí"),"reconvertida en refuerzo pero sin marcar «En uso como refuerzo», ","")</f>
      </c>
    </row>
    <row r="289" spans="1:37">
      <c r="A289" s="20">
        <f>IF(D289&lt;&gt;"",ROW()-1,"")</f>
      </c>
      <c r="B289" s="55"/>
      <c r="C289" s="56"/>
      <c r="D289" s="56"/>
      <c r="E289" s="56"/>
      <c r="F289" s="56"/>
      <c r="G289" s="56"/>
      <c r="H289" s="56"/>
      <c r="I289" s="56"/>
      <c r="J289" s="57"/>
      <c r="K289" s="56"/>
      <c r="L289" s="58"/>
      <c r="M289" s="58">
        <f>IF(L289="","",L289)</f>
      </c>
      <c r="N289" s="56"/>
      <c r="O289" s="56"/>
      <c r="P289" s="57"/>
      <c r="Q289" s="56"/>
      <c r="R289" s="56"/>
      <c r="S289" s="56"/>
      <c r="T289" s="56"/>
      <c r="U289" s="56"/>
      <c r="V289" s="57"/>
      <c r="W289">
        <f>IF(Q289="Disponible",COUNTIFS($D$2:D289,D289,$Q$2:Q289,"Disponible"),"")</f>
      </c>
      <c r="X289">
        <f>IF(W289&lt;&gt;"",D289&amp;"|"&amp;W289,"")</f>
      </c>
      <c r="Y289">
        <f>IF(X289&lt;&gt;"",IF(K289&lt;&gt;"",K289&amp;" ("&amp;M289&amp;")",M289),"")</f>
      </c>
      <c r="Z289">
        <f>IF(O289="Sí",COUNTIFS($D$2:D289,D289,$O$2:O289,"Sí"),"")</f>
      </c>
      <c r="AA289">
        <f>IF(Z289&lt;&gt;"",D289&amp;"|"&amp;Z289,"")</f>
      </c>
      <c r="AB289">
        <f>IF(AA289&lt;&gt;"",IF(K289&lt;&gt;"",K289&amp;" ("&amp;M289&amp;")",M289),"")</f>
      </c>
      <c r="AC289">
        <f>IF($B289="","fecha, ","")&amp;IF($C289="","quién lo introduce, ","")&amp;IF($I289="","motivo, ","")&amp;IF($K289="","docente, ","")&amp;IF($L289="","horario, ","")&amp;IF($N289="","duración, ","")&amp;IF($Q289="","estado, ","")&amp;IF(AND($I289="Otros",$J289=""),"detalle del motivo, ","")&amp;IF(AND($O289="Sí",$P289=""),"detalle del refuerzo, ","")&amp;IF(AND(OR($I289="Renuncia (hasta 30 nov)",$I289="Baja (desde 1 dic)",$I289="Renuncia excepcional (art. 25.3)",$I289="Traslado de expediente"),OR($E289="",$F289="",$G289="")),"quién deja la plaza, ","")&amp;IF(AND($Q289="No disponible",$R289=""),"vía de cobertura, ","")&amp;IF(AND(OR($R289="Lista de espera · propio centro",$R289="Traslado de expediente",$R289="Lista de espera · otro centro"),OR($S289="",$T289="",$U289="")),"quién ocupa la plaza, ","")</f>
      </c>
      <c r="AD289" s="24">
        <f>IF($D289="","",IF(AND(LEN($AC289)=0,LEN($AK289)=0),"Completa",IF(LEN($AC289)=0,"Revisar: "&amp;LEFT($AK289,LEN($AK289)-2),"Falta: "&amp;LEFT($AC289,LEN($AC289)-2)&amp;IF(LEN($AK289)&gt;0,"  ·  Revisar: "&amp;LEFT($AK289,LEN($AK289)-2),""))))</f>
      </c>
      <c r="AE289">
        <f>IF(AND($D289&lt;&gt;"",OR($I289="Renuncia (hasta 30 nov)",$I289="Baja (desde 1 dic)",$I289="Renuncia excepcional (art. 25.3)",$I289="Traslado de expediente")),COUNTIF($AE$1:AE288,"&gt;0")+1,"")</f>
      </c>
      <c r="AF289">
        <f>IF($Q289="Disponible",COUNTIF($AF$1:AF288,"&gt;0")+1,"")</f>
      </c>
      <c r="AG289">
        <f>IF($O289="Sí",COUNTIF($AG$1:AG288,"&gt;0")+1,"")</f>
      </c>
      <c r="AH289">
        <f>IF(AND($Q289="Disponible",$O289&lt;&gt;"Sí"),COUNTIF($AH$1:AH288,"&gt;0")+1,"")</f>
      </c>
      <c r="AI289">
        <f>IF(AND($Q289="Disponible",$K289&lt;&gt;""),COUNTIFS($K$2:K289,K289,$Q$2:Q289,"Disponible"),"")</f>
      </c>
      <c r="AJ289">
        <f>IF(AI289&lt;&gt;"",K289&amp;"|"&amp;AI289,"")</f>
      </c>
      <c r="AK289">
        <f>IF(AND($Q289="No disponible",OR($R289="Lista de espera · propio centro",$R289="Traslado de expediente",$R289="Lista de espera · otro centro"),$O289="Sí"),"la plaza ya tiene alumno y sigue marcada como refuerzo, ","")&amp;IF(AND($R289="Reconvertida en refuerzo",$O289&lt;&gt;"Sí"),"reconvertida en refuerzo pero sin marcar «En uso como refuerzo», ","")</f>
      </c>
    </row>
    <row r="290" spans="1:37">
      <c r="A290" s="20">
        <f>IF(D290&lt;&gt;"",ROW()-1,"")</f>
      </c>
      <c r="B290" s="55"/>
      <c r="C290" s="56"/>
      <c r="D290" s="56"/>
      <c r="E290" s="56"/>
      <c r="F290" s="56"/>
      <c r="G290" s="56"/>
      <c r="H290" s="56"/>
      <c r="I290" s="56"/>
      <c r="J290" s="57"/>
      <c r="K290" s="56"/>
      <c r="L290" s="58"/>
      <c r="M290" s="58">
        <f>IF(L290="","",L290)</f>
      </c>
      <c r="N290" s="56"/>
      <c r="O290" s="56"/>
      <c r="P290" s="57"/>
      <c r="Q290" s="56"/>
      <c r="R290" s="56"/>
      <c r="S290" s="56"/>
      <c r="T290" s="56"/>
      <c r="U290" s="56"/>
      <c r="V290" s="57"/>
      <c r="W290">
        <f>IF(Q290="Disponible",COUNTIFS($D$2:D290,D290,$Q$2:Q290,"Disponible"),"")</f>
      </c>
      <c r="X290">
        <f>IF(W290&lt;&gt;"",D290&amp;"|"&amp;W290,"")</f>
      </c>
      <c r="Y290">
        <f>IF(X290&lt;&gt;"",IF(K290&lt;&gt;"",K290&amp;" ("&amp;M290&amp;")",M290),"")</f>
      </c>
      <c r="Z290">
        <f>IF(O290="Sí",COUNTIFS($D$2:D290,D290,$O$2:O290,"Sí"),"")</f>
      </c>
      <c r="AA290">
        <f>IF(Z290&lt;&gt;"",D290&amp;"|"&amp;Z290,"")</f>
      </c>
      <c r="AB290">
        <f>IF(AA290&lt;&gt;"",IF(K290&lt;&gt;"",K290&amp;" ("&amp;M290&amp;")",M290),"")</f>
      </c>
      <c r="AC290">
        <f>IF($B290="","fecha, ","")&amp;IF($C290="","quién lo introduce, ","")&amp;IF($I290="","motivo, ","")&amp;IF($K290="","docente, ","")&amp;IF($L290="","horario, ","")&amp;IF($N290="","duración, ","")&amp;IF($Q290="","estado, ","")&amp;IF(AND($I290="Otros",$J290=""),"detalle del motivo, ","")&amp;IF(AND($O290="Sí",$P290=""),"detalle del refuerzo, ","")&amp;IF(AND(OR($I290="Renuncia (hasta 30 nov)",$I290="Baja (desde 1 dic)",$I290="Renuncia excepcional (art. 25.3)",$I290="Traslado de expediente"),OR($E290="",$F290="",$G290="")),"quién deja la plaza, ","")&amp;IF(AND($Q290="No disponible",$R290=""),"vía de cobertura, ","")&amp;IF(AND(OR($R290="Lista de espera · propio centro",$R290="Traslado de expediente",$R290="Lista de espera · otro centro"),OR($S290="",$T290="",$U290="")),"quién ocupa la plaza, ","")</f>
      </c>
      <c r="AD290" s="24">
        <f>IF($D290="","",IF(AND(LEN($AC290)=0,LEN($AK290)=0),"Completa",IF(LEN($AC290)=0,"Revisar: "&amp;LEFT($AK290,LEN($AK290)-2),"Falta: "&amp;LEFT($AC290,LEN($AC290)-2)&amp;IF(LEN($AK290)&gt;0,"  ·  Revisar: "&amp;LEFT($AK290,LEN($AK290)-2),""))))</f>
      </c>
      <c r="AE290">
        <f>IF(AND($D290&lt;&gt;"",OR($I290="Renuncia (hasta 30 nov)",$I290="Baja (desde 1 dic)",$I290="Renuncia excepcional (art. 25.3)",$I290="Traslado de expediente")),COUNTIF($AE$1:AE289,"&gt;0")+1,"")</f>
      </c>
      <c r="AF290">
        <f>IF($Q290="Disponible",COUNTIF($AF$1:AF289,"&gt;0")+1,"")</f>
      </c>
      <c r="AG290">
        <f>IF($O290="Sí",COUNTIF($AG$1:AG289,"&gt;0")+1,"")</f>
      </c>
      <c r="AH290">
        <f>IF(AND($Q290="Disponible",$O290&lt;&gt;"Sí"),COUNTIF($AH$1:AH289,"&gt;0")+1,"")</f>
      </c>
      <c r="AI290">
        <f>IF(AND($Q290="Disponible",$K290&lt;&gt;""),COUNTIFS($K$2:K290,K290,$Q$2:Q290,"Disponible"),"")</f>
      </c>
      <c r="AJ290">
        <f>IF(AI290&lt;&gt;"",K290&amp;"|"&amp;AI290,"")</f>
      </c>
      <c r="AK290">
        <f>IF(AND($Q290="No disponible",OR($R290="Lista de espera · propio centro",$R290="Traslado de expediente",$R290="Lista de espera · otro centro"),$O290="Sí"),"la plaza ya tiene alumno y sigue marcada como refuerzo, ","")&amp;IF(AND($R290="Reconvertida en refuerzo",$O290&lt;&gt;"Sí"),"reconvertida en refuerzo pero sin marcar «En uso como refuerzo», ","")</f>
      </c>
    </row>
    <row r="291" spans="1:37">
      <c r="A291" s="20">
        <f>IF(D291&lt;&gt;"",ROW()-1,"")</f>
      </c>
      <c r="B291" s="55"/>
      <c r="C291" s="56"/>
      <c r="D291" s="56"/>
      <c r="E291" s="56"/>
      <c r="F291" s="56"/>
      <c r="G291" s="56"/>
      <c r="H291" s="56"/>
      <c r="I291" s="56"/>
      <c r="J291" s="57"/>
      <c r="K291" s="56"/>
      <c r="L291" s="58"/>
      <c r="M291" s="58">
        <f>IF(L291="","",L291)</f>
      </c>
      <c r="N291" s="56"/>
      <c r="O291" s="56"/>
      <c r="P291" s="57"/>
      <c r="Q291" s="56"/>
      <c r="R291" s="56"/>
      <c r="S291" s="56"/>
      <c r="T291" s="56"/>
      <c r="U291" s="56"/>
      <c r="V291" s="57"/>
      <c r="W291">
        <f>IF(Q291="Disponible",COUNTIFS($D$2:D291,D291,$Q$2:Q291,"Disponible"),"")</f>
      </c>
      <c r="X291">
        <f>IF(W291&lt;&gt;"",D291&amp;"|"&amp;W291,"")</f>
      </c>
      <c r="Y291">
        <f>IF(X291&lt;&gt;"",IF(K291&lt;&gt;"",K291&amp;" ("&amp;M291&amp;")",M291),"")</f>
      </c>
      <c r="Z291">
        <f>IF(O291="Sí",COUNTIFS($D$2:D291,D291,$O$2:O291,"Sí"),"")</f>
      </c>
      <c r="AA291">
        <f>IF(Z291&lt;&gt;"",D291&amp;"|"&amp;Z291,"")</f>
      </c>
      <c r="AB291">
        <f>IF(AA291&lt;&gt;"",IF(K291&lt;&gt;"",K291&amp;" ("&amp;M291&amp;")",M291),"")</f>
      </c>
      <c r="AC291">
        <f>IF($B291="","fecha, ","")&amp;IF($C291="","quién lo introduce, ","")&amp;IF($I291="","motivo, ","")&amp;IF($K291="","docente, ","")&amp;IF($L291="","horario, ","")&amp;IF($N291="","duración, ","")&amp;IF($Q291="","estado, ","")&amp;IF(AND($I291="Otros",$J291=""),"detalle del motivo, ","")&amp;IF(AND($O291="Sí",$P291=""),"detalle del refuerzo, ","")&amp;IF(AND(OR($I291="Renuncia (hasta 30 nov)",$I291="Baja (desde 1 dic)",$I291="Renuncia excepcional (art. 25.3)",$I291="Traslado de expediente"),OR($E291="",$F291="",$G291="")),"quién deja la plaza, ","")&amp;IF(AND($Q291="No disponible",$R291=""),"vía de cobertura, ","")&amp;IF(AND(OR($R291="Lista de espera · propio centro",$R291="Traslado de expediente",$R291="Lista de espera · otro centro"),OR($S291="",$T291="",$U291="")),"quién ocupa la plaza, ","")</f>
      </c>
      <c r="AD291" s="24">
        <f>IF($D291="","",IF(AND(LEN($AC291)=0,LEN($AK291)=0),"Completa",IF(LEN($AC291)=0,"Revisar: "&amp;LEFT($AK291,LEN($AK291)-2),"Falta: "&amp;LEFT($AC291,LEN($AC291)-2)&amp;IF(LEN($AK291)&gt;0,"  ·  Revisar: "&amp;LEFT($AK291,LEN($AK291)-2),""))))</f>
      </c>
      <c r="AE291">
        <f>IF(AND($D291&lt;&gt;"",OR($I291="Renuncia (hasta 30 nov)",$I291="Baja (desde 1 dic)",$I291="Renuncia excepcional (art. 25.3)",$I291="Traslado de expediente")),COUNTIF($AE$1:AE290,"&gt;0")+1,"")</f>
      </c>
      <c r="AF291">
        <f>IF($Q291="Disponible",COUNTIF($AF$1:AF290,"&gt;0")+1,"")</f>
      </c>
      <c r="AG291">
        <f>IF($O291="Sí",COUNTIF($AG$1:AG290,"&gt;0")+1,"")</f>
      </c>
      <c r="AH291">
        <f>IF(AND($Q291="Disponible",$O291&lt;&gt;"Sí"),COUNTIF($AH$1:AH290,"&gt;0")+1,"")</f>
      </c>
      <c r="AI291">
        <f>IF(AND($Q291="Disponible",$K291&lt;&gt;""),COUNTIFS($K$2:K291,K291,$Q$2:Q291,"Disponible"),"")</f>
      </c>
      <c r="AJ291">
        <f>IF(AI291&lt;&gt;"",K291&amp;"|"&amp;AI291,"")</f>
      </c>
      <c r="AK291">
        <f>IF(AND($Q291="No disponible",OR($R291="Lista de espera · propio centro",$R291="Traslado de expediente",$R291="Lista de espera · otro centro"),$O291="Sí"),"la plaza ya tiene alumno y sigue marcada como refuerzo, ","")&amp;IF(AND($R291="Reconvertida en refuerzo",$O291&lt;&gt;"Sí"),"reconvertida en refuerzo pero sin marcar «En uso como refuerzo», ","")</f>
      </c>
    </row>
    <row r="292" spans="1:37">
      <c r="A292" s="20">
        <f>IF(D292&lt;&gt;"",ROW()-1,"")</f>
      </c>
      <c r="B292" s="55"/>
      <c r="C292" s="56"/>
      <c r="D292" s="56"/>
      <c r="E292" s="56"/>
      <c r="F292" s="56"/>
      <c r="G292" s="56"/>
      <c r="H292" s="56"/>
      <c r="I292" s="56"/>
      <c r="J292" s="57"/>
      <c r="K292" s="56"/>
      <c r="L292" s="58"/>
      <c r="M292" s="58">
        <f>IF(L292="","",L292)</f>
      </c>
      <c r="N292" s="56"/>
      <c r="O292" s="56"/>
      <c r="P292" s="57"/>
      <c r="Q292" s="56"/>
      <c r="R292" s="56"/>
      <c r="S292" s="56"/>
      <c r="T292" s="56"/>
      <c r="U292" s="56"/>
      <c r="V292" s="57"/>
      <c r="W292">
        <f>IF(Q292="Disponible",COUNTIFS($D$2:D292,D292,$Q$2:Q292,"Disponible"),"")</f>
      </c>
      <c r="X292">
        <f>IF(W292&lt;&gt;"",D292&amp;"|"&amp;W292,"")</f>
      </c>
      <c r="Y292">
        <f>IF(X292&lt;&gt;"",IF(K292&lt;&gt;"",K292&amp;" ("&amp;M292&amp;")",M292),"")</f>
      </c>
      <c r="Z292">
        <f>IF(O292="Sí",COUNTIFS($D$2:D292,D292,$O$2:O292,"Sí"),"")</f>
      </c>
      <c r="AA292">
        <f>IF(Z292&lt;&gt;"",D292&amp;"|"&amp;Z292,"")</f>
      </c>
      <c r="AB292">
        <f>IF(AA292&lt;&gt;"",IF(K292&lt;&gt;"",K292&amp;" ("&amp;M292&amp;")",M292),"")</f>
      </c>
      <c r="AC292">
        <f>IF($B292="","fecha, ","")&amp;IF($C292="","quién lo introduce, ","")&amp;IF($I292="","motivo, ","")&amp;IF($K292="","docente, ","")&amp;IF($L292="","horario, ","")&amp;IF($N292="","duración, ","")&amp;IF($Q292="","estado, ","")&amp;IF(AND($I292="Otros",$J292=""),"detalle del motivo, ","")&amp;IF(AND($O292="Sí",$P292=""),"detalle del refuerzo, ","")&amp;IF(AND(OR($I292="Renuncia (hasta 30 nov)",$I292="Baja (desde 1 dic)",$I292="Renuncia excepcional (art. 25.3)",$I292="Traslado de expediente"),OR($E292="",$F292="",$G292="")),"quién deja la plaza, ","")&amp;IF(AND($Q292="No disponible",$R292=""),"vía de cobertura, ","")&amp;IF(AND(OR($R292="Lista de espera · propio centro",$R292="Traslado de expediente",$R292="Lista de espera · otro centro"),OR($S292="",$T292="",$U292="")),"quién ocupa la plaza, ","")</f>
      </c>
      <c r="AD292" s="24">
        <f>IF($D292="","",IF(AND(LEN($AC292)=0,LEN($AK292)=0),"Completa",IF(LEN($AC292)=0,"Revisar: "&amp;LEFT($AK292,LEN($AK292)-2),"Falta: "&amp;LEFT($AC292,LEN($AC292)-2)&amp;IF(LEN($AK292)&gt;0,"  ·  Revisar: "&amp;LEFT($AK292,LEN($AK292)-2),""))))</f>
      </c>
      <c r="AE292">
        <f>IF(AND($D292&lt;&gt;"",OR($I292="Renuncia (hasta 30 nov)",$I292="Baja (desde 1 dic)",$I292="Renuncia excepcional (art. 25.3)",$I292="Traslado de expediente")),COUNTIF($AE$1:AE291,"&gt;0")+1,"")</f>
      </c>
      <c r="AF292">
        <f>IF($Q292="Disponible",COUNTIF($AF$1:AF291,"&gt;0")+1,"")</f>
      </c>
      <c r="AG292">
        <f>IF($O292="Sí",COUNTIF($AG$1:AG291,"&gt;0")+1,"")</f>
      </c>
      <c r="AH292">
        <f>IF(AND($Q292="Disponible",$O292&lt;&gt;"Sí"),COUNTIF($AH$1:AH291,"&gt;0")+1,"")</f>
      </c>
      <c r="AI292">
        <f>IF(AND($Q292="Disponible",$K292&lt;&gt;""),COUNTIFS($K$2:K292,K292,$Q$2:Q292,"Disponible"),"")</f>
      </c>
      <c r="AJ292">
        <f>IF(AI292&lt;&gt;"",K292&amp;"|"&amp;AI292,"")</f>
      </c>
      <c r="AK292">
        <f>IF(AND($Q292="No disponible",OR($R292="Lista de espera · propio centro",$R292="Traslado de expediente",$R292="Lista de espera · otro centro"),$O292="Sí"),"la plaza ya tiene alumno y sigue marcada como refuerzo, ","")&amp;IF(AND($R292="Reconvertida en refuerzo",$O292&lt;&gt;"Sí"),"reconvertida en refuerzo pero sin marcar «En uso como refuerzo», ","")</f>
      </c>
    </row>
    <row r="293" spans="1:37">
      <c r="A293" s="20">
        <f>IF(D293&lt;&gt;"",ROW()-1,"")</f>
      </c>
      <c r="B293" s="55"/>
      <c r="C293" s="56"/>
      <c r="D293" s="56"/>
      <c r="E293" s="56"/>
      <c r="F293" s="56"/>
      <c r="G293" s="56"/>
      <c r="H293" s="56"/>
      <c r="I293" s="56"/>
      <c r="J293" s="57"/>
      <c r="K293" s="56"/>
      <c r="L293" s="58"/>
      <c r="M293" s="58">
        <f>IF(L293="","",L293)</f>
      </c>
      <c r="N293" s="56"/>
      <c r="O293" s="56"/>
      <c r="P293" s="57"/>
      <c r="Q293" s="56"/>
      <c r="R293" s="56"/>
      <c r="S293" s="56"/>
      <c r="T293" s="56"/>
      <c r="U293" s="56"/>
      <c r="V293" s="57"/>
      <c r="W293">
        <f>IF(Q293="Disponible",COUNTIFS($D$2:D293,D293,$Q$2:Q293,"Disponible"),"")</f>
      </c>
      <c r="X293">
        <f>IF(W293&lt;&gt;"",D293&amp;"|"&amp;W293,"")</f>
      </c>
      <c r="Y293">
        <f>IF(X293&lt;&gt;"",IF(K293&lt;&gt;"",K293&amp;" ("&amp;M293&amp;")",M293),"")</f>
      </c>
      <c r="Z293">
        <f>IF(O293="Sí",COUNTIFS($D$2:D293,D293,$O$2:O293,"Sí"),"")</f>
      </c>
      <c r="AA293">
        <f>IF(Z293&lt;&gt;"",D293&amp;"|"&amp;Z293,"")</f>
      </c>
      <c r="AB293">
        <f>IF(AA293&lt;&gt;"",IF(K293&lt;&gt;"",K293&amp;" ("&amp;M293&amp;")",M293),"")</f>
      </c>
      <c r="AC293">
        <f>IF($B293="","fecha, ","")&amp;IF($C293="","quién lo introduce, ","")&amp;IF($I293="","motivo, ","")&amp;IF($K293="","docente, ","")&amp;IF($L293="","horario, ","")&amp;IF($N293="","duración, ","")&amp;IF($Q293="","estado, ","")&amp;IF(AND($I293="Otros",$J293=""),"detalle del motivo, ","")&amp;IF(AND($O293="Sí",$P293=""),"detalle del refuerzo, ","")&amp;IF(AND(OR($I293="Renuncia (hasta 30 nov)",$I293="Baja (desde 1 dic)",$I293="Renuncia excepcional (art. 25.3)",$I293="Traslado de expediente"),OR($E293="",$F293="",$G293="")),"quién deja la plaza, ","")&amp;IF(AND($Q293="No disponible",$R293=""),"vía de cobertura, ","")&amp;IF(AND(OR($R293="Lista de espera · propio centro",$R293="Traslado de expediente",$R293="Lista de espera · otro centro"),OR($S293="",$T293="",$U293="")),"quién ocupa la plaza, ","")</f>
      </c>
      <c r="AD293" s="24">
        <f>IF($D293="","",IF(AND(LEN($AC293)=0,LEN($AK293)=0),"Completa",IF(LEN($AC293)=0,"Revisar: "&amp;LEFT($AK293,LEN($AK293)-2),"Falta: "&amp;LEFT($AC293,LEN($AC293)-2)&amp;IF(LEN($AK293)&gt;0,"  ·  Revisar: "&amp;LEFT($AK293,LEN($AK293)-2),""))))</f>
      </c>
      <c r="AE293">
        <f>IF(AND($D293&lt;&gt;"",OR($I293="Renuncia (hasta 30 nov)",$I293="Baja (desde 1 dic)",$I293="Renuncia excepcional (art. 25.3)",$I293="Traslado de expediente")),COUNTIF($AE$1:AE292,"&gt;0")+1,"")</f>
      </c>
      <c r="AF293">
        <f>IF($Q293="Disponible",COUNTIF($AF$1:AF292,"&gt;0")+1,"")</f>
      </c>
      <c r="AG293">
        <f>IF($O293="Sí",COUNTIF($AG$1:AG292,"&gt;0")+1,"")</f>
      </c>
      <c r="AH293">
        <f>IF(AND($Q293="Disponible",$O293&lt;&gt;"Sí"),COUNTIF($AH$1:AH292,"&gt;0")+1,"")</f>
      </c>
      <c r="AI293">
        <f>IF(AND($Q293="Disponible",$K293&lt;&gt;""),COUNTIFS($K$2:K293,K293,$Q$2:Q293,"Disponible"),"")</f>
      </c>
      <c r="AJ293">
        <f>IF(AI293&lt;&gt;"",K293&amp;"|"&amp;AI293,"")</f>
      </c>
      <c r="AK293">
        <f>IF(AND($Q293="No disponible",OR($R293="Lista de espera · propio centro",$R293="Traslado de expediente",$R293="Lista de espera · otro centro"),$O293="Sí"),"la plaza ya tiene alumno y sigue marcada como refuerzo, ","")&amp;IF(AND($R293="Reconvertida en refuerzo",$O293&lt;&gt;"Sí"),"reconvertida en refuerzo pero sin marcar «En uso como refuerzo», ","")</f>
      </c>
    </row>
    <row r="294" spans="1:37">
      <c r="A294" s="20">
        <f>IF(D294&lt;&gt;"",ROW()-1,"")</f>
      </c>
      <c r="B294" s="55"/>
      <c r="C294" s="56"/>
      <c r="D294" s="56"/>
      <c r="E294" s="56"/>
      <c r="F294" s="56"/>
      <c r="G294" s="56"/>
      <c r="H294" s="56"/>
      <c r="I294" s="56"/>
      <c r="J294" s="57"/>
      <c r="K294" s="56"/>
      <c r="L294" s="58"/>
      <c r="M294" s="58">
        <f>IF(L294="","",L294)</f>
      </c>
      <c r="N294" s="56"/>
      <c r="O294" s="56"/>
      <c r="P294" s="57"/>
      <c r="Q294" s="56"/>
      <c r="R294" s="56"/>
      <c r="S294" s="56"/>
      <c r="T294" s="56"/>
      <c r="U294" s="56"/>
      <c r="V294" s="57"/>
      <c r="W294">
        <f>IF(Q294="Disponible",COUNTIFS($D$2:D294,D294,$Q$2:Q294,"Disponible"),"")</f>
      </c>
      <c r="X294">
        <f>IF(W294&lt;&gt;"",D294&amp;"|"&amp;W294,"")</f>
      </c>
      <c r="Y294">
        <f>IF(X294&lt;&gt;"",IF(K294&lt;&gt;"",K294&amp;" ("&amp;M294&amp;")",M294),"")</f>
      </c>
      <c r="Z294">
        <f>IF(O294="Sí",COUNTIFS($D$2:D294,D294,$O$2:O294,"Sí"),"")</f>
      </c>
      <c r="AA294">
        <f>IF(Z294&lt;&gt;"",D294&amp;"|"&amp;Z294,"")</f>
      </c>
      <c r="AB294">
        <f>IF(AA294&lt;&gt;"",IF(K294&lt;&gt;"",K294&amp;" ("&amp;M294&amp;")",M294),"")</f>
      </c>
      <c r="AC294">
        <f>IF($B294="","fecha, ","")&amp;IF($C294="","quién lo introduce, ","")&amp;IF($I294="","motivo, ","")&amp;IF($K294="","docente, ","")&amp;IF($L294="","horario, ","")&amp;IF($N294="","duración, ","")&amp;IF($Q294="","estado, ","")&amp;IF(AND($I294="Otros",$J294=""),"detalle del motivo, ","")&amp;IF(AND($O294="Sí",$P294=""),"detalle del refuerzo, ","")&amp;IF(AND(OR($I294="Renuncia (hasta 30 nov)",$I294="Baja (desde 1 dic)",$I294="Renuncia excepcional (art. 25.3)",$I294="Traslado de expediente"),OR($E294="",$F294="",$G294="")),"quién deja la plaza, ","")&amp;IF(AND($Q294="No disponible",$R294=""),"vía de cobertura, ","")&amp;IF(AND(OR($R294="Lista de espera · propio centro",$R294="Traslado de expediente",$R294="Lista de espera · otro centro"),OR($S294="",$T294="",$U294="")),"quién ocupa la plaza, ","")</f>
      </c>
      <c r="AD294" s="24">
        <f>IF($D294="","",IF(AND(LEN($AC294)=0,LEN($AK294)=0),"Completa",IF(LEN($AC294)=0,"Revisar: "&amp;LEFT($AK294,LEN($AK294)-2),"Falta: "&amp;LEFT($AC294,LEN($AC294)-2)&amp;IF(LEN($AK294)&gt;0,"  ·  Revisar: "&amp;LEFT($AK294,LEN($AK294)-2),""))))</f>
      </c>
      <c r="AE294">
        <f>IF(AND($D294&lt;&gt;"",OR($I294="Renuncia (hasta 30 nov)",$I294="Baja (desde 1 dic)",$I294="Renuncia excepcional (art. 25.3)",$I294="Traslado de expediente")),COUNTIF($AE$1:AE293,"&gt;0")+1,"")</f>
      </c>
      <c r="AF294">
        <f>IF($Q294="Disponible",COUNTIF($AF$1:AF293,"&gt;0")+1,"")</f>
      </c>
      <c r="AG294">
        <f>IF($O294="Sí",COUNTIF($AG$1:AG293,"&gt;0")+1,"")</f>
      </c>
      <c r="AH294">
        <f>IF(AND($Q294="Disponible",$O294&lt;&gt;"Sí"),COUNTIF($AH$1:AH293,"&gt;0")+1,"")</f>
      </c>
      <c r="AI294">
        <f>IF(AND($Q294="Disponible",$K294&lt;&gt;""),COUNTIFS($K$2:K294,K294,$Q$2:Q294,"Disponible"),"")</f>
      </c>
      <c r="AJ294">
        <f>IF(AI294&lt;&gt;"",K294&amp;"|"&amp;AI294,"")</f>
      </c>
      <c r="AK294">
        <f>IF(AND($Q294="No disponible",OR($R294="Lista de espera · propio centro",$R294="Traslado de expediente",$R294="Lista de espera · otro centro"),$O294="Sí"),"la plaza ya tiene alumno y sigue marcada como refuerzo, ","")&amp;IF(AND($R294="Reconvertida en refuerzo",$O294&lt;&gt;"Sí"),"reconvertida en refuerzo pero sin marcar «En uso como refuerzo», ","")</f>
      </c>
    </row>
    <row r="295" spans="1:37">
      <c r="A295" s="20">
        <f>IF(D295&lt;&gt;"",ROW()-1,"")</f>
      </c>
      <c r="B295" s="55"/>
      <c r="C295" s="56"/>
      <c r="D295" s="56"/>
      <c r="E295" s="56"/>
      <c r="F295" s="56"/>
      <c r="G295" s="56"/>
      <c r="H295" s="56"/>
      <c r="I295" s="56"/>
      <c r="J295" s="57"/>
      <c r="K295" s="56"/>
      <c r="L295" s="58"/>
      <c r="M295" s="58">
        <f>IF(L295="","",L295)</f>
      </c>
      <c r="N295" s="56"/>
      <c r="O295" s="56"/>
      <c r="P295" s="57"/>
      <c r="Q295" s="56"/>
      <c r="R295" s="56"/>
      <c r="S295" s="56"/>
      <c r="T295" s="56"/>
      <c r="U295" s="56"/>
      <c r="V295" s="57"/>
      <c r="W295">
        <f>IF(Q295="Disponible",COUNTIFS($D$2:D295,D295,$Q$2:Q295,"Disponible"),"")</f>
      </c>
      <c r="X295">
        <f>IF(W295&lt;&gt;"",D295&amp;"|"&amp;W295,"")</f>
      </c>
      <c r="Y295">
        <f>IF(X295&lt;&gt;"",IF(K295&lt;&gt;"",K295&amp;" ("&amp;M295&amp;")",M295),"")</f>
      </c>
      <c r="Z295">
        <f>IF(O295="Sí",COUNTIFS($D$2:D295,D295,$O$2:O295,"Sí"),"")</f>
      </c>
      <c r="AA295">
        <f>IF(Z295&lt;&gt;"",D295&amp;"|"&amp;Z295,"")</f>
      </c>
      <c r="AB295">
        <f>IF(AA295&lt;&gt;"",IF(K295&lt;&gt;"",K295&amp;" ("&amp;M295&amp;")",M295),"")</f>
      </c>
      <c r="AC295">
        <f>IF($B295="","fecha, ","")&amp;IF($C295="","quién lo introduce, ","")&amp;IF($I295="","motivo, ","")&amp;IF($K295="","docente, ","")&amp;IF($L295="","horario, ","")&amp;IF($N295="","duración, ","")&amp;IF($Q295="","estado, ","")&amp;IF(AND($I295="Otros",$J295=""),"detalle del motivo, ","")&amp;IF(AND($O295="Sí",$P295=""),"detalle del refuerzo, ","")&amp;IF(AND(OR($I295="Renuncia (hasta 30 nov)",$I295="Baja (desde 1 dic)",$I295="Renuncia excepcional (art. 25.3)",$I295="Traslado de expediente"),OR($E295="",$F295="",$G295="")),"quién deja la plaza, ","")&amp;IF(AND($Q295="No disponible",$R295=""),"vía de cobertura, ","")&amp;IF(AND(OR($R295="Lista de espera · propio centro",$R295="Traslado de expediente",$R295="Lista de espera · otro centro"),OR($S295="",$T295="",$U295="")),"quién ocupa la plaza, ","")</f>
      </c>
      <c r="AD295" s="24">
        <f>IF($D295="","",IF(AND(LEN($AC295)=0,LEN($AK295)=0),"Completa",IF(LEN($AC295)=0,"Revisar: "&amp;LEFT($AK295,LEN($AK295)-2),"Falta: "&amp;LEFT($AC295,LEN($AC295)-2)&amp;IF(LEN($AK295)&gt;0,"  ·  Revisar: "&amp;LEFT($AK295,LEN($AK295)-2),""))))</f>
      </c>
      <c r="AE295">
        <f>IF(AND($D295&lt;&gt;"",OR($I295="Renuncia (hasta 30 nov)",$I295="Baja (desde 1 dic)",$I295="Renuncia excepcional (art. 25.3)",$I295="Traslado de expediente")),COUNTIF($AE$1:AE294,"&gt;0")+1,"")</f>
      </c>
      <c r="AF295">
        <f>IF($Q295="Disponible",COUNTIF($AF$1:AF294,"&gt;0")+1,"")</f>
      </c>
      <c r="AG295">
        <f>IF($O295="Sí",COUNTIF($AG$1:AG294,"&gt;0")+1,"")</f>
      </c>
      <c r="AH295">
        <f>IF(AND($Q295="Disponible",$O295&lt;&gt;"Sí"),COUNTIF($AH$1:AH294,"&gt;0")+1,"")</f>
      </c>
      <c r="AI295">
        <f>IF(AND($Q295="Disponible",$K295&lt;&gt;""),COUNTIFS($K$2:K295,K295,$Q$2:Q295,"Disponible"),"")</f>
      </c>
      <c r="AJ295">
        <f>IF(AI295&lt;&gt;"",K295&amp;"|"&amp;AI295,"")</f>
      </c>
      <c r="AK295">
        <f>IF(AND($Q295="No disponible",OR($R295="Lista de espera · propio centro",$R295="Traslado de expediente",$R295="Lista de espera · otro centro"),$O295="Sí"),"la plaza ya tiene alumno y sigue marcada como refuerzo, ","")&amp;IF(AND($R295="Reconvertida en refuerzo",$O295&lt;&gt;"Sí"),"reconvertida en refuerzo pero sin marcar «En uso como refuerzo», ","")</f>
      </c>
    </row>
    <row r="296" spans="1:37">
      <c r="A296" s="20">
        <f>IF(D296&lt;&gt;"",ROW()-1,"")</f>
      </c>
      <c r="B296" s="55"/>
      <c r="C296" s="56"/>
      <c r="D296" s="56"/>
      <c r="E296" s="56"/>
      <c r="F296" s="56"/>
      <c r="G296" s="56"/>
      <c r="H296" s="56"/>
      <c r="I296" s="56"/>
      <c r="J296" s="57"/>
      <c r="K296" s="56"/>
      <c r="L296" s="58"/>
      <c r="M296" s="58">
        <f>IF(L296="","",L296)</f>
      </c>
      <c r="N296" s="56"/>
      <c r="O296" s="56"/>
      <c r="P296" s="57"/>
      <c r="Q296" s="56"/>
      <c r="R296" s="56"/>
      <c r="S296" s="56"/>
      <c r="T296" s="56"/>
      <c r="U296" s="56"/>
      <c r="V296" s="57"/>
      <c r="W296">
        <f>IF(Q296="Disponible",COUNTIFS($D$2:D296,D296,$Q$2:Q296,"Disponible"),"")</f>
      </c>
      <c r="X296">
        <f>IF(W296&lt;&gt;"",D296&amp;"|"&amp;W296,"")</f>
      </c>
      <c r="Y296">
        <f>IF(X296&lt;&gt;"",IF(K296&lt;&gt;"",K296&amp;" ("&amp;M296&amp;")",M296),"")</f>
      </c>
      <c r="Z296">
        <f>IF(O296="Sí",COUNTIFS($D$2:D296,D296,$O$2:O296,"Sí"),"")</f>
      </c>
      <c r="AA296">
        <f>IF(Z296&lt;&gt;"",D296&amp;"|"&amp;Z296,"")</f>
      </c>
      <c r="AB296">
        <f>IF(AA296&lt;&gt;"",IF(K296&lt;&gt;"",K296&amp;" ("&amp;M296&amp;")",M296),"")</f>
      </c>
      <c r="AC296">
        <f>IF($B296="","fecha, ","")&amp;IF($C296="","quién lo introduce, ","")&amp;IF($I296="","motivo, ","")&amp;IF($K296="","docente, ","")&amp;IF($L296="","horario, ","")&amp;IF($N296="","duración, ","")&amp;IF($Q296="","estado, ","")&amp;IF(AND($I296="Otros",$J296=""),"detalle del motivo, ","")&amp;IF(AND($O296="Sí",$P296=""),"detalle del refuerzo, ","")&amp;IF(AND(OR($I296="Renuncia (hasta 30 nov)",$I296="Baja (desde 1 dic)",$I296="Renuncia excepcional (art. 25.3)",$I296="Traslado de expediente"),OR($E296="",$F296="",$G296="")),"quién deja la plaza, ","")&amp;IF(AND($Q296="No disponible",$R296=""),"vía de cobertura, ","")&amp;IF(AND(OR($R296="Lista de espera · propio centro",$R296="Traslado de expediente",$R296="Lista de espera · otro centro"),OR($S296="",$T296="",$U296="")),"quién ocupa la plaza, ","")</f>
      </c>
      <c r="AD296" s="24">
        <f>IF($D296="","",IF(AND(LEN($AC296)=0,LEN($AK296)=0),"Completa",IF(LEN($AC296)=0,"Revisar: "&amp;LEFT($AK296,LEN($AK296)-2),"Falta: "&amp;LEFT($AC296,LEN($AC296)-2)&amp;IF(LEN($AK296)&gt;0,"  ·  Revisar: "&amp;LEFT($AK296,LEN($AK296)-2),""))))</f>
      </c>
      <c r="AE296">
        <f>IF(AND($D296&lt;&gt;"",OR($I296="Renuncia (hasta 30 nov)",$I296="Baja (desde 1 dic)",$I296="Renuncia excepcional (art. 25.3)",$I296="Traslado de expediente")),COUNTIF($AE$1:AE295,"&gt;0")+1,"")</f>
      </c>
      <c r="AF296">
        <f>IF($Q296="Disponible",COUNTIF($AF$1:AF295,"&gt;0")+1,"")</f>
      </c>
      <c r="AG296">
        <f>IF($O296="Sí",COUNTIF($AG$1:AG295,"&gt;0")+1,"")</f>
      </c>
      <c r="AH296">
        <f>IF(AND($Q296="Disponible",$O296&lt;&gt;"Sí"),COUNTIF($AH$1:AH295,"&gt;0")+1,"")</f>
      </c>
      <c r="AI296">
        <f>IF(AND($Q296="Disponible",$K296&lt;&gt;""),COUNTIFS($K$2:K296,K296,$Q$2:Q296,"Disponible"),"")</f>
      </c>
      <c r="AJ296">
        <f>IF(AI296&lt;&gt;"",K296&amp;"|"&amp;AI296,"")</f>
      </c>
      <c r="AK296">
        <f>IF(AND($Q296="No disponible",OR($R296="Lista de espera · propio centro",$R296="Traslado de expediente",$R296="Lista de espera · otro centro"),$O296="Sí"),"la plaza ya tiene alumno y sigue marcada como refuerzo, ","")&amp;IF(AND($R296="Reconvertida en refuerzo",$O296&lt;&gt;"Sí"),"reconvertida en refuerzo pero sin marcar «En uso como refuerzo», ","")</f>
      </c>
    </row>
    <row r="297" spans="1:37">
      <c r="A297" s="20">
        <f>IF(D297&lt;&gt;"",ROW()-1,"")</f>
      </c>
      <c r="B297" s="55"/>
      <c r="C297" s="56"/>
      <c r="D297" s="56"/>
      <c r="E297" s="56"/>
      <c r="F297" s="56"/>
      <c r="G297" s="56"/>
      <c r="H297" s="56"/>
      <c r="I297" s="56"/>
      <c r="J297" s="57"/>
      <c r="K297" s="56"/>
      <c r="L297" s="58"/>
      <c r="M297" s="58">
        <f>IF(L297="","",L297)</f>
      </c>
      <c r="N297" s="56"/>
      <c r="O297" s="56"/>
      <c r="P297" s="57"/>
      <c r="Q297" s="56"/>
      <c r="R297" s="56"/>
      <c r="S297" s="56"/>
      <c r="T297" s="56"/>
      <c r="U297" s="56"/>
      <c r="V297" s="57"/>
      <c r="W297">
        <f>IF(Q297="Disponible",COUNTIFS($D$2:D297,D297,$Q$2:Q297,"Disponible"),"")</f>
      </c>
      <c r="X297">
        <f>IF(W297&lt;&gt;"",D297&amp;"|"&amp;W297,"")</f>
      </c>
      <c r="Y297">
        <f>IF(X297&lt;&gt;"",IF(K297&lt;&gt;"",K297&amp;" ("&amp;M297&amp;")",M297),"")</f>
      </c>
      <c r="Z297">
        <f>IF(O297="Sí",COUNTIFS($D$2:D297,D297,$O$2:O297,"Sí"),"")</f>
      </c>
      <c r="AA297">
        <f>IF(Z297&lt;&gt;"",D297&amp;"|"&amp;Z297,"")</f>
      </c>
      <c r="AB297">
        <f>IF(AA297&lt;&gt;"",IF(K297&lt;&gt;"",K297&amp;" ("&amp;M297&amp;")",M297),"")</f>
      </c>
      <c r="AC297">
        <f>IF($B297="","fecha, ","")&amp;IF($C297="","quién lo introduce, ","")&amp;IF($I297="","motivo, ","")&amp;IF($K297="","docente, ","")&amp;IF($L297="","horario, ","")&amp;IF($N297="","duración, ","")&amp;IF($Q297="","estado, ","")&amp;IF(AND($I297="Otros",$J297=""),"detalle del motivo, ","")&amp;IF(AND($O297="Sí",$P297=""),"detalle del refuerzo, ","")&amp;IF(AND(OR($I297="Renuncia (hasta 30 nov)",$I297="Baja (desde 1 dic)",$I297="Renuncia excepcional (art. 25.3)",$I297="Traslado de expediente"),OR($E297="",$F297="",$G297="")),"quién deja la plaza, ","")&amp;IF(AND($Q297="No disponible",$R297=""),"vía de cobertura, ","")&amp;IF(AND(OR($R297="Lista de espera · propio centro",$R297="Traslado de expediente",$R297="Lista de espera · otro centro"),OR($S297="",$T297="",$U297="")),"quién ocupa la plaza, ","")</f>
      </c>
      <c r="AD297" s="24">
        <f>IF($D297="","",IF(AND(LEN($AC297)=0,LEN($AK297)=0),"Completa",IF(LEN($AC297)=0,"Revisar: "&amp;LEFT($AK297,LEN($AK297)-2),"Falta: "&amp;LEFT($AC297,LEN($AC297)-2)&amp;IF(LEN($AK297)&gt;0,"  ·  Revisar: "&amp;LEFT($AK297,LEN($AK297)-2),""))))</f>
      </c>
      <c r="AE297">
        <f>IF(AND($D297&lt;&gt;"",OR($I297="Renuncia (hasta 30 nov)",$I297="Baja (desde 1 dic)",$I297="Renuncia excepcional (art. 25.3)",$I297="Traslado de expediente")),COUNTIF($AE$1:AE296,"&gt;0")+1,"")</f>
      </c>
      <c r="AF297">
        <f>IF($Q297="Disponible",COUNTIF($AF$1:AF296,"&gt;0")+1,"")</f>
      </c>
      <c r="AG297">
        <f>IF($O297="Sí",COUNTIF($AG$1:AG296,"&gt;0")+1,"")</f>
      </c>
      <c r="AH297">
        <f>IF(AND($Q297="Disponible",$O297&lt;&gt;"Sí"),COUNTIF($AH$1:AH296,"&gt;0")+1,"")</f>
      </c>
      <c r="AI297">
        <f>IF(AND($Q297="Disponible",$K297&lt;&gt;""),COUNTIFS($K$2:K297,K297,$Q$2:Q297,"Disponible"),"")</f>
      </c>
      <c r="AJ297">
        <f>IF(AI297&lt;&gt;"",K297&amp;"|"&amp;AI297,"")</f>
      </c>
      <c r="AK297">
        <f>IF(AND($Q297="No disponible",OR($R297="Lista de espera · propio centro",$R297="Traslado de expediente",$R297="Lista de espera · otro centro"),$O297="Sí"),"la plaza ya tiene alumno y sigue marcada como refuerzo, ","")&amp;IF(AND($R297="Reconvertida en refuerzo",$O297&lt;&gt;"Sí"),"reconvertida en refuerzo pero sin marcar «En uso como refuerzo», ","")</f>
      </c>
    </row>
    <row r="298" spans="1:37">
      <c r="A298" s="20">
        <f>IF(D298&lt;&gt;"",ROW()-1,"")</f>
      </c>
      <c r="B298" s="55"/>
      <c r="C298" s="56"/>
      <c r="D298" s="56"/>
      <c r="E298" s="56"/>
      <c r="F298" s="56"/>
      <c r="G298" s="56"/>
      <c r="H298" s="56"/>
      <c r="I298" s="56"/>
      <c r="J298" s="57"/>
      <c r="K298" s="56"/>
      <c r="L298" s="58"/>
      <c r="M298" s="58">
        <f>IF(L298="","",L298)</f>
      </c>
      <c r="N298" s="56"/>
      <c r="O298" s="56"/>
      <c r="P298" s="57"/>
      <c r="Q298" s="56"/>
      <c r="R298" s="56"/>
      <c r="S298" s="56"/>
      <c r="T298" s="56"/>
      <c r="U298" s="56"/>
      <c r="V298" s="57"/>
      <c r="W298">
        <f>IF(Q298="Disponible",COUNTIFS($D$2:D298,D298,$Q$2:Q298,"Disponible"),"")</f>
      </c>
      <c r="X298">
        <f>IF(W298&lt;&gt;"",D298&amp;"|"&amp;W298,"")</f>
      </c>
      <c r="Y298">
        <f>IF(X298&lt;&gt;"",IF(K298&lt;&gt;"",K298&amp;" ("&amp;M298&amp;")",M298),"")</f>
      </c>
      <c r="Z298">
        <f>IF(O298="Sí",COUNTIFS($D$2:D298,D298,$O$2:O298,"Sí"),"")</f>
      </c>
      <c r="AA298">
        <f>IF(Z298&lt;&gt;"",D298&amp;"|"&amp;Z298,"")</f>
      </c>
      <c r="AB298">
        <f>IF(AA298&lt;&gt;"",IF(K298&lt;&gt;"",K298&amp;" ("&amp;M298&amp;")",M298),"")</f>
      </c>
      <c r="AC298">
        <f>IF($B298="","fecha, ","")&amp;IF($C298="","quién lo introduce, ","")&amp;IF($I298="","motivo, ","")&amp;IF($K298="","docente, ","")&amp;IF($L298="","horario, ","")&amp;IF($N298="","duración, ","")&amp;IF($Q298="","estado, ","")&amp;IF(AND($I298="Otros",$J298=""),"detalle del motivo, ","")&amp;IF(AND($O298="Sí",$P298=""),"detalle del refuerzo, ","")&amp;IF(AND(OR($I298="Renuncia (hasta 30 nov)",$I298="Baja (desde 1 dic)",$I298="Renuncia excepcional (art. 25.3)",$I298="Traslado de expediente"),OR($E298="",$F298="",$G298="")),"quién deja la plaza, ","")&amp;IF(AND($Q298="No disponible",$R298=""),"vía de cobertura, ","")&amp;IF(AND(OR($R298="Lista de espera · propio centro",$R298="Traslado de expediente",$R298="Lista de espera · otro centro"),OR($S298="",$T298="",$U298="")),"quién ocupa la plaza, ","")</f>
      </c>
      <c r="AD298" s="24">
        <f>IF($D298="","",IF(AND(LEN($AC298)=0,LEN($AK298)=0),"Completa",IF(LEN($AC298)=0,"Revisar: "&amp;LEFT($AK298,LEN($AK298)-2),"Falta: "&amp;LEFT($AC298,LEN($AC298)-2)&amp;IF(LEN($AK298)&gt;0,"  ·  Revisar: "&amp;LEFT($AK298,LEN($AK298)-2),""))))</f>
      </c>
      <c r="AE298">
        <f>IF(AND($D298&lt;&gt;"",OR($I298="Renuncia (hasta 30 nov)",$I298="Baja (desde 1 dic)",$I298="Renuncia excepcional (art. 25.3)",$I298="Traslado de expediente")),COUNTIF($AE$1:AE297,"&gt;0")+1,"")</f>
      </c>
      <c r="AF298">
        <f>IF($Q298="Disponible",COUNTIF($AF$1:AF297,"&gt;0")+1,"")</f>
      </c>
      <c r="AG298">
        <f>IF($O298="Sí",COUNTIF($AG$1:AG297,"&gt;0")+1,"")</f>
      </c>
      <c r="AH298">
        <f>IF(AND($Q298="Disponible",$O298&lt;&gt;"Sí"),COUNTIF($AH$1:AH297,"&gt;0")+1,"")</f>
      </c>
      <c r="AI298">
        <f>IF(AND($Q298="Disponible",$K298&lt;&gt;""),COUNTIFS($K$2:K298,K298,$Q$2:Q298,"Disponible"),"")</f>
      </c>
      <c r="AJ298">
        <f>IF(AI298&lt;&gt;"",K298&amp;"|"&amp;AI298,"")</f>
      </c>
      <c r="AK298">
        <f>IF(AND($Q298="No disponible",OR($R298="Lista de espera · propio centro",$R298="Traslado de expediente",$R298="Lista de espera · otro centro"),$O298="Sí"),"la plaza ya tiene alumno y sigue marcada como refuerzo, ","")&amp;IF(AND($R298="Reconvertida en refuerzo",$O298&lt;&gt;"Sí"),"reconvertida en refuerzo pero sin marcar «En uso como refuerzo», ","")</f>
      </c>
    </row>
    <row r="299" spans="1:37">
      <c r="A299" s="20">
        <f>IF(D299&lt;&gt;"",ROW()-1,"")</f>
      </c>
      <c r="B299" s="55"/>
      <c r="C299" s="56"/>
      <c r="D299" s="56"/>
      <c r="E299" s="56"/>
      <c r="F299" s="56"/>
      <c r="G299" s="56"/>
      <c r="H299" s="56"/>
      <c r="I299" s="56"/>
      <c r="J299" s="57"/>
      <c r="K299" s="56"/>
      <c r="L299" s="58"/>
      <c r="M299" s="58">
        <f>IF(L299="","",L299)</f>
      </c>
      <c r="N299" s="56"/>
      <c r="O299" s="56"/>
      <c r="P299" s="57"/>
      <c r="Q299" s="56"/>
      <c r="R299" s="56"/>
      <c r="S299" s="56"/>
      <c r="T299" s="56"/>
      <c r="U299" s="56"/>
      <c r="V299" s="57"/>
      <c r="W299">
        <f>IF(Q299="Disponible",COUNTIFS($D$2:D299,D299,$Q$2:Q299,"Disponible"),"")</f>
      </c>
      <c r="X299">
        <f>IF(W299&lt;&gt;"",D299&amp;"|"&amp;W299,"")</f>
      </c>
      <c r="Y299">
        <f>IF(X299&lt;&gt;"",IF(K299&lt;&gt;"",K299&amp;" ("&amp;M299&amp;")",M299),"")</f>
      </c>
      <c r="Z299">
        <f>IF(O299="Sí",COUNTIFS($D$2:D299,D299,$O$2:O299,"Sí"),"")</f>
      </c>
      <c r="AA299">
        <f>IF(Z299&lt;&gt;"",D299&amp;"|"&amp;Z299,"")</f>
      </c>
      <c r="AB299">
        <f>IF(AA299&lt;&gt;"",IF(K299&lt;&gt;"",K299&amp;" ("&amp;M299&amp;")",M299),"")</f>
      </c>
      <c r="AC299">
        <f>IF($B299="","fecha, ","")&amp;IF($C299="","quién lo introduce, ","")&amp;IF($I299="","motivo, ","")&amp;IF($K299="","docente, ","")&amp;IF($L299="","horario, ","")&amp;IF($N299="","duración, ","")&amp;IF($Q299="","estado, ","")&amp;IF(AND($I299="Otros",$J299=""),"detalle del motivo, ","")&amp;IF(AND($O299="Sí",$P299=""),"detalle del refuerzo, ","")&amp;IF(AND(OR($I299="Renuncia (hasta 30 nov)",$I299="Baja (desde 1 dic)",$I299="Renuncia excepcional (art. 25.3)",$I299="Traslado de expediente"),OR($E299="",$F299="",$G299="")),"quién deja la plaza, ","")&amp;IF(AND($Q299="No disponible",$R299=""),"vía de cobertura, ","")&amp;IF(AND(OR($R299="Lista de espera · propio centro",$R299="Traslado de expediente",$R299="Lista de espera · otro centro"),OR($S299="",$T299="",$U299="")),"quién ocupa la plaza, ","")</f>
      </c>
      <c r="AD299" s="24">
        <f>IF($D299="","",IF(AND(LEN($AC299)=0,LEN($AK299)=0),"Completa",IF(LEN($AC299)=0,"Revisar: "&amp;LEFT($AK299,LEN($AK299)-2),"Falta: "&amp;LEFT($AC299,LEN($AC299)-2)&amp;IF(LEN($AK299)&gt;0,"  ·  Revisar: "&amp;LEFT($AK299,LEN($AK299)-2),""))))</f>
      </c>
      <c r="AE299">
        <f>IF(AND($D299&lt;&gt;"",OR($I299="Renuncia (hasta 30 nov)",$I299="Baja (desde 1 dic)",$I299="Renuncia excepcional (art. 25.3)",$I299="Traslado de expediente")),COUNTIF($AE$1:AE298,"&gt;0")+1,"")</f>
      </c>
      <c r="AF299">
        <f>IF($Q299="Disponible",COUNTIF($AF$1:AF298,"&gt;0")+1,"")</f>
      </c>
      <c r="AG299">
        <f>IF($O299="Sí",COUNTIF($AG$1:AG298,"&gt;0")+1,"")</f>
      </c>
      <c r="AH299">
        <f>IF(AND($Q299="Disponible",$O299&lt;&gt;"Sí"),COUNTIF($AH$1:AH298,"&gt;0")+1,"")</f>
      </c>
      <c r="AI299">
        <f>IF(AND($Q299="Disponible",$K299&lt;&gt;""),COUNTIFS($K$2:K299,K299,$Q$2:Q299,"Disponible"),"")</f>
      </c>
      <c r="AJ299">
        <f>IF(AI299&lt;&gt;"",K299&amp;"|"&amp;AI299,"")</f>
      </c>
      <c r="AK299">
        <f>IF(AND($Q299="No disponible",OR($R299="Lista de espera · propio centro",$R299="Traslado de expediente",$R299="Lista de espera · otro centro"),$O299="Sí"),"la plaza ya tiene alumno y sigue marcada como refuerzo, ","")&amp;IF(AND($R299="Reconvertida en refuerzo",$O299&lt;&gt;"Sí"),"reconvertida en refuerzo pero sin marcar «En uso como refuerzo», ","")</f>
      </c>
    </row>
    <row r="300" spans="1:37">
      <c r="A300" s="20">
        <f>IF(D300&lt;&gt;"",ROW()-1,"")</f>
      </c>
      <c r="B300" s="55"/>
      <c r="C300" s="56"/>
      <c r="D300" s="56"/>
      <c r="E300" s="56"/>
      <c r="F300" s="56"/>
      <c r="G300" s="56"/>
      <c r="H300" s="56"/>
      <c r="I300" s="56"/>
      <c r="J300" s="57"/>
      <c r="K300" s="56"/>
      <c r="L300" s="58"/>
      <c r="M300" s="58">
        <f>IF(L300="","",L300)</f>
      </c>
      <c r="N300" s="56"/>
      <c r="O300" s="56"/>
      <c r="P300" s="57"/>
      <c r="Q300" s="56"/>
      <c r="R300" s="56"/>
      <c r="S300" s="56"/>
      <c r="T300" s="56"/>
      <c r="U300" s="56"/>
      <c r="V300" s="57"/>
      <c r="W300">
        <f>IF(Q300="Disponible",COUNTIFS($D$2:D300,D300,$Q$2:Q300,"Disponible"),"")</f>
      </c>
      <c r="X300">
        <f>IF(W300&lt;&gt;"",D300&amp;"|"&amp;W300,"")</f>
      </c>
      <c r="Y300">
        <f>IF(X300&lt;&gt;"",IF(K300&lt;&gt;"",K300&amp;" ("&amp;M300&amp;")",M300),"")</f>
      </c>
      <c r="Z300">
        <f>IF(O300="Sí",COUNTIFS($D$2:D300,D300,$O$2:O300,"Sí"),"")</f>
      </c>
      <c r="AA300">
        <f>IF(Z300&lt;&gt;"",D300&amp;"|"&amp;Z300,"")</f>
      </c>
      <c r="AB300">
        <f>IF(AA300&lt;&gt;"",IF(K300&lt;&gt;"",K300&amp;" ("&amp;M300&amp;")",M300),"")</f>
      </c>
      <c r="AC300">
        <f>IF($B300="","fecha, ","")&amp;IF($C300="","quién lo introduce, ","")&amp;IF($I300="","motivo, ","")&amp;IF($K300="","docente, ","")&amp;IF($L300="","horario, ","")&amp;IF($N300="","duración, ","")&amp;IF($Q300="","estado, ","")&amp;IF(AND($I300="Otros",$J300=""),"detalle del motivo, ","")&amp;IF(AND($O300="Sí",$P300=""),"detalle del refuerzo, ","")&amp;IF(AND(OR($I300="Renuncia (hasta 30 nov)",$I300="Baja (desde 1 dic)",$I300="Renuncia excepcional (art. 25.3)",$I300="Traslado de expediente"),OR($E300="",$F300="",$G300="")),"quién deja la plaza, ","")&amp;IF(AND($Q300="No disponible",$R300=""),"vía de cobertura, ","")&amp;IF(AND(OR($R300="Lista de espera · propio centro",$R300="Traslado de expediente",$R300="Lista de espera · otro centro"),OR($S300="",$T300="",$U300="")),"quién ocupa la plaza, ","")</f>
      </c>
      <c r="AD300" s="24">
        <f>IF($D300="","",IF(AND(LEN($AC300)=0,LEN($AK300)=0),"Completa",IF(LEN($AC300)=0,"Revisar: "&amp;LEFT($AK300,LEN($AK300)-2),"Falta: "&amp;LEFT($AC300,LEN($AC300)-2)&amp;IF(LEN($AK300)&gt;0,"  ·  Revisar: "&amp;LEFT($AK300,LEN($AK300)-2),""))))</f>
      </c>
      <c r="AE300">
        <f>IF(AND($D300&lt;&gt;"",OR($I300="Renuncia (hasta 30 nov)",$I300="Baja (desde 1 dic)",$I300="Renuncia excepcional (art. 25.3)",$I300="Traslado de expediente")),COUNTIF($AE$1:AE299,"&gt;0")+1,"")</f>
      </c>
      <c r="AF300">
        <f>IF($Q300="Disponible",COUNTIF($AF$1:AF299,"&gt;0")+1,"")</f>
      </c>
      <c r="AG300">
        <f>IF($O300="Sí",COUNTIF($AG$1:AG299,"&gt;0")+1,"")</f>
      </c>
      <c r="AH300">
        <f>IF(AND($Q300="Disponible",$O300&lt;&gt;"Sí"),COUNTIF($AH$1:AH299,"&gt;0")+1,"")</f>
      </c>
      <c r="AI300">
        <f>IF(AND($Q300="Disponible",$K300&lt;&gt;""),COUNTIFS($K$2:K300,K300,$Q$2:Q300,"Disponible"),"")</f>
      </c>
      <c r="AJ300">
        <f>IF(AI300&lt;&gt;"",K300&amp;"|"&amp;AI300,"")</f>
      </c>
      <c r="AK300">
        <f>IF(AND($Q300="No disponible",OR($R300="Lista de espera · propio centro",$R300="Traslado de expediente",$R300="Lista de espera · otro centro"),$O300="Sí"),"la plaza ya tiene alumno y sigue marcada como refuerzo, ","")&amp;IF(AND($R300="Reconvertida en refuerzo",$O300&lt;&gt;"Sí"),"reconvertida en refuerzo pero sin marcar «En uso como refuerzo», ","")</f>
      </c>
    </row>
    <row r="301" spans="1:37">
      <c r="A301" s="20">
        <f>IF(D301&lt;&gt;"",ROW()-1,"")</f>
      </c>
      <c r="B301" s="55"/>
      <c r="C301" s="56"/>
      <c r="D301" s="56"/>
      <c r="E301" s="56"/>
      <c r="F301" s="56"/>
      <c r="G301" s="56"/>
      <c r="H301" s="56"/>
      <c r="I301" s="56"/>
      <c r="J301" s="57"/>
      <c r="K301" s="56"/>
      <c r="L301" s="58"/>
      <c r="M301" s="58">
        <f>IF(L301="","",L301)</f>
      </c>
      <c r="N301" s="56"/>
      <c r="O301" s="56"/>
      <c r="P301" s="57"/>
      <c r="Q301" s="56"/>
      <c r="R301" s="56"/>
      <c r="S301" s="56"/>
      <c r="T301" s="56"/>
      <c r="U301" s="56"/>
      <c r="V301" s="57"/>
      <c r="W301">
        <f>IF(Q301="Disponible",COUNTIFS($D$2:D301,D301,$Q$2:Q301,"Disponible"),"")</f>
      </c>
      <c r="X301">
        <f>IF(W301&lt;&gt;"",D301&amp;"|"&amp;W301,"")</f>
      </c>
      <c r="Y301">
        <f>IF(X301&lt;&gt;"",IF(K301&lt;&gt;"",K301&amp;" ("&amp;M301&amp;")",M301),"")</f>
      </c>
      <c r="Z301">
        <f>IF(O301="Sí",COUNTIFS($D$2:D301,D301,$O$2:O301,"Sí"),"")</f>
      </c>
      <c r="AA301">
        <f>IF(Z301&lt;&gt;"",D301&amp;"|"&amp;Z301,"")</f>
      </c>
      <c r="AB301">
        <f>IF(AA301&lt;&gt;"",IF(K301&lt;&gt;"",K301&amp;" ("&amp;M301&amp;")",M301),"")</f>
      </c>
      <c r="AC301">
        <f>IF($B301="","fecha, ","")&amp;IF($C301="","quién lo introduce, ","")&amp;IF($I301="","motivo, ","")&amp;IF($K301="","docente, ","")&amp;IF($L301="","horario, ","")&amp;IF($N301="","duración, ","")&amp;IF($Q301="","estado, ","")&amp;IF(AND($I301="Otros",$J301=""),"detalle del motivo, ","")&amp;IF(AND($O301="Sí",$P301=""),"detalle del refuerzo, ","")&amp;IF(AND(OR($I301="Renuncia (hasta 30 nov)",$I301="Baja (desde 1 dic)",$I301="Renuncia excepcional (art. 25.3)",$I301="Traslado de expediente"),OR($E301="",$F301="",$G301="")),"quién deja la plaza, ","")&amp;IF(AND($Q301="No disponible",$R301=""),"vía de cobertura, ","")&amp;IF(AND(OR($R301="Lista de espera · propio centro",$R301="Traslado de expediente",$R301="Lista de espera · otro centro"),OR($S301="",$T301="",$U301="")),"quién ocupa la plaza, ","")</f>
      </c>
      <c r="AD301" s="24">
        <f>IF($D301="","",IF(AND(LEN($AC301)=0,LEN($AK301)=0),"Completa",IF(LEN($AC301)=0,"Revisar: "&amp;LEFT($AK301,LEN($AK301)-2),"Falta: "&amp;LEFT($AC301,LEN($AC301)-2)&amp;IF(LEN($AK301)&gt;0,"  ·  Revisar: "&amp;LEFT($AK301,LEN($AK301)-2),""))))</f>
      </c>
      <c r="AE301">
        <f>IF(AND($D301&lt;&gt;"",OR($I301="Renuncia (hasta 30 nov)",$I301="Baja (desde 1 dic)",$I301="Renuncia excepcional (art. 25.3)",$I301="Traslado de expediente")),COUNTIF($AE$1:AE300,"&gt;0")+1,"")</f>
      </c>
      <c r="AF301">
        <f>IF($Q301="Disponible",COUNTIF($AF$1:AF300,"&gt;0")+1,"")</f>
      </c>
      <c r="AG301">
        <f>IF($O301="Sí",COUNTIF($AG$1:AG300,"&gt;0")+1,"")</f>
      </c>
      <c r="AH301">
        <f>IF(AND($Q301="Disponible",$O301&lt;&gt;"Sí"),COUNTIF($AH$1:AH300,"&gt;0")+1,"")</f>
      </c>
      <c r="AI301">
        <f>IF(AND($Q301="Disponible",$K301&lt;&gt;""),COUNTIFS($K$2:K301,K301,$Q$2:Q301,"Disponible"),"")</f>
      </c>
      <c r="AJ301">
        <f>IF(AI301&lt;&gt;"",K301&amp;"|"&amp;AI301,"")</f>
      </c>
      <c r="AK301">
        <f>IF(AND($Q301="No disponible",OR($R301="Lista de espera · propio centro",$R301="Traslado de expediente",$R301="Lista de espera · otro centro"),$O301="Sí"),"la plaza ya tiene alumno y sigue marcada como refuerzo, ","")&amp;IF(AND($R301="Reconvertida en refuerzo",$O301&lt;&gt;"Sí"),"reconvertida en refuerzo pero sin marcar «En uso como refuerzo», ","")</f>
      </c>
    </row>
    <row r="302" spans="1:37">
      <c r="A302" s="20">
        <f>IF(D302&lt;&gt;"",ROW()-1,"")</f>
      </c>
      <c r="B302" s="55"/>
      <c r="C302" s="56"/>
      <c r="D302" s="56"/>
      <c r="E302" s="56"/>
      <c r="F302" s="56"/>
      <c r="G302" s="56"/>
      <c r="H302" s="56"/>
      <c r="I302" s="56"/>
      <c r="J302" s="57"/>
      <c r="K302" s="56"/>
      <c r="L302" s="58"/>
      <c r="M302" s="58">
        <f>IF(L302="","",L302)</f>
      </c>
      <c r="N302" s="56"/>
      <c r="O302" s="56"/>
      <c r="P302" s="57"/>
      <c r="Q302" s="56"/>
      <c r="R302" s="56"/>
      <c r="S302" s="56"/>
      <c r="T302" s="56"/>
      <c r="U302" s="56"/>
      <c r="V302" s="57"/>
      <c r="W302">
        <f>IF(Q302="Disponible",COUNTIFS($D$2:D302,D302,$Q$2:Q302,"Disponible"),"")</f>
      </c>
      <c r="X302">
        <f>IF(W302&lt;&gt;"",D302&amp;"|"&amp;W302,"")</f>
      </c>
      <c r="Y302">
        <f>IF(X302&lt;&gt;"",IF(K302&lt;&gt;"",K302&amp;" ("&amp;M302&amp;")",M302),"")</f>
      </c>
      <c r="Z302">
        <f>IF(O302="Sí",COUNTIFS($D$2:D302,D302,$O$2:O302,"Sí"),"")</f>
      </c>
      <c r="AA302">
        <f>IF(Z302&lt;&gt;"",D302&amp;"|"&amp;Z302,"")</f>
      </c>
      <c r="AB302">
        <f>IF(AA302&lt;&gt;"",IF(K302&lt;&gt;"",K302&amp;" ("&amp;M302&amp;")",M302),"")</f>
      </c>
      <c r="AC302">
        <f>IF($B302="","fecha, ","")&amp;IF($C302="","quién lo introduce, ","")&amp;IF($I302="","motivo, ","")&amp;IF($K302="","docente, ","")&amp;IF($L302="","horario, ","")&amp;IF($N302="","duración, ","")&amp;IF($Q302="","estado, ","")&amp;IF(AND($I302="Otros",$J302=""),"detalle del motivo, ","")&amp;IF(AND($O302="Sí",$P302=""),"detalle del refuerzo, ","")&amp;IF(AND(OR($I302="Renuncia (hasta 30 nov)",$I302="Baja (desde 1 dic)",$I302="Renuncia excepcional (art. 25.3)",$I302="Traslado de expediente"),OR($E302="",$F302="",$G302="")),"quién deja la plaza, ","")&amp;IF(AND($Q302="No disponible",$R302=""),"vía de cobertura, ","")&amp;IF(AND(OR($R302="Lista de espera · propio centro",$R302="Traslado de expediente",$R302="Lista de espera · otro centro"),OR($S302="",$T302="",$U302="")),"quién ocupa la plaza, ","")</f>
      </c>
      <c r="AD302" s="24">
        <f>IF($D302="","",IF(AND(LEN($AC302)=0,LEN($AK302)=0),"Completa",IF(LEN($AC302)=0,"Revisar: "&amp;LEFT($AK302,LEN($AK302)-2),"Falta: "&amp;LEFT($AC302,LEN($AC302)-2)&amp;IF(LEN($AK302)&gt;0,"  ·  Revisar: "&amp;LEFT($AK302,LEN($AK302)-2),""))))</f>
      </c>
      <c r="AE302">
        <f>IF(AND($D302&lt;&gt;"",OR($I302="Renuncia (hasta 30 nov)",$I302="Baja (desde 1 dic)",$I302="Renuncia excepcional (art. 25.3)",$I302="Traslado de expediente")),COUNTIF($AE$1:AE301,"&gt;0")+1,"")</f>
      </c>
      <c r="AF302">
        <f>IF($Q302="Disponible",COUNTIF($AF$1:AF301,"&gt;0")+1,"")</f>
      </c>
      <c r="AG302">
        <f>IF($O302="Sí",COUNTIF($AG$1:AG301,"&gt;0")+1,"")</f>
      </c>
      <c r="AH302">
        <f>IF(AND($Q302="Disponible",$O302&lt;&gt;"Sí"),COUNTIF($AH$1:AH301,"&gt;0")+1,"")</f>
      </c>
      <c r="AI302">
        <f>IF(AND($Q302="Disponible",$K302&lt;&gt;""),COUNTIFS($K$2:K302,K302,$Q$2:Q302,"Disponible"),"")</f>
      </c>
      <c r="AJ302">
        <f>IF(AI302&lt;&gt;"",K302&amp;"|"&amp;AI302,"")</f>
      </c>
      <c r="AK302">
        <f>IF(AND($Q302="No disponible",OR($R302="Lista de espera · propio centro",$R302="Traslado de expediente",$R302="Lista de espera · otro centro"),$O302="Sí"),"la plaza ya tiene alumno y sigue marcada como refuerzo, ","")&amp;IF(AND($R302="Reconvertida en refuerzo",$O302&lt;&gt;"Sí"),"reconvertida en refuerzo pero sin marcar «En uso como refuerzo», ","")</f>
      </c>
    </row>
    <row r="303" spans="1:37">
      <c r="A303" s="20">
        <f>IF(D303&lt;&gt;"",ROW()-1,"")</f>
      </c>
      <c r="B303" s="55"/>
      <c r="C303" s="56"/>
      <c r="D303" s="56"/>
      <c r="E303" s="56"/>
      <c r="F303" s="56"/>
      <c r="G303" s="56"/>
      <c r="H303" s="56"/>
      <c r="I303" s="56"/>
      <c r="J303" s="57"/>
      <c r="K303" s="56"/>
      <c r="L303" s="58"/>
      <c r="M303" s="58">
        <f>IF(L303="","",L303)</f>
      </c>
      <c r="N303" s="56"/>
      <c r="O303" s="56"/>
      <c r="P303" s="57"/>
      <c r="Q303" s="56"/>
      <c r="R303" s="56"/>
      <c r="S303" s="56"/>
      <c r="T303" s="56"/>
      <c r="U303" s="56"/>
      <c r="V303" s="57"/>
      <c r="W303">
        <f>IF(Q303="Disponible",COUNTIFS($D$2:D303,D303,$Q$2:Q303,"Disponible"),"")</f>
      </c>
      <c r="X303">
        <f>IF(W303&lt;&gt;"",D303&amp;"|"&amp;W303,"")</f>
      </c>
      <c r="Y303">
        <f>IF(X303&lt;&gt;"",IF(K303&lt;&gt;"",K303&amp;" ("&amp;M303&amp;")",M303),"")</f>
      </c>
      <c r="Z303">
        <f>IF(O303="Sí",COUNTIFS($D$2:D303,D303,$O$2:O303,"Sí"),"")</f>
      </c>
      <c r="AA303">
        <f>IF(Z303&lt;&gt;"",D303&amp;"|"&amp;Z303,"")</f>
      </c>
      <c r="AB303">
        <f>IF(AA303&lt;&gt;"",IF(K303&lt;&gt;"",K303&amp;" ("&amp;M303&amp;")",M303),"")</f>
      </c>
      <c r="AC303">
        <f>IF($B303="","fecha, ","")&amp;IF($C303="","quién lo introduce, ","")&amp;IF($I303="","motivo, ","")&amp;IF($K303="","docente, ","")&amp;IF($L303="","horario, ","")&amp;IF($N303="","duración, ","")&amp;IF($Q303="","estado, ","")&amp;IF(AND($I303="Otros",$J303=""),"detalle del motivo, ","")&amp;IF(AND($O303="Sí",$P303=""),"detalle del refuerzo, ","")&amp;IF(AND(OR($I303="Renuncia (hasta 30 nov)",$I303="Baja (desde 1 dic)",$I303="Renuncia excepcional (art. 25.3)",$I303="Traslado de expediente"),OR($E303="",$F303="",$G303="")),"quién deja la plaza, ","")&amp;IF(AND($Q303="No disponible",$R303=""),"vía de cobertura, ","")&amp;IF(AND(OR($R303="Lista de espera · propio centro",$R303="Traslado de expediente",$R303="Lista de espera · otro centro"),OR($S303="",$T303="",$U303="")),"quién ocupa la plaza, ","")</f>
      </c>
      <c r="AD303" s="24">
        <f>IF($D303="","",IF(AND(LEN($AC303)=0,LEN($AK303)=0),"Completa",IF(LEN($AC303)=0,"Revisar: "&amp;LEFT($AK303,LEN($AK303)-2),"Falta: "&amp;LEFT($AC303,LEN($AC303)-2)&amp;IF(LEN($AK303)&gt;0,"  ·  Revisar: "&amp;LEFT($AK303,LEN($AK303)-2),""))))</f>
      </c>
      <c r="AE303">
        <f>IF(AND($D303&lt;&gt;"",OR($I303="Renuncia (hasta 30 nov)",$I303="Baja (desde 1 dic)",$I303="Renuncia excepcional (art. 25.3)",$I303="Traslado de expediente")),COUNTIF($AE$1:AE302,"&gt;0")+1,"")</f>
      </c>
      <c r="AF303">
        <f>IF($Q303="Disponible",COUNTIF($AF$1:AF302,"&gt;0")+1,"")</f>
      </c>
      <c r="AG303">
        <f>IF($O303="Sí",COUNTIF($AG$1:AG302,"&gt;0")+1,"")</f>
      </c>
      <c r="AH303">
        <f>IF(AND($Q303="Disponible",$O303&lt;&gt;"Sí"),COUNTIF($AH$1:AH302,"&gt;0")+1,"")</f>
      </c>
      <c r="AI303">
        <f>IF(AND($Q303="Disponible",$K303&lt;&gt;""),COUNTIFS($K$2:K303,K303,$Q$2:Q303,"Disponible"),"")</f>
      </c>
      <c r="AJ303">
        <f>IF(AI303&lt;&gt;"",K303&amp;"|"&amp;AI303,"")</f>
      </c>
      <c r="AK303">
        <f>IF(AND($Q303="No disponible",OR($R303="Lista de espera · propio centro",$R303="Traslado de expediente",$R303="Lista de espera · otro centro"),$O303="Sí"),"la plaza ya tiene alumno y sigue marcada como refuerzo, ","")&amp;IF(AND($R303="Reconvertida en refuerzo",$O303&lt;&gt;"Sí"),"reconvertida en refuerzo pero sin marcar «En uso como refuerzo», ","")</f>
      </c>
    </row>
    <row r="304" spans="1:37">
      <c r="A304" s="20">
        <f>IF(D304&lt;&gt;"",ROW()-1,"")</f>
      </c>
      <c r="B304" s="55"/>
      <c r="C304" s="56"/>
      <c r="D304" s="56"/>
      <c r="E304" s="56"/>
      <c r="F304" s="56"/>
      <c r="G304" s="56"/>
      <c r="H304" s="56"/>
      <c r="I304" s="56"/>
      <c r="J304" s="57"/>
      <c r="K304" s="56"/>
      <c r="L304" s="58"/>
      <c r="M304" s="58">
        <f>IF(L304="","",L304)</f>
      </c>
      <c r="N304" s="56"/>
      <c r="O304" s="56"/>
      <c r="P304" s="57"/>
      <c r="Q304" s="56"/>
      <c r="R304" s="56"/>
      <c r="S304" s="56"/>
      <c r="T304" s="56"/>
      <c r="U304" s="56"/>
      <c r="V304" s="57"/>
      <c r="W304">
        <f>IF(Q304="Disponible",COUNTIFS($D$2:D304,D304,$Q$2:Q304,"Disponible"),"")</f>
      </c>
      <c r="X304">
        <f>IF(W304&lt;&gt;"",D304&amp;"|"&amp;W304,"")</f>
      </c>
      <c r="Y304">
        <f>IF(X304&lt;&gt;"",IF(K304&lt;&gt;"",K304&amp;" ("&amp;M304&amp;")",M304),"")</f>
      </c>
      <c r="Z304">
        <f>IF(O304="Sí",COUNTIFS($D$2:D304,D304,$O$2:O304,"Sí"),"")</f>
      </c>
      <c r="AA304">
        <f>IF(Z304&lt;&gt;"",D304&amp;"|"&amp;Z304,"")</f>
      </c>
      <c r="AB304">
        <f>IF(AA304&lt;&gt;"",IF(K304&lt;&gt;"",K304&amp;" ("&amp;M304&amp;")",M304),"")</f>
      </c>
      <c r="AC304">
        <f>IF($B304="","fecha, ","")&amp;IF($C304="","quién lo introduce, ","")&amp;IF($I304="","motivo, ","")&amp;IF($K304="","docente, ","")&amp;IF($L304="","horario, ","")&amp;IF($N304="","duración, ","")&amp;IF($Q304="","estado, ","")&amp;IF(AND($I304="Otros",$J304=""),"detalle del motivo, ","")&amp;IF(AND($O304="Sí",$P304=""),"detalle del refuerzo, ","")&amp;IF(AND(OR($I304="Renuncia (hasta 30 nov)",$I304="Baja (desde 1 dic)",$I304="Renuncia excepcional (art. 25.3)",$I304="Traslado de expediente"),OR($E304="",$F304="",$G304="")),"quién deja la plaza, ","")&amp;IF(AND($Q304="No disponible",$R304=""),"vía de cobertura, ","")&amp;IF(AND(OR($R304="Lista de espera · propio centro",$R304="Traslado de expediente",$R304="Lista de espera · otro centro"),OR($S304="",$T304="",$U304="")),"quién ocupa la plaza, ","")</f>
      </c>
      <c r="AD304" s="24">
        <f>IF($D304="","",IF(AND(LEN($AC304)=0,LEN($AK304)=0),"Completa",IF(LEN($AC304)=0,"Revisar: "&amp;LEFT($AK304,LEN($AK304)-2),"Falta: "&amp;LEFT($AC304,LEN($AC304)-2)&amp;IF(LEN($AK304)&gt;0,"  ·  Revisar: "&amp;LEFT($AK304,LEN($AK304)-2),""))))</f>
      </c>
      <c r="AE304">
        <f>IF(AND($D304&lt;&gt;"",OR($I304="Renuncia (hasta 30 nov)",$I304="Baja (desde 1 dic)",$I304="Renuncia excepcional (art. 25.3)",$I304="Traslado de expediente")),COUNTIF($AE$1:AE303,"&gt;0")+1,"")</f>
      </c>
      <c r="AF304">
        <f>IF($Q304="Disponible",COUNTIF($AF$1:AF303,"&gt;0")+1,"")</f>
      </c>
      <c r="AG304">
        <f>IF($O304="Sí",COUNTIF($AG$1:AG303,"&gt;0")+1,"")</f>
      </c>
      <c r="AH304">
        <f>IF(AND($Q304="Disponible",$O304&lt;&gt;"Sí"),COUNTIF($AH$1:AH303,"&gt;0")+1,"")</f>
      </c>
      <c r="AI304">
        <f>IF(AND($Q304="Disponible",$K304&lt;&gt;""),COUNTIFS($K$2:K304,K304,$Q$2:Q304,"Disponible"),"")</f>
      </c>
      <c r="AJ304">
        <f>IF(AI304&lt;&gt;"",K304&amp;"|"&amp;AI304,"")</f>
      </c>
      <c r="AK304">
        <f>IF(AND($Q304="No disponible",OR($R304="Lista de espera · propio centro",$R304="Traslado de expediente",$R304="Lista de espera · otro centro"),$O304="Sí"),"la plaza ya tiene alumno y sigue marcada como refuerzo, ","")&amp;IF(AND($R304="Reconvertida en refuerzo",$O304&lt;&gt;"Sí"),"reconvertida en refuerzo pero sin marcar «En uso como refuerzo», ","")</f>
      </c>
    </row>
    <row r="305" spans="1:37">
      <c r="A305" s="20">
        <f>IF(D305&lt;&gt;"",ROW()-1,"")</f>
      </c>
      <c r="B305" s="55"/>
      <c r="C305" s="56"/>
      <c r="D305" s="56"/>
      <c r="E305" s="56"/>
      <c r="F305" s="56"/>
      <c r="G305" s="56"/>
      <c r="H305" s="56"/>
      <c r="I305" s="56"/>
      <c r="J305" s="57"/>
      <c r="K305" s="56"/>
      <c r="L305" s="58"/>
      <c r="M305" s="58">
        <f>IF(L305="","",L305)</f>
      </c>
      <c r="N305" s="56"/>
      <c r="O305" s="56"/>
      <c r="P305" s="57"/>
      <c r="Q305" s="56"/>
      <c r="R305" s="56"/>
      <c r="S305" s="56"/>
      <c r="T305" s="56"/>
      <c r="U305" s="56"/>
      <c r="V305" s="57"/>
      <c r="W305">
        <f>IF(Q305="Disponible",COUNTIFS($D$2:D305,D305,$Q$2:Q305,"Disponible"),"")</f>
      </c>
      <c r="X305">
        <f>IF(W305&lt;&gt;"",D305&amp;"|"&amp;W305,"")</f>
      </c>
      <c r="Y305">
        <f>IF(X305&lt;&gt;"",IF(K305&lt;&gt;"",K305&amp;" ("&amp;M305&amp;")",M305),"")</f>
      </c>
      <c r="Z305">
        <f>IF(O305="Sí",COUNTIFS($D$2:D305,D305,$O$2:O305,"Sí"),"")</f>
      </c>
      <c r="AA305">
        <f>IF(Z305&lt;&gt;"",D305&amp;"|"&amp;Z305,"")</f>
      </c>
      <c r="AB305">
        <f>IF(AA305&lt;&gt;"",IF(K305&lt;&gt;"",K305&amp;" ("&amp;M305&amp;")",M305),"")</f>
      </c>
      <c r="AC305">
        <f>IF($B305="","fecha, ","")&amp;IF($C305="","quién lo introduce, ","")&amp;IF($I305="","motivo, ","")&amp;IF($K305="","docente, ","")&amp;IF($L305="","horario, ","")&amp;IF($N305="","duración, ","")&amp;IF($Q305="","estado, ","")&amp;IF(AND($I305="Otros",$J305=""),"detalle del motivo, ","")&amp;IF(AND($O305="Sí",$P305=""),"detalle del refuerzo, ","")&amp;IF(AND(OR($I305="Renuncia (hasta 30 nov)",$I305="Baja (desde 1 dic)",$I305="Renuncia excepcional (art. 25.3)",$I305="Traslado de expediente"),OR($E305="",$F305="",$G305="")),"quién deja la plaza, ","")&amp;IF(AND($Q305="No disponible",$R305=""),"vía de cobertura, ","")&amp;IF(AND(OR($R305="Lista de espera · propio centro",$R305="Traslado de expediente",$R305="Lista de espera · otro centro"),OR($S305="",$T305="",$U305="")),"quién ocupa la plaza, ","")</f>
      </c>
      <c r="AD305" s="24">
        <f>IF($D305="","",IF(AND(LEN($AC305)=0,LEN($AK305)=0),"Completa",IF(LEN($AC305)=0,"Revisar: "&amp;LEFT($AK305,LEN($AK305)-2),"Falta: "&amp;LEFT($AC305,LEN($AC305)-2)&amp;IF(LEN($AK305)&gt;0,"  ·  Revisar: "&amp;LEFT($AK305,LEN($AK305)-2),""))))</f>
      </c>
      <c r="AE305">
        <f>IF(AND($D305&lt;&gt;"",OR($I305="Renuncia (hasta 30 nov)",$I305="Baja (desde 1 dic)",$I305="Renuncia excepcional (art. 25.3)",$I305="Traslado de expediente")),COUNTIF($AE$1:AE304,"&gt;0")+1,"")</f>
      </c>
      <c r="AF305">
        <f>IF($Q305="Disponible",COUNTIF($AF$1:AF304,"&gt;0")+1,"")</f>
      </c>
      <c r="AG305">
        <f>IF($O305="Sí",COUNTIF($AG$1:AG304,"&gt;0")+1,"")</f>
      </c>
      <c r="AH305">
        <f>IF(AND($Q305="Disponible",$O305&lt;&gt;"Sí"),COUNTIF($AH$1:AH304,"&gt;0")+1,"")</f>
      </c>
      <c r="AI305">
        <f>IF(AND($Q305="Disponible",$K305&lt;&gt;""),COUNTIFS($K$2:K305,K305,$Q$2:Q305,"Disponible"),"")</f>
      </c>
      <c r="AJ305">
        <f>IF(AI305&lt;&gt;"",K305&amp;"|"&amp;AI305,"")</f>
      </c>
      <c r="AK305">
        <f>IF(AND($Q305="No disponible",OR($R305="Lista de espera · propio centro",$R305="Traslado de expediente",$R305="Lista de espera · otro centro"),$O305="Sí"),"la plaza ya tiene alumno y sigue marcada como refuerzo, ","")&amp;IF(AND($R305="Reconvertida en refuerzo",$O305&lt;&gt;"Sí"),"reconvertida en refuerzo pero sin marcar «En uso como refuerzo», ","")</f>
      </c>
    </row>
    <row r="306" spans="1:37">
      <c r="A306" s="20">
        <f>IF(D306&lt;&gt;"",ROW()-1,"")</f>
      </c>
      <c r="B306" s="55"/>
      <c r="C306" s="56"/>
      <c r="D306" s="56"/>
      <c r="E306" s="56"/>
      <c r="F306" s="56"/>
      <c r="G306" s="56"/>
      <c r="H306" s="56"/>
      <c r="I306" s="56"/>
      <c r="J306" s="57"/>
      <c r="K306" s="56"/>
      <c r="L306" s="58"/>
      <c r="M306" s="58">
        <f>IF(L306="","",L306)</f>
      </c>
      <c r="N306" s="56"/>
      <c r="O306" s="56"/>
      <c r="P306" s="57"/>
      <c r="Q306" s="56"/>
      <c r="R306" s="56"/>
      <c r="S306" s="56"/>
      <c r="T306" s="56"/>
      <c r="U306" s="56"/>
      <c r="V306" s="57"/>
      <c r="W306">
        <f>IF(Q306="Disponible",COUNTIFS($D$2:D306,D306,$Q$2:Q306,"Disponible"),"")</f>
      </c>
      <c r="X306">
        <f>IF(W306&lt;&gt;"",D306&amp;"|"&amp;W306,"")</f>
      </c>
      <c r="Y306">
        <f>IF(X306&lt;&gt;"",IF(K306&lt;&gt;"",K306&amp;" ("&amp;M306&amp;")",M306),"")</f>
      </c>
      <c r="Z306">
        <f>IF(O306="Sí",COUNTIFS($D$2:D306,D306,$O$2:O306,"Sí"),"")</f>
      </c>
      <c r="AA306">
        <f>IF(Z306&lt;&gt;"",D306&amp;"|"&amp;Z306,"")</f>
      </c>
      <c r="AB306">
        <f>IF(AA306&lt;&gt;"",IF(K306&lt;&gt;"",K306&amp;" ("&amp;M306&amp;")",M306),"")</f>
      </c>
      <c r="AC306">
        <f>IF($B306="","fecha, ","")&amp;IF($C306="","quién lo introduce, ","")&amp;IF($I306="","motivo, ","")&amp;IF($K306="","docente, ","")&amp;IF($L306="","horario, ","")&amp;IF($N306="","duración, ","")&amp;IF($Q306="","estado, ","")&amp;IF(AND($I306="Otros",$J306=""),"detalle del motivo, ","")&amp;IF(AND($O306="Sí",$P306=""),"detalle del refuerzo, ","")&amp;IF(AND(OR($I306="Renuncia (hasta 30 nov)",$I306="Baja (desde 1 dic)",$I306="Renuncia excepcional (art. 25.3)",$I306="Traslado de expediente"),OR($E306="",$F306="",$G306="")),"quién deja la plaza, ","")&amp;IF(AND($Q306="No disponible",$R306=""),"vía de cobertura, ","")&amp;IF(AND(OR($R306="Lista de espera · propio centro",$R306="Traslado de expediente",$R306="Lista de espera · otro centro"),OR($S306="",$T306="",$U306="")),"quién ocupa la plaza, ","")</f>
      </c>
      <c r="AD306" s="24">
        <f>IF($D306="","",IF(AND(LEN($AC306)=0,LEN($AK306)=0),"Completa",IF(LEN($AC306)=0,"Revisar: "&amp;LEFT($AK306,LEN($AK306)-2),"Falta: "&amp;LEFT($AC306,LEN($AC306)-2)&amp;IF(LEN($AK306)&gt;0,"  ·  Revisar: "&amp;LEFT($AK306,LEN($AK306)-2),""))))</f>
      </c>
      <c r="AE306">
        <f>IF(AND($D306&lt;&gt;"",OR($I306="Renuncia (hasta 30 nov)",$I306="Baja (desde 1 dic)",$I306="Renuncia excepcional (art. 25.3)",$I306="Traslado de expediente")),COUNTIF($AE$1:AE305,"&gt;0")+1,"")</f>
      </c>
      <c r="AF306">
        <f>IF($Q306="Disponible",COUNTIF($AF$1:AF305,"&gt;0")+1,"")</f>
      </c>
      <c r="AG306">
        <f>IF($O306="Sí",COUNTIF($AG$1:AG305,"&gt;0")+1,"")</f>
      </c>
      <c r="AH306">
        <f>IF(AND($Q306="Disponible",$O306&lt;&gt;"Sí"),COUNTIF($AH$1:AH305,"&gt;0")+1,"")</f>
      </c>
      <c r="AI306">
        <f>IF(AND($Q306="Disponible",$K306&lt;&gt;""),COUNTIFS($K$2:K306,K306,$Q$2:Q306,"Disponible"),"")</f>
      </c>
      <c r="AJ306">
        <f>IF(AI306&lt;&gt;"",K306&amp;"|"&amp;AI306,"")</f>
      </c>
      <c r="AK306">
        <f>IF(AND($Q306="No disponible",OR($R306="Lista de espera · propio centro",$R306="Traslado de expediente",$R306="Lista de espera · otro centro"),$O306="Sí"),"la plaza ya tiene alumno y sigue marcada como refuerzo, ","")&amp;IF(AND($R306="Reconvertida en refuerzo",$O306&lt;&gt;"Sí"),"reconvertida en refuerzo pero sin marcar «En uso como refuerzo», ","")</f>
      </c>
    </row>
    <row r="307" spans="1:37">
      <c r="A307" s="20">
        <f>IF(D307&lt;&gt;"",ROW()-1,"")</f>
      </c>
      <c r="B307" s="55"/>
      <c r="C307" s="56"/>
      <c r="D307" s="56"/>
      <c r="E307" s="56"/>
      <c r="F307" s="56"/>
      <c r="G307" s="56"/>
      <c r="H307" s="56"/>
      <c r="I307" s="56"/>
      <c r="J307" s="57"/>
      <c r="K307" s="56"/>
      <c r="L307" s="58"/>
      <c r="M307" s="58">
        <f>IF(L307="","",L307)</f>
      </c>
      <c r="N307" s="56"/>
      <c r="O307" s="56"/>
      <c r="P307" s="57"/>
      <c r="Q307" s="56"/>
      <c r="R307" s="56"/>
      <c r="S307" s="56"/>
      <c r="T307" s="56"/>
      <c r="U307" s="56"/>
      <c r="V307" s="57"/>
      <c r="W307">
        <f>IF(Q307="Disponible",COUNTIFS($D$2:D307,D307,$Q$2:Q307,"Disponible"),"")</f>
      </c>
      <c r="X307">
        <f>IF(W307&lt;&gt;"",D307&amp;"|"&amp;W307,"")</f>
      </c>
      <c r="Y307">
        <f>IF(X307&lt;&gt;"",IF(K307&lt;&gt;"",K307&amp;" ("&amp;M307&amp;")",M307),"")</f>
      </c>
      <c r="Z307">
        <f>IF(O307="Sí",COUNTIFS($D$2:D307,D307,$O$2:O307,"Sí"),"")</f>
      </c>
      <c r="AA307">
        <f>IF(Z307&lt;&gt;"",D307&amp;"|"&amp;Z307,"")</f>
      </c>
      <c r="AB307">
        <f>IF(AA307&lt;&gt;"",IF(K307&lt;&gt;"",K307&amp;" ("&amp;M307&amp;")",M307),"")</f>
      </c>
      <c r="AC307">
        <f>IF($B307="","fecha, ","")&amp;IF($C307="","quién lo introduce, ","")&amp;IF($I307="","motivo, ","")&amp;IF($K307="","docente, ","")&amp;IF($L307="","horario, ","")&amp;IF($N307="","duración, ","")&amp;IF($Q307="","estado, ","")&amp;IF(AND($I307="Otros",$J307=""),"detalle del motivo, ","")&amp;IF(AND($O307="Sí",$P307=""),"detalle del refuerzo, ","")&amp;IF(AND(OR($I307="Renuncia (hasta 30 nov)",$I307="Baja (desde 1 dic)",$I307="Renuncia excepcional (art. 25.3)",$I307="Traslado de expediente"),OR($E307="",$F307="",$G307="")),"quién deja la plaza, ","")&amp;IF(AND($Q307="No disponible",$R307=""),"vía de cobertura, ","")&amp;IF(AND(OR($R307="Lista de espera · propio centro",$R307="Traslado de expediente",$R307="Lista de espera · otro centro"),OR($S307="",$T307="",$U307="")),"quién ocupa la plaza, ","")</f>
      </c>
      <c r="AD307" s="24">
        <f>IF($D307="","",IF(AND(LEN($AC307)=0,LEN($AK307)=0),"Completa",IF(LEN($AC307)=0,"Revisar: "&amp;LEFT($AK307,LEN($AK307)-2),"Falta: "&amp;LEFT($AC307,LEN($AC307)-2)&amp;IF(LEN($AK307)&gt;0,"  ·  Revisar: "&amp;LEFT($AK307,LEN($AK307)-2),""))))</f>
      </c>
      <c r="AE307">
        <f>IF(AND($D307&lt;&gt;"",OR($I307="Renuncia (hasta 30 nov)",$I307="Baja (desde 1 dic)",$I307="Renuncia excepcional (art. 25.3)",$I307="Traslado de expediente")),COUNTIF($AE$1:AE306,"&gt;0")+1,"")</f>
      </c>
      <c r="AF307">
        <f>IF($Q307="Disponible",COUNTIF($AF$1:AF306,"&gt;0")+1,"")</f>
      </c>
      <c r="AG307">
        <f>IF($O307="Sí",COUNTIF($AG$1:AG306,"&gt;0")+1,"")</f>
      </c>
      <c r="AH307">
        <f>IF(AND($Q307="Disponible",$O307&lt;&gt;"Sí"),COUNTIF($AH$1:AH306,"&gt;0")+1,"")</f>
      </c>
      <c r="AI307">
        <f>IF(AND($Q307="Disponible",$K307&lt;&gt;""),COUNTIFS($K$2:K307,K307,$Q$2:Q307,"Disponible"),"")</f>
      </c>
      <c r="AJ307">
        <f>IF(AI307&lt;&gt;"",K307&amp;"|"&amp;AI307,"")</f>
      </c>
      <c r="AK307">
        <f>IF(AND($Q307="No disponible",OR($R307="Lista de espera · propio centro",$R307="Traslado de expediente",$R307="Lista de espera · otro centro"),$O307="Sí"),"la plaza ya tiene alumno y sigue marcada como refuerzo, ","")&amp;IF(AND($R307="Reconvertida en refuerzo",$O307&lt;&gt;"Sí"),"reconvertida en refuerzo pero sin marcar «En uso como refuerzo», ","")</f>
      </c>
    </row>
    <row r="308" spans="1:37">
      <c r="A308" s="20">
        <f>IF(D308&lt;&gt;"",ROW()-1,"")</f>
      </c>
      <c r="B308" s="55"/>
      <c r="C308" s="56"/>
      <c r="D308" s="56"/>
      <c r="E308" s="56"/>
      <c r="F308" s="56"/>
      <c r="G308" s="56"/>
      <c r="H308" s="56"/>
      <c r="I308" s="56"/>
      <c r="J308" s="57"/>
      <c r="K308" s="56"/>
      <c r="L308" s="58"/>
      <c r="M308" s="58">
        <f>IF(L308="","",L308)</f>
      </c>
      <c r="N308" s="56"/>
      <c r="O308" s="56"/>
      <c r="P308" s="57"/>
      <c r="Q308" s="56"/>
      <c r="R308" s="56"/>
      <c r="S308" s="56"/>
      <c r="T308" s="56"/>
      <c r="U308" s="56"/>
      <c r="V308" s="57"/>
      <c r="W308">
        <f>IF(Q308="Disponible",COUNTIFS($D$2:D308,D308,$Q$2:Q308,"Disponible"),"")</f>
      </c>
      <c r="X308">
        <f>IF(W308&lt;&gt;"",D308&amp;"|"&amp;W308,"")</f>
      </c>
      <c r="Y308">
        <f>IF(X308&lt;&gt;"",IF(K308&lt;&gt;"",K308&amp;" ("&amp;M308&amp;")",M308),"")</f>
      </c>
      <c r="Z308">
        <f>IF(O308="Sí",COUNTIFS($D$2:D308,D308,$O$2:O308,"Sí"),"")</f>
      </c>
      <c r="AA308">
        <f>IF(Z308&lt;&gt;"",D308&amp;"|"&amp;Z308,"")</f>
      </c>
      <c r="AB308">
        <f>IF(AA308&lt;&gt;"",IF(K308&lt;&gt;"",K308&amp;" ("&amp;M308&amp;")",M308),"")</f>
      </c>
      <c r="AC308">
        <f>IF($B308="","fecha, ","")&amp;IF($C308="","quién lo introduce, ","")&amp;IF($I308="","motivo, ","")&amp;IF($K308="","docente, ","")&amp;IF($L308="","horario, ","")&amp;IF($N308="","duración, ","")&amp;IF($Q308="","estado, ","")&amp;IF(AND($I308="Otros",$J308=""),"detalle del motivo, ","")&amp;IF(AND($O308="Sí",$P308=""),"detalle del refuerzo, ","")&amp;IF(AND(OR($I308="Renuncia (hasta 30 nov)",$I308="Baja (desde 1 dic)",$I308="Renuncia excepcional (art. 25.3)",$I308="Traslado de expediente"),OR($E308="",$F308="",$G308="")),"quién deja la plaza, ","")&amp;IF(AND($Q308="No disponible",$R308=""),"vía de cobertura, ","")&amp;IF(AND(OR($R308="Lista de espera · propio centro",$R308="Traslado de expediente",$R308="Lista de espera · otro centro"),OR($S308="",$T308="",$U308="")),"quién ocupa la plaza, ","")</f>
      </c>
      <c r="AD308" s="24">
        <f>IF($D308="","",IF(AND(LEN($AC308)=0,LEN($AK308)=0),"Completa",IF(LEN($AC308)=0,"Revisar: "&amp;LEFT($AK308,LEN($AK308)-2),"Falta: "&amp;LEFT($AC308,LEN($AC308)-2)&amp;IF(LEN($AK308)&gt;0,"  ·  Revisar: "&amp;LEFT($AK308,LEN($AK308)-2),""))))</f>
      </c>
      <c r="AE308">
        <f>IF(AND($D308&lt;&gt;"",OR($I308="Renuncia (hasta 30 nov)",$I308="Baja (desde 1 dic)",$I308="Renuncia excepcional (art. 25.3)",$I308="Traslado de expediente")),COUNTIF($AE$1:AE307,"&gt;0")+1,"")</f>
      </c>
      <c r="AF308">
        <f>IF($Q308="Disponible",COUNTIF($AF$1:AF307,"&gt;0")+1,"")</f>
      </c>
      <c r="AG308">
        <f>IF($O308="Sí",COUNTIF($AG$1:AG307,"&gt;0")+1,"")</f>
      </c>
      <c r="AH308">
        <f>IF(AND($Q308="Disponible",$O308&lt;&gt;"Sí"),COUNTIF($AH$1:AH307,"&gt;0")+1,"")</f>
      </c>
      <c r="AI308">
        <f>IF(AND($Q308="Disponible",$K308&lt;&gt;""),COUNTIFS($K$2:K308,K308,$Q$2:Q308,"Disponible"),"")</f>
      </c>
      <c r="AJ308">
        <f>IF(AI308&lt;&gt;"",K308&amp;"|"&amp;AI308,"")</f>
      </c>
      <c r="AK308">
        <f>IF(AND($Q308="No disponible",OR($R308="Lista de espera · propio centro",$R308="Traslado de expediente",$R308="Lista de espera · otro centro"),$O308="Sí"),"la plaza ya tiene alumno y sigue marcada como refuerzo, ","")&amp;IF(AND($R308="Reconvertida en refuerzo",$O308&lt;&gt;"Sí"),"reconvertida en refuerzo pero sin marcar «En uso como refuerzo», ","")</f>
      </c>
    </row>
    <row r="309" spans="1:37">
      <c r="A309" s="20">
        <f>IF(D309&lt;&gt;"",ROW()-1,"")</f>
      </c>
      <c r="B309" s="55"/>
      <c r="C309" s="56"/>
      <c r="D309" s="56"/>
      <c r="E309" s="56"/>
      <c r="F309" s="56"/>
      <c r="G309" s="56"/>
      <c r="H309" s="56"/>
      <c r="I309" s="56"/>
      <c r="J309" s="57"/>
      <c r="K309" s="56"/>
      <c r="L309" s="58"/>
      <c r="M309" s="58">
        <f>IF(L309="","",L309)</f>
      </c>
      <c r="N309" s="56"/>
      <c r="O309" s="56"/>
      <c r="P309" s="57"/>
      <c r="Q309" s="56"/>
      <c r="R309" s="56"/>
      <c r="S309" s="56"/>
      <c r="T309" s="56"/>
      <c r="U309" s="56"/>
      <c r="V309" s="57"/>
      <c r="W309">
        <f>IF(Q309="Disponible",COUNTIFS($D$2:D309,D309,$Q$2:Q309,"Disponible"),"")</f>
      </c>
      <c r="X309">
        <f>IF(W309&lt;&gt;"",D309&amp;"|"&amp;W309,"")</f>
      </c>
      <c r="Y309">
        <f>IF(X309&lt;&gt;"",IF(K309&lt;&gt;"",K309&amp;" ("&amp;M309&amp;")",M309),"")</f>
      </c>
      <c r="Z309">
        <f>IF(O309="Sí",COUNTIFS($D$2:D309,D309,$O$2:O309,"Sí"),"")</f>
      </c>
      <c r="AA309">
        <f>IF(Z309&lt;&gt;"",D309&amp;"|"&amp;Z309,"")</f>
      </c>
      <c r="AB309">
        <f>IF(AA309&lt;&gt;"",IF(K309&lt;&gt;"",K309&amp;" ("&amp;M309&amp;")",M309),"")</f>
      </c>
      <c r="AC309">
        <f>IF($B309="","fecha, ","")&amp;IF($C309="","quién lo introduce, ","")&amp;IF($I309="","motivo, ","")&amp;IF($K309="","docente, ","")&amp;IF($L309="","horario, ","")&amp;IF($N309="","duración, ","")&amp;IF($Q309="","estado, ","")&amp;IF(AND($I309="Otros",$J309=""),"detalle del motivo, ","")&amp;IF(AND($O309="Sí",$P309=""),"detalle del refuerzo, ","")&amp;IF(AND(OR($I309="Renuncia (hasta 30 nov)",$I309="Baja (desde 1 dic)",$I309="Renuncia excepcional (art. 25.3)",$I309="Traslado de expediente"),OR($E309="",$F309="",$G309="")),"quién deja la plaza, ","")&amp;IF(AND($Q309="No disponible",$R309=""),"vía de cobertura, ","")&amp;IF(AND(OR($R309="Lista de espera · propio centro",$R309="Traslado de expediente",$R309="Lista de espera · otro centro"),OR($S309="",$T309="",$U309="")),"quién ocupa la plaza, ","")</f>
      </c>
      <c r="AD309" s="24">
        <f>IF($D309="","",IF(AND(LEN($AC309)=0,LEN($AK309)=0),"Completa",IF(LEN($AC309)=0,"Revisar: "&amp;LEFT($AK309,LEN($AK309)-2),"Falta: "&amp;LEFT($AC309,LEN($AC309)-2)&amp;IF(LEN($AK309)&gt;0,"  ·  Revisar: "&amp;LEFT($AK309,LEN($AK309)-2),""))))</f>
      </c>
      <c r="AE309">
        <f>IF(AND($D309&lt;&gt;"",OR($I309="Renuncia (hasta 30 nov)",$I309="Baja (desde 1 dic)",$I309="Renuncia excepcional (art. 25.3)",$I309="Traslado de expediente")),COUNTIF($AE$1:AE308,"&gt;0")+1,"")</f>
      </c>
      <c r="AF309">
        <f>IF($Q309="Disponible",COUNTIF($AF$1:AF308,"&gt;0")+1,"")</f>
      </c>
      <c r="AG309">
        <f>IF($O309="Sí",COUNTIF($AG$1:AG308,"&gt;0")+1,"")</f>
      </c>
      <c r="AH309">
        <f>IF(AND($Q309="Disponible",$O309&lt;&gt;"Sí"),COUNTIF($AH$1:AH308,"&gt;0")+1,"")</f>
      </c>
      <c r="AI309">
        <f>IF(AND($Q309="Disponible",$K309&lt;&gt;""),COUNTIFS($K$2:K309,K309,$Q$2:Q309,"Disponible"),"")</f>
      </c>
      <c r="AJ309">
        <f>IF(AI309&lt;&gt;"",K309&amp;"|"&amp;AI309,"")</f>
      </c>
      <c r="AK309">
        <f>IF(AND($Q309="No disponible",OR($R309="Lista de espera · propio centro",$R309="Traslado de expediente",$R309="Lista de espera · otro centro"),$O309="Sí"),"la plaza ya tiene alumno y sigue marcada como refuerzo, ","")&amp;IF(AND($R309="Reconvertida en refuerzo",$O309&lt;&gt;"Sí"),"reconvertida en refuerzo pero sin marcar «En uso como refuerzo», ","")</f>
      </c>
    </row>
    <row r="310" spans="1:37">
      <c r="A310" s="20">
        <f>IF(D310&lt;&gt;"",ROW()-1,"")</f>
      </c>
      <c r="B310" s="55"/>
      <c r="C310" s="56"/>
      <c r="D310" s="56"/>
      <c r="E310" s="56"/>
      <c r="F310" s="56"/>
      <c r="G310" s="56"/>
      <c r="H310" s="56"/>
      <c r="I310" s="56"/>
      <c r="J310" s="57"/>
      <c r="K310" s="56"/>
      <c r="L310" s="58"/>
      <c r="M310" s="58">
        <f>IF(L310="","",L310)</f>
      </c>
      <c r="N310" s="56"/>
      <c r="O310" s="56"/>
      <c r="P310" s="57"/>
      <c r="Q310" s="56"/>
      <c r="R310" s="56"/>
      <c r="S310" s="56"/>
      <c r="T310" s="56"/>
      <c r="U310" s="56"/>
      <c r="V310" s="57"/>
      <c r="W310">
        <f>IF(Q310="Disponible",COUNTIFS($D$2:D310,D310,$Q$2:Q310,"Disponible"),"")</f>
      </c>
      <c r="X310">
        <f>IF(W310&lt;&gt;"",D310&amp;"|"&amp;W310,"")</f>
      </c>
      <c r="Y310">
        <f>IF(X310&lt;&gt;"",IF(K310&lt;&gt;"",K310&amp;" ("&amp;M310&amp;")",M310),"")</f>
      </c>
      <c r="Z310">
        <f>IF(O310="Sí",COUNTIFS($D$2:D310,D310,$O$2:O310,"Sí"),"")</f>
      </c>
      <c r="AA310">
        <f>IF(Z310&lt;&gt;"",D310&amp;"|"&amp;Z310,"")</f>
      </c>
      <c r="AB310">
        <f>IF(AA310&lt;&gt;"",IF(K310&lt;&gt;"",K310&amp;" ("&amp;M310&amp;")",M310),"")</f>
      </c>
      <c r="AC310">
        <f>IF($B310="","fecha, ","")&amp;IF($C310="","quién lo introduce, ","")&amp;IF($I310="","motivo, ","")&amp;IF($K310="","docente, ","")&amp;IF($L310="","horario, ","")&amp;IF($N310="","duración, ","")&amp;IF($Q310="","estado, ","")&amp;IF(AND($I310="Otros",$J310=""),"detalle del motivo, ","")&amp;IF(AND($O310="Sí",$P310=""),"detalle del refuerzo, ","")&amp;IF(AND(OR($I310="Renuncia (hasta 30 nov)",$I310="Baja (desde 1 dic)",$I310="Renuncia excepcional (art. 25.3)",$I310="Traslado de expediente"),OR($E310="",$F310="",$G310="")),"quién deja la plaza, ","")&amp;IF(AND($Q310="No disponible",$R310=""),"vía de cobertura, ","")&amp;IF(AND(OR($R310="Lista de espera · propio centro",$R310="Traslado de expediente",$R310="Lista de espera · otro centro"),OR($S310="",$T310="",$U310="")),"quién ocupa la plaza, ","")</f>
      </c>
      <c r="AD310" s="24">
        <f>IF($D310="","",IF(AND(LEN($AC310)=0,LEN($AK310)=0),"Completa",IF(LEN($AC310)=0,"Revisar: "&amp;LEFT($AK310,LEN($AK310)-2),"Falta: "&amp;LEFT($AC310,LEN($AC310)-2)&amp;IF(LEN($AK310)&gt;0,"  ·  Revisar: "&amp;LEFT($AK310,LEN($AK310)-2),""))))</f>
      </c>
      <c r="AE310">
        <f>IF(AND($D310&lt;&gt;"",OR($I310="Renuncia (hasta 30 nov)",$I310="Baja (desde 1 dic)",$I310="Renuncia excepcional (art. 25.3)",$I310="Traslado de expediente")),COUNTIF($AE$1:AE309,"&gt;0")+1,"")</f>
      </c>
      <c r="AF310">
        <f>IF($Q310="Disponible",COUNTIF($AF$1:AF309,"&gt;0")+1,"")</f>
      </c>
      <c r="AG310">
        <f>IF($O310="Sí",COUNTIF($AG$1:AG309,"&gt;0")+1,"")</f>
      </c>
      <c r="AH310">
        <f>IF(AND($Q310="Disponible",$O310&lt;&gt;"Sí"),COUNTIF($AH$1:AH309,"&gt;0")+1,"")</f>
      </c>
      <c r="AI310">
        <f>IF(AND($Q310="Disponible",$K310&lt;&gt;""),COUNTIFS($K$2:K310,K310,$Q$2:Q310,"Disponible"),"")</f>
      </c>
      <c r="AJ310">
        <f>IF(AI310&lt;&gt;"",K310&amp;"|"&amp;AI310,"")</f>
      </c>
      <c r="AK310">
        <f>IF(AND($Q310="No disponible",OR($R310="Lista de espera · propio centro",$R310="Traslado de expediente",$R310="Lista de espera · otro centro"),$O310="Sí"),"la plaza ya tiene alumno y sigue marcada como refuerzo, ","")&amp;IF(AND($R310="Reconvertida en refuerzo",$O310&lt;&gt;"Sí"),"reconvertida en refuerzo pero sin marcar «En uso como refuerzo», ","")</f>
      </c>
    </row>
    <row r="311" spans="1:37">
      <c r="A311" s="20">
        <f>IF(D311&lt;&gt;"",ROW()-1,"")</f>
      </c>
      <c r="B311" s="55"/>
      <c r="C311" s="56"/>
      <c r="D311" s="56"/>
      <c r="E311" s="56"/>
      <c r="F311" s="56"/>
      <c r="G311" s="56"/>
      <c r="H311" s="56"/>
      <c r="I311" s="56"/>
      <c r="J311" s="57"/>
      <c r="K311" s="56"/>
      <c r="L311" s="58"/>
      <c r="M311" s="58">
        <f>IF(L311="","",L311)</f>
      </c>
      <c r="N311" s="56"/>
      <c r="O311" s="56"/>
      <c r="P311" s="57"/>
      <c r="Q311" s="56"/>
      <c r="R311" s="56"/>
      <c r="S311" s="56"/>
      <c r="T311" s="56"/>
      <c r="U311" s="56"/>
      <c r="V311" s="57"/>
      <c r="W311">
        <f>IF(Q311="Disponible",COUNTIFS($D$2:D311,D311,$Q$2:Q311,"Disponible"),"")</f>
      </c>
      <c r="X311">
        <f>IF(W311&lt;&gt;"",D311&amp;"|"&amp;W311,"")</f>
      </c>
      <c r="Y311">
        <f>IF(X311&lt;&gt;"",IF(K311&lt;&gt;"",K311&amp;" ("&amp;M311&amp;")",M311),"")</f>
      </c>
      <c r="Z311">
        <f>IF(O311="Sí",COUNTIFS($D$2:D311,D311,$O$2:O311,"Sí"),"")</f>
      </c>
      <c r="AA311">
        <f>IF(Z311&lt;&gt;"",D311&amp;"|"&amp;Z311,"")</f>
      </c>
      <c r="AB311">
        <f>IF(AA311&lt;&gt;"",IF(K311&lt;&gt;"",K311&amp;" ("&amp;M311&amp;")",M311),"")</f>
      </c>
      <c r="AC311">
        <f>IF($B311="","fecha, ","")&amp;IF($C311="","quién lo introduce, ","")&amp;IF($I311="","motivo, ","")&amp;IF($K311="","docente, ","")&amp;IF($L311="","horario, ","")&amp;IF($N311="","duración, ","")&amp;IF($Q311="","estado, ","")&amp;IF(AND($I311="Otros",$J311=""),"detalle del motivo, ","")&amp;IF(AND($O311="Sí",$P311=""),"detalle del refuerzo, ","")&amp;IF(AND(OR($I311="Renuncia (hasta 30 nov)",$I311="Baja (desde 1 dic)",$I311="Renuncia excepcional (art. 25.3)",$I311="Traslado de expediente"),OR($E311="",$F311="",$G311="")),"quién deja la plaza, ","")&amp;IF(AND($Q311="No disponible",$R311=""),"vía de cobertura, ","")&amp;IF(AND(OR($R311="Lista de espera · propio centro",$R311="Traslado de expediente",$R311="Lista de espera · otro centro"),OR($S311="",$T311="",$U311="")),"quién ocupa la plaza, ","")</f>
      </c>
      <c r="AD311" s="24">
        <f>IF($D311="","",IF(AND(LEN($AC311)=0,LEN($AK311)=0),"Completa",IF(LEN($AC311)=0,"Revisar: "&amp;LEFT($AK311,LEN($AK311)-2),"Falta: "&amp;LEFT($AC311,LEN($AC311)-2)&amp;IF(LEN($AK311)&gt;0,"  ·  Revisar: "&amp;LEFT($AK311,LEN($AK311)-2),""))))</f>
      </c>
      <c r="AE311">
        <f>IF(AND($D311&lt;&gt;"",OR($I311="Renuncia (hasta 30 nov)",$I311="Baja (desde 1 dic)",$I311="Renuncia excepcional (art. 25.3)",$I311="Traslado de expediente")),COUNTIF($AE$1:AE310,"&gt;0")+1,"")</f>
      </c>
      <c r="AF311">
        <f>IF($Q311="Disponible",COUNTIF($AF$1:AF310,"&gt;0")+1,"")</f>
      </c>
      <c r="AG311">
        <f>IF($O311="Sí",COUNTIF($AG$1:AG310,"&gt;0")+1,"")</f>
      </c>
      <c r="AH311">
        <f>IF(AND($Q311="Disponible",$O311&lt;&gt;"Sí"),COUNTIF($AH$1:AH310,"&gt;0")+1,"")</f>
      </c>
      <c r="AI311">
        <f>IF(AND($Q311="Disponible",$K311&lt;&gt;""),COUNTIFS($K$2:K311,K311,$Q$2:Q311,"Disponible"),"")</f>
      </c>
      <c r="AJ311">
        <f>IF(AI311&lt;&gt;"",K311&amp;"|"&amp;AI311,"")</f>
      </c>
      <c r="AK311">
        <f>IF(AND($Q311="No disponible",OR($R311="Lista de espera · propio centro",$R311="Traslado de expediente",$R311="Lista de espera · otro centro"),$O311="Sí"),"la plaza ya tiene alumno y sigue marcada como refuerzo, ","")&amp;IF(AND($R311="Reconvertida en refuerzo",$O311&lt;&gt;"Sí"),"reconvertida en refuerzo pero sin marcar «En uso como refuerzo», ","")</f>
      </c>
    </row>
    <row r="312" spans="1:37">
      <c r="A312" s="20">
        <f>IF(D312&lt;&gt;"",ROW()-1,"")</f>
      </c>
      <c r="B312" s="55"/>
      <c r="C312" s="56"/>
      <c r="D312" s="56"/>
      <c r="E312" s="56"/>
      <c r="F312" s="56"/>
      <c r="G312" s="56"/>
      <c r="H312" s="56"/>
      <c r="I312" s="56"/>
      <c r="J312" s="57"/>
      <c r="K312" s="56"/>
      <c r="L312" s="58"/>
      <c r="M312" s="58">
        <f>IF(L312="","",L312)</f>
      </c>
      <c r="N312" s="56"/>
      <c r="O312" s="56"/>
      <c r="P312" s="57"/>
      <c r="Q312" s="56"/>
      <c r="R312" s="56"/>
      <c r="S312" s="56"/>
      <c r="T312" s="56"/>
      <c r="U312" s="56"/>
      <c r="V312" s="57"/>
      <c r="W312">
        <f>IF(Q312="Disponible",COUNTIFS($D$2:D312,D312,$Q$2:Q312,"Disponible"),"")</f>
      </c>
      <c r="X312">
        <f>IF(W312&lt;&gt;"",D312&amp;"|"&amp;W312,"")</f>
      </c>
      <c r="Y312">
        <f>IF(X312&lt;&gt;"",IF(K312&lt;&gt;"",K312&amp;" ("&amp;M312&amp;")",M312),"")</f>
      </c>
      <c r="Z312">
        <f>IF(O312="Sí",COUNTIFS($D$2:D312,D312,$O$2:O312,"Sí"),"")</f>
      </c>
      <c r="AA312">
        <f>IF(Z312&lt;&gt;"",D312&amp;"|"&amp;Z312,"")</f>
      </c>
      <c r="AB312">
        <f>IF(AA312&lt;&gt;"",IF(K312&lt;&gt;"",K312&amp;" ("&amp;M312&amp;")",M312),"")</f>
      </c>
      <c r="AC312">
        <f>IF($B312="","fecha, ","")&amp;IF($C312="","quién lo introduce, ","")&amp;IF($I312="","motivo, ","")&amp;IF($K312="","docente, ","")&amp;IF($L312="","horario, ","")&amp;IF($N312="","duración, ","")&amp;IF($Q312="","estado, ","")&amp;IF(AND($I312="Otros",$J312=""),"detalle del motivo, ","")&amp;IF(AND($O312="Sí",$P312=""),"detalle del refuerzo, ","")&amp;IF(AND(OR($I312="Renuncia (hasta 30 nov)",$I312="Baja (desde 1 dic)",$I312="Renuncia excepcional (art. 25.3)",$I312="Traslado de expediente"),OR($E312="",$F312="",$G312="")),"quién deja la plaza, ","")&amp;IF(AND($Q312="No disponible",$R312=""),"vía de cobertura, ","")&amp;IF(AND(OR($R312="Lista de espera · propio centro",$R312="Traslado de expediente",$R312="Lista de espera · otro centro"),OR($S312="",$T312="",$U312="")),"quién ocupa la plaza, ","")</f>
      </c>
      <c r="AD312" s="24">
        <f>IF($D312="","",IF(AND(LEN($AC312)=0,LEN($AK312)=0),"Completa",IF(LEN($AC312)=0,"Revisar: "&amp;LEFT($AK312,LEN($AK312)-2),"Falta: "&amp;LEFT($AC312,LEN($AC312)-2)&amp;IF(LEN($AK312)&gt;0,"  ·  Revisar: "&amp;LEFT($AK312,LEN($AK312)-2),""))))</f>
      </c>
      <c r="AE312">
        <f>IF(AND($D312&lt;&gt;"",OR($I312="Renuncia (hasta 30 nov)",$I312="Baja (desde 1 dic)",$I312="Renuncia excepcional (art. 25.3)",$I312="Traslado de expediente")),COUNTIF($AE$1:AE311,"&gt;0")+1,"")</f>
      </c>
      <c r="AF312">
        <f>IF($Q312="Disponible",COUNTIF($AF$1:AF311,"&gt;0")+1,"")</f>
      </c>
      <c r="AG312">
        <f>IF($O312="Sí",COUNTIF($AG$1:AG311,"&gt;0")+1,"")</f>
      </c>
      <c r="AH312">
        <f>IF(AND($Q312="Disponible",$O312&lt;&gt;"Sí"),COUNTIF($AH$1:AH311,"&gt;0")+1,"")</f>
      </c>
      <c r="AI312">
        <f>IF(AND($Q312="Disponible",$K312&lt;&gt;""),COUNTIFS($K$2:K312,K312,$Q$2:Q312,"Disponible"),"")</f>
      </c>
      <c r="AJ312">
        <f>IF(AI312&lt;&gt;"",K312&amp;"|"&amp;AI312,"")</f>
      </c>
      <c r="AK312">
        <f>IF(AND($Q312="No disponible",OR($R312="Lista de espera · propio centro",$R312="Traslado de expediente",$R312="Lista de espera · otro centro"),$O312="Sí"),"la plaza ya tiene alumno y sigue marcada como refuerzo, ","")&amp;IF(AND($R312="Reconvertida en refuerzo",$O312&lt;&gt;"Sí"),"reconvertida en refuerzo pero sin marcar «En uso como refuerzo», ","")</f>
      </c>
    </row>
    <row r="313" spans="1:37">
      <c r="A313" s="20">
        <f>IF(D313&lt;&gt;"",ROW()-1,"")</f>
      </c>
      <c r="B313" s="55"/>
      <c r="C313" s="56"/>
      <c r="D313" s="56"/>
      <c r="E313" s="56"/>
      <c r="F313" s="56"/>
      <c r="G313" s="56"/>
      <c r="H313" s="56"/>
      <c r="I313" s="56"/>
      <c r="J313" s="57"/>
      <c r="K313" s="56"/>
      <c r="L313" s="58"/>
      <c r="M313" s="58">
        <f>IF(L313="","",L313)</f>
      </c>
      <c r="N313" s="56"/>
      <c r="O313" s="56"/>
      <c r="P313" s="57"/>
      <c r="Q313" s="56"/>
      <c r="R313" s="56"/>
      <c r="S313" s="56"/>
      <c r="T313" s="56"/>
      <c r="U313" s="56"/>
      <c r="V313" s="57"/>
      <c r="W313">
        <f>IF(Q313="Disponible",COUNTIFS($D$2:D313,D313,$Q$2:Q313,"Disponible"),"")</f>
      </c>
      <c r="X313">
        <f>IF(W313&lt;&gt;"",D313&amp;"|"&amp;W313,"")</f>
      </c>
      <c r="Y313">
        <f>IF(X313&lt;&gt;"",IF(K313&lt;&gt;"",K313&amp;" ("&amp;M313&amp;")",M313),"")</f>
      </c>
      <c r="Z313">
        <f>IF(O313="Sí",COUNTIFS($D$2:D313,D313,$O$2:O313,"Sí"),"")</f>
      </c>
      <c r="AA313">
        <f>IF(Z313&lt;&gt;"",D313&amp;"|"&amp;Z313,"")</f>
      </c>
      <c r="AB313">
        <f>IF(AA313&lt;&gt;"",IF(K313&lt;&gt;"",K313&amp;" ("&amp;M313&amp;")",M313),"")</f>
      </c>
      <c r="AC313">
        <f>IF($B313="","fecha, ","")&amp;IF($C313="","quién lo introduce, ","")&amp;IF($I313="","motivo, ","")&amp;IF($K313="","docente, ","")&amp;IF($L313="","horario, ","")&amp;IF($N313="","duración, ","")&amp;IF($Q313="","estado, ","")&amp;IF(AND($I313="Otros",$J313=""),"detalle del motivo, ","")&amp;IF(AND($O313="Sí",$P313=""),"detalle del refuerzo, ","")&amp;IF(AND(OR($I313="Renuncia (hasta 30 nov)",$I313="Baja (desde 1 dic)",$I313="Renuncia excepcional (art. 25.3)",$I313="Traslado de expediente"),OR($E313="",$F313="",$G313="")),"quién deja la plaza, ","")&amp;IF(AND($Q313="No disponible",$R313=""),"vía de cobertura, ","")&amp;IF(AND(OR($R313="Lista de espera · propio centro",$R313="Traslado de expediente",$R313="Lista de espera · otro centro"),OR($S313="",$T313="",$U313="")),"quién ocupa la plaza, ","")</f>
      </c>
      <c r="AD313" s="24">
        <f>IF($D313="","",IF(AND(LEN($AC313)=0,LEN($AK313)=0),"Completa",IF(LEN($AC313)=0,"Revisar: "&amp;LEFT($AK313,LEN($AK313)-2),"Falta: "&amp;LEFT($AC313,LEN($AC313)-2)&amp;IF(LEN($AK313)&gt;0,"  ·  Revisar: "&amp;LEFT($AK313,LEN($AK313)-2),""))))</f>
      </c>
      <c r="AE313">
        <f>IF(AND($D313&lt;&gt;"",OR($I313="Renuncia (hasta 30 nov)",$I313="Baja (desde 1 dic)",$I313="Renuncia excepcional (art. 25.3)",$I313="Traslado de expediente")),COUNTIF($AE$1:AE312,"&gt;0")+1,"")</f>
      </c>
      <c r="AF313">
        <f>IF($Q313="Disponible",COUNTIF($AF$1:AF312,"&gt;0")+1,"")</f>
      </c>
      <c r="AG313">
        <f>IF($O313="Sí",COUNTIF($AG$1:AG312,"&gt;0")+1,"")</f>
      </c>
      <c r="AH313">
        <f>IF(AND($Q313="Disponible",$O313&lt;&gt;"Sí"),COUNTIF($AH$1:AH312,"&gt;0")+1,"")</f>
      </c>
      <c r="AI313">
        <f>IF(AND($Q313="Disponible",$K313&lt;&gt;""),COUNTIFS($K$2:K313,K313,$Q$2:Q313,"Disponible"),"")</f>
      </c>
      <c r="AJ313">
        <f>IF(AI313&lt;&gt;"",K313&amp;"|"&amp;AI313,"")</f>
      </c>
      <c r="AK313">
        <f>IF(AND($Q313="No disponible",OR($R313="Lista de espera · propio centro",$R313="Traslado de expediente",$R313="Lista de espera · otro centro"),$O313="Sí"),"la plaza ya tiene alumno y sigue marcada como refuerzo, ","")&amp;IF(AND($R313="Reconvertida en refuerzo",$O313&lt;&gt;"Sí"),"reconvertida en refuerzo pero sin marcar «En uso como refuerzo», ","")</f>
      </c>
    </row>
    <row r="314" spans="1:37">
      <c r="A314" s="20">
        <f>IF(D314&lt;&gt;"",ROW()-1,"")</f>
      </c>
      <c r="B314" s="55"/>
      <c r="C314" s="56"/>
      <c r="D314" s="56"/>
      <c r="E314" s="56"/>
      <c r="F314" s="56"/>
      <c r="G314" s="56"/>
      <c r="H314" s="56"/>
      <c r="I314" s="56"/>
      <c r="J314" s="57"/>
      <c r="K314" s="56"/>
      <c r="L314" s="58"/>
      <c r="M314" s="58">
        <f>IF(L314="","",L314)</f>
      </c>
      <c r="N314" s="56"/>
      <c r="O314" s="56"/>
      <c r="P314" s="57"/>
      <c r="Q314" s="56"/>
      <c r="R314" s="56"/>
      <c r="S314" s="56"/>
      <c r="T314" s="56"/>
      <c r="U314" s="56"/>
      <c r="V314" s="57"/>
      <c r="W314">
        <f>IF(Q314="Disponible",COUNTIFS($D$2:D314,D314,$Q$2:Q314,"Disponible"),"")</f>
      </c>
      <c r="X314">
        <f>IF(W314&lt;&gt;"",D314&amp;"|"&amp;W314,"")</f>
      </c>
      <c r="Y314">
        <f>IF(X314&lt;&gt;"",IF(K314&lt;&gt;"",K314&amp;" ("&amp;M314&amp;")",M314),"")</f>
      </c>
      <c r="Z314">
        <f>IF(O314="Sí",COUNTIFS($D$2:D314,D314,$O$2:O314,"Sí"),"")</f>
      </c>
      <c r="AA314">
        <f>IF(Z314&lt;&gt;"",D314&amp;"|"&amp;Z314,"")</f>
      </c>
      <c r="AB314">
        <f>IF(AA314&lt;&gt;"",IF(K314&lt;&gt;"",K314&amp;" ("&amp;M314&amp;")",M314),"")</f>
      </c>
      <c r="AC314">
        <f>IF($B314="","fecha, ","")&amp;IF($C314="","quién lo introduce, ","")&amp;IF($I314="","motivo, ","")&amp;IF($K314="","docente, ","")&amp;IF($L314="","horario, ","")&amp;IF($N314="","duración, ","")&amp;IF($Q314="","estado, ","")&amp;IF(AND($I314="Otros",$J314=""),"detalle del motivo, ","")&amp;IF(AND($O314="Sí",$P314=""),"detalle del refuerzo, ","")&amp;IF(AND(OR($I314="Renuncia (hasta 30 nov)",$I314="Baja (desde 1 dic)",$I314="Renuncia excepcional (art. 25.3)",$I314="Traslado de expediente"),OR($E314="",$F314="",$G314="")),"quién deja la plaza, ","")&amp;IF(AND($Q314="No disponible",$R314=""),"vía de cobertura, ","")&amp;IF(AND(OR($R314="Lista de espera · propio centro",$R314="Traslado de expediente",$R314="Lista de espera · otro centro"),OR($S314="",$T314="",$U314="")),"quién ocupa la plaza, ","")</f>
      </c>
      <c r="AD314" s="24">
        <f>IF($D314="","",IF(AND(LEN($AC314)=0,LEN($AK314)=0),"Completa",IF(LEN($AC314)=0,"Revisar: "&amp;LEFT($AK314,LEN($AK314)-2),"Falta: "&amp;LEFT($AC314,LEN($AC314)-2)&amp;IF(LEN($AK314)&gt;0,"  ·  Revisar: "&amp;LEFT($AK314,LEN($AK314)-2),""))))</f>
      </c>
      <c r="AE314">
        <f>IF(AND($D314&lt;&gt;"",OR($I314="Renuncia (hasta 30 nov)",$I314="Baja (desde 1 dic)",$I314="Renuncia excepcional (art. 25.3)",$I314="Traslado de expediente")),COUNTIF($AE$1:AE313,"&gt;0")+1,"")</f>
      </c>
      <c r="AF314">
        <f>IF($Q314="Disponible",COUNTIF($AF$1:AF313,"&gt;0")+1,"")</f>
      </c>
      <c r="AG314">
        <f>IF($O314="Sí",COUNTIF($AG$1:AG313,"&gt;0")+1,"")</f>
      </c>
      <c r="AH314">
        <f>IF(AND($Q314="Disponible",$O314&lt;&gt;"Sí"),COUNTIF($AH$1:AH313,"&gt;0")+1,"")</f>
      </c>
      <c r="AI314">
        <f>IF(AND($Q314="Disponible",$K314&lt;&gt;""),COUNTIFS($K$2:K314,K314,$Q$2:Q314,"Disponible"),"")</f>
      </c>
      <c r="AJ314">
        <f>IF(AI314&lt;&gt;"",K314&amp;"|"&amp;AI314,"")</f>
      </c>
      <c r="AK314">
        <f>IF(AND($Q314="No disponible",OR($R314="Lista de espera · propio centro",$R314="Traslado de expediente",$R314="Lista de espera · otro centro"),$O314="Sí"),"la plaza ya tiene alumno y sigue marcada como refuerzo, ","")&amp;IF(AND($R314="Reconvertida en refuerzo",$O314&lt;&gt;"Sí"),"reconvertida en refuerzo pero sin marcar «En uso como refuerzo», ","")</f>
      </c>
    </row>
    <row r="315" spans="1:37">
      <c r="A315" s="20">
        <f>IF(D315&lt;&gt;"",ROW()-1,"")</f>
      </c>
      <c r="B315" s="55"/>
      <c r="C315" s="56"/>
      <c r="D315" s="56"/>
      <c r="E315" s="56"/>
      <c r="F315" s="56"/>
      <c r="G315" s="56"/>
      <c r="H315" s="56"/>
      <c r="I315" s="56"/>
      <c r="J315" s="57"/>
      <c r="K315" s="56"/>
      <c r="L315" s="58"/>
      <c r="M315" s="58">
        <f>IF(L315="","",L315)</f>
      </c>
      <c r="N315" s="56"/>
      <c r="O315" s="56"/>
      <c r="P315" s="57"/>
      <c r="Q315" s="56"/>
      <c r="R315" s="56"/>
      <c r="S315" s="56"/>
      <c r="T315" s="56"/>
      <c r="U315" s="56"/>
      <c r="V315" s="57"/>
      <c r="W315">
        <f>IF(Q315="Disponible",COUNTIFS($D$2:D315,D315,$Q$2:Q315,"Disponible"),"")</f>
      </c>
      <c r="X315">
        <f>IF(W315&lt;&gt;"",D315&amp;"|"&amp;W315,"")</f>
      </c>
      <c r="Y315">
        <f>IF(X315&lt;&gt;"",IF(K315&lt;&gt;"",K315&amp;" ("&amp;M315&amp;")",M315),"")</f>
      </c>
      <c r="Z315">
        <f>IF(O315="Sí",COUNTIFS($D$2:D315,D315,$O$2:O315,"Sí"),"")</f>
      </c>
      <c r="AA315">
        <f>IF(Z315&lt;&gt;"",D315&amp;"|"&amp;Z315,"")</f>
      </c>
      <c r="AB315">
        <f>IF(AA315&lt;&gt;"",IF(K315&lt;&gt;"",K315&amp;" ("&amp;M315&amp;")",M315),"")</f>
      </c>
      <c r="AC315">
        <f>IF($B315="","fecha, ","")&amp;IF($C315="","quién lo introduce, ","")&amp;IF($I315="","motivo, ","")&amp;IF($K315="","docente, ","")&amp;IF($L315="","horario, ","")&amp;IF($N315="","duración, ","")&amp;IF($Q315="","estado, ","")&amp;IF(AND($I315="Otros",$J315=""),"detalle del motivo, ","")&amp;IF(AND($O315="Sí",$P315=""),"detalle del refuerzo, ","")&amp;IF(AND(OR($I315="Renuncia (hasta 30 nov)",$I315="Baja (desde 1 dic)",$I315="Renuncia excepcional (art. 25.3)",$I315="Traslado de expediente"),OR($E315="",$F315="",$G315="")),"quién deja la plaza, ","")&amp;IF(AND($Q315="No disponible",$R315=""),"vía de cobertura, ","")&amp;IF(AND(OR($R315="Lista de espera · propio centro",$R315="Traslado de expediente",$R315="Lista de espera · otro centro"),OR($S315="",$T315="",$U315="")),"quién ocupa la plaza, ","")</f>
      </c>
      <c r="AD315" s="24">
        <f>IF($D315="","",IF(AND(LEN($AC315)=0,LEN($AK315)=0),"Completa",IF(LEN($AC315)=0,"Revisar: "&amp;LEFT($AK315,LEN($AK315)-2),"Falta: "&amp;LEFT($AC315,LEN($AC315)-2)&amp;IF(LEN($AK315)&gt;0,"  ·  Revisar: "&amp;LEFT($AK315,LEN($AK315)-2),""))))</f>
      </c>
      <c r="AE315">
        <f>IF(AND($D315&lt;&gt;"",OR($I315="Renuncia (hasta 30 nov)",$I315="Baja (desde 1 dic)",$I315="Renuncia excepcional (art. 25.3)",$I315="Traslado de expediente")),COUNTIF($AE$1:AE314,"&gt;0")+1,"")</f>
      </c>
      <c r="AF315">
        <f>IF($Q315="Disponible",COUNTIF($AF$1:AF314,"&gt;0")+1,"")</f>
      </c>
      <c r="AG315">
        <f>IF($O315="Sí",COUNTIF($AG$1:AG314,"&gt;0")+1,"")</f>
      </c>
      <c r="AH315">
        <f>IF(AND($Q315="Disponible",$O315&lt;&gt;"Sí"),COUNTIF($AH$1:AH314,"&gt;0")+1,"")</f>
      </c>
      <c r="AI315">
        <f>IF(AND($Q315="Disponible",$K315&lt;&gt;""),COUNTIFS($K$2:K315,K315,$Q$2:Q315,"Disponible"),"")</f>
      </c>
      <c r="AJ315">
        <f>IF(AI315&lt;&gt;"",K315&amp;"|"&amp;AI315,"")</f>
      </c>
      <c r="AK315">
        <f>IF(AND($Q315="No disponible",OR($R315="Lista de espera · propio centro",$R315="Traslado de expediente",$R315="Lista de espera · otro centro"),$O315="Sí"),"la plaza ya tiene alumno y sigue marcada como refuerzo, ","")&amp;IF(AND($R315="Reconvertida en refuerzo",$O315&lt;&gt;"Sí"),"reconvertida en refuerzo pero sin marcar «En uso como refuerzo», ","")</f>
      </c>
    </row>
    <row r="316" spans="1:37">
      <c r="A316" s="20">
        <f>IF(D316&lt;&gt;"",ROW()-1,"")</f>
      </c>
      <c r="B316" s="55"/>
      <c r="C316" s="56"/>
      <c r="D316" s="56"/>
      <c r="E316" s="56"/>
      <c r="F316" s="56"/>
      <c r="G316" s="56"/>
      <c r="H316" s="56"/>
      <c r="I316" s="56"/>
      <c r="J316" s="57"/>
      <c r="K316" s="56"/>
      <c r="L316" s="58"/>
      <c r="M316" s="58">
        <f>IF(L316="","",L316)</f>
      </c>
      <c r="N316" s="56"/>
      <c r="O316" s="56"/>
      <c r="P316" s="57"/>
      <c r="Q316" s="56"/>
      <c r="R316" s="56"/>
      <c r="S316" s="56"/>
      <c r="T316" s="56"/>
      <c r="U316" s="56"/>
      <c r="V316" s="57"/>
      <c r="W316">
        <f>IF(Q316="Disponible",COUNTIFS($D$2:D316,D316,$Q$2:Q316,"Disponible"),"")</f>
      </c>
      <c r="X316">
        <f>IF(W316&lt;&gt;"",D316&amp;"|"&amp;W316,"")</f>
      </c>
      <c r="Y316">
        <f>IF(X316&lt;&gt;"",IF(K316&lt;&gt;"",K316&amp;" ("&amp;M316&amp;")",M316),"")</f>
      </c>
      <c r="Z316">
        <f>IF(O316="Sí",COUNTIFS($D$2:D316,D316,$O$2:O316,"Sí"),"")</f>
      </c>
      <c r="AA316">
        <f>IF(Z316&lt;&gt;"",D316&amp;"|"&amp;Z316,"")</f>
      </c>
      <c r="AB316">
        <f>IF(AA316&lt;&gt;"",IF(K316&lt;&gt;"",K316&amp;" ("&amp;M316&amp;")",M316),"")</f>
      </c>
      <c r="AC316">
        <f>IF($B316="","fecha, ","")&amp;IF($C316="","quién lo introduce, ","")&amp;IF($I316="","motivo, ","")&amp;IF($K316="","docente, ","")&amp;IF($L316="","horario, ","")&amp;IF($N316="","duración, ","")&amp;IF($Q316="","estado, ","")&amp;IF(AND($I316="Otros",$J316=""),"detalle del motivo, ","")&amp;IF(AND($O316="Sí",$P316=""),"detalle del refuerzo, ","")&amp;IF(AND(OR($I316="Renuncia (hasta 30 nov)",$I316="Baja (desde 1 dic)",$I316="Renuncia excepcional (art. 25.3)",$I316="Traslado de expediente"),OR($E316="",$F316="",$G316="")),"quién deja la plaza, ","")&amp;IF(AND($Q316="No disponible",$R316=""),"vía de cobertura, ","")&amp;IF(AND(OR($R316="Lista de espera · propio centro",$R316="Traslado de expediente",$R316="Lista de espera · otro centro"),OR($S316="",$T316="",$U316="")),"quién ocupa la plaza, ","")</f>
      </c>
      <c r="AD316" s="24">
        <f>IF($D316="","",IF(AND(LEN($AC316)=0,LEN($AK316)=0),"Completa",IF(LEN($AC316)=0,"Revisar: "&amp;LEFT($AK316,LEN($AK316)-2),"Falta: "&amp;LEFT($AC316,LEN($AC316)-2)&amp;IF(LEN($AK316)&gt;0,"  ·  Revisar: "&amp;LEFT($AK316,LEN($AK316)-2),""))))</f>
      </c>
      <c r="AE316">
        <f>IF(AND($D316&lt;&gt;"",OR($I316="Renuncia (hasta 30 nov)",$I316="Baja (desde 1 dic)",$I316="Renuncia excepcional (art. 25.3)",$I316="Traslado de expediente")),COUNTIF($AE$1:AE315,"&gt;0")+1,"")</f>
      </c>
      <c r="AF316">
        <f>IF($Q316="Disponible",COUNTIF($AF$1:AF315,"&gt;0")+1,"")</f>
      </c>
      <c r="AG316">
        <f>IF($O316="Sí",COUNTIF($AG$1:AG315,"&gt;0")+1,"")</f>
      </c>
      <c r="AH316">
        <f>IF(AND($Q316="Disponible",$O316&lt;&gt;"Sí"),COUNTIF($AH$1:AH315,"&gt;0")+1,"")</f>
      </c>
      <c r="AI316">
        <f>IF(AND($Q316="Disponible",$K316&lt;&gt;""),COUNTIFS($K$2:K316,K316,$Q$2:Q316,"Disponible"),"")</f>
      </c>
      <c r="AJ316">
        <f>IF(AI316&lt;&gt;"",K316&amp;"|"&amp;AI316,"")</f>
      </c>
      <c r="AK316">
        <f>IF(AND($Q316="No disponible",OR($R316="Lista de espera · propio centro",$R316="Traslado de expediente",$R316="Lista de espera · otro centro"),$O316="Sí"),"la plaza ya tiene alumno y sigue marcada como refuerzo, ","")&amp;IF(AND($R316="Reconvertida en refuerzo",$O316&lt;&gt;"Sí"),"reconvertida en refuerzo pero sin marcar «En uso como refuerzo», ","")</f>
      </c>
    </row>
    <row r="317" spans="1:37">
      <c r="A317" s="20">
        <f>IF(D317&lt;&gt;"",ROW()-1,"")</f>
      </c>
      <c r="B317" s="55"/>
      <c r="C317" s="56"/>
      <c r="D317" s="56"/>
      <c r="E317" s="56"/>
      <c r="F317" s="56"/>
      <c r="G317" s="56"/>
      <c r="H317" s="56"/>
      <c r="I317" s="56"/>
      <c r="J317" s="57"/>
      <c r="K317" s="56"/>
      <c r="L317" s="58"/>
      <c r="M317" s="58">
        <f>IF(L317="","",L317)</f>
      </c>
      <c r="N317" s="56"/>
      <c r="O317" s="56"/>
      <c r="P317" s="57"/>
      <c r="Q317" s="56"/>
      <c r="R317" s="56"/>
      <c r="S317" s="56"/>
      <c r="T317" s="56"/>
      <c r="U317" s="56"/>
      <c r="V317" s="57"/>
      <c r="W317">
        <f>IF(Q317="Disponible",COUNTIFS($D$2:D317,D317,$Q$2:Q317,"Disponible"),"")</f>
      </c>
      <c r="X317">
        <f>IF(W317&lt;&gt;"",D317&amp;"|"&amp;W317,"")</f>
      </c>
      <c r="Y317">
        <f>IF(X317&lt;&gt;"",IF(K317&lt;&gt;"",K317&amp;" ("&amp;M317&amp;")",M317),"")</f>
      </c>
      <c r="Z317">
        <f>IF(O317="Sí",COUNTIFS($D$2:D317,D317,$O$2:O317,"Sí"),"")</f>
      </c>
      <c r="AA317">
        <f>IF(Z317&lt;&gt;"",D317&amp;"|"&amp;Z317,"")</f>
      </c>
      <c r="AB317">
        <f>IF(AA317&lt;&gt;"",IF(K317&lt;&gt;"",K317&amp;" ("&amp;M317&amp;")",M317),"")</f>
      </c>
      <c r="AC317">
        <f>IF($B317="","fecha, ","")&amp;IF($C317="","quién lo introduce, ","")&amp;IF($I317="","motivo, ","")&amp;IF($K317="","docente, ","")&amp;IF($L317="","horario, ","")&amp;IF($N317="","duración, ","")&amp;IF($Q317="","estado, ","")&amp;IF(AND($I317="Otros",$J317=""),"detalle del motivo, ","")&amp;IF(AND($O317="Sí",$P317=""),"detalle del refuerzo, ","")&amp;IF(AND(OR($I317="Renuncia (hasta 30 nov)",$I317="Baja (desde 1 dic)",$I317="Renuncia excepcional (art. 25.3)",$I317="Traslado de expediente"),OR($E317="",$F317="",$G317="")),"quién deja la plaza, ","")&amp;IF(AND($Q317="No disponible",$R317=""),"vía de cobertura, ","")&amp;IF(AND(OR($R317="Lista de espera · propio centro",$R317="Traslado de expediente",$R317="Lista de espera · otro centro"),OR($S317="",$T317="",$U317="")),"quién ocupa la plaza, ","")</f>
      </c>
      <c r="AD317" s="24">
        <f>IF($D317="","",IF(AND(LEN($AC317)=0,LEN($AK317)=0),"Completa",IF(LEN($AC317)=0,"Revisar: "&amp;LEFT($AK317,LEN($AK317)-2),"Falta: "&amp;LEFT($AC317,LEN($AC317)-2)&amp;IF(LEN($AK317)&gt;0,"  ·  Revisar: "&amp;LEFT($AK317,LEN($AK317)-2),""))))</f>
      </c>
      <c r="AE317">
        <f>IF(AND($D317&lt;&gt;"",OR($I317="Renuncia (hasta 30 nov)",$I317="Baja (desde 1 dic)",$I317="Renuncia excepcional (art. 25.3)",$I317="Traslado de expediente")),COUNTIF($AE$1:AE316,"&gt;0")+1,"")</f>
      </c>
      <c r="AF317">
        <f>IF($Q317="Disponible",COUNTIF($AF$1:AF316,"&gt;0")+1,"")</f>
      </c>
      <c r="AG317">
        <f>IF($O317="Sí",COUNTIF($AG$1:AG316,"&gt;0")+1,"")</f>
      </c>
      <c r="AH317">
        <f>IF(AND($Q317="Disponible",$O317&lt;&gt;"Sí"),COUNTIF($AH$1:AH316,"&gt;0")+1,"")</f>
      </c>
      <c r="AI317">
        <f>IF(AND($Q317="Disponible",$K317&lt;&gt;""),COUNTIFS($K$2:K317,K317,$Q$2:Q317,"Disponible"),"")</f>
      </c>
      <c r="AJ317">
        <f>IF(AI317&lt;&gt;"",K317&amp;"|"&amp;AI317,"")</f>
      </c>
      <c r="AK317">
        <f>IF(AND($Q317="No disponible",OR($R317="Lista de espera · propio centro",$R317="Traslado de expediente",$R317="Lista de espera · otro centro"),$O317="Sí"),"la plaza ya tiene alumno y sigue marcada como refuerzo, ","")&amp;IF(AND($R317="Reconvertida en refuerzo",$O317&lt;&gt;"Sí"),"reconvertida en refuerzo pero sin marcar «En uso como refuerzo», ","")</f>
      </c>
    </row>
    <row r="318" spans="1:37">
      <c r="A318" s="20">
        <f>IF(D318&lt;&gt;"",ROW()-1,"")</f>
      </c>
      <c r="B318" s="55"/>
      <c r="C318" s="56"/>
      <c r="D318" s="56"/>
      <c r="E318" s="56"/>
      <c r="F318" s="56"/>
      <c r="G318" s="56"/>
      <c r="H318" s="56"/>
      <c r="I318" s="56"/>
      <c r="J318" s="57"/>
      <c r="K318" s="56"/>
      <c r="L318" s="58"/>
      <c r="M318" s="58">
        <f>IF(L318="","",L318)</f>
      </c>
      <c r="N318" s="56"/>
      <c r="O318" s="56"/>
      <c r="P318" s="57"/>
      <c r="Q318" s="56"/>
      <c r="R318" s="56"/>
      <c r="S318" s="56"/>
      <c r="T318" s="56"/>
      <c r="U318" s="56"/>
      <c r="V318" s="57"/>
      <c r="W318">
        <f>IF(Q318="Disponible",COUNTIFS($D$2:D318,D318,$Q$2:Q318,"Disponible"),"")</f>
      </c>
      <c r="X318">
        <f>IF(W318&lt;&gt;"",D318&amp;"|"&amp;W318,"")</f>
      </c>
      <c r="Y318">
        <f>IF(X318&lt;&gt;"",IF(K318&lt;&gt;"",K318&amp;" ("&amp;M318&amp;")",M318),"")</f>
      </c>
      <c r="Z318">
        <f>IF(O318="Sí",COUNTIFS($D$2:D318,D318,$O$2:O318,"Sí"),"")</f>
      </c>
      <c r="AA318">
        <f>IF(Z318&lt;&gt;"",D318&amp;"|"&amp;Z318,"")</f>
      </c>
      <c r="AB318">
        <f>IF(AA318&lt;&gt;"",IF(K318&lt;&gt;"",K318&amp;" ("&amp;M318&amp;")",M318),"")</f>
      </c>
      <c r="AC318">
        <f>IF($B318="","fecha, ","")&amp;IF($C318="","quién lo introduce, ","")&amp;IF($I318="","motivo, ","")&amp;IF($K318="","docente, ","")&amp;IF($L318="","horario, ","")&amp;IF($N318="","duración, ","")&amp;IF($Q318="","estado, ","")&amp;IF(AND($I318="Otros",$J318=""),"detalle del motivo, ","")&amp;IF(AND($O318="Sí",$P318=""),"detalle del refuerzo, ","")&amp;IF(AND(OR($I318="Renuncia (hasta 30 nov)",$I318="Baja (desde 1 dic)",$I318="Renuncia excepcional (art. 25.3)",$I318="Traslado de expediente"),OR($E318="",$F318="",$G318="")),"quién deja la plaza, ","")&amp;IF(AND($Q318="No disponible",$R318=""),"vía de cobertura, ","")&amp;IF(AND(OR($R318="Lista de espera · propio centro",$R318="Traslado de expediente",$R318="Lista de espera · otro centro"),OR($S318="",$T318="",$U318="")),"quién ocupa la plaza, ","")</f>
      </c>
      <c r="AD318" s="24">
        <f>IF($D318="","",IF(AND(LEN($AC318)=0,LEN($AK318)=0),"Completa",IF(LEN($AC318)=0,"Revisar: "&amp;LEFT($AK318,LEN($AK318)-2),"Falta: "&amp;LEFT($AC318,LEN($AC318)-2)&amp;IF(LEN($AK318)&gt;0,"  ·  Revisar: "&amp;LEFT($AK318,LEN($AK318)-2),""))))</f>
      </c>
      <c r="AE318">
        <f>IF(AND($D318&lt;&gt;"",OR($I318="Renuncia (hasta 30 nov)",$I318="Baja (desde 1 dic)",$I318="Renuncia excepcional (art. 25.3)",$I318="Traslado de expediente")),COUNTIF($AE$1:AE317,"&gt;0")+1,"")</f>
      </c>
      <c r="AF318">
        <f>IF($Q318="Disponible",COUNTIF($AF$1:AF317,"&gt;0")+1,"")</f>
      </c>
      <c r="AG318">
        <f>IF($O318="Sí",COUNTIF($AG$1:AG317,"&gt;0")+1,"")</f>
      </c>
      <c r="AH318">
        <f>IF(AND($Q318="Disponible",$O318&lt;&gt;"Sí"),COUNTIF($AH$1:AH317,"&gt;0")+1,"")</f>
      </c>
      <c r="AI318">
        <f>IF(AND($Q318="Disponible",$K318&lt;&gt;""),COUNTIFS($K$2:K318,K318,$Q$2:Q318,"Disponible"),"")</f>
      </c>
      <c r="AJ318">
        <f>IF(AI318&lt;&gt;"",K318&amp;"|"&amp;AI318,"")</f>
      </c>
      <c r="AK318">
        <f>IF(AND($Q318="No disponible",OR($R318="Lista de espera · propio centro",$R318="Traslado de expediente",$R318="Lista de espera · otro centro"),$O318="Sí"),"la plaza ya tiene alumno y sigue marcada como refuerzo, ","")&amp;IF(AND($R318="Reconvertida en refuerzo",$O318&lt;&gt;"Sí"),"reconvertida en refuerzo pero sin marcar «En uso como refuerzo», ","")</f>
      </c>
    </row>
    <row r="319" spans="1:37">
      <c r="A319" s="20">
        <f>IF(D319&lt;&gt;"",ROW()-1,"")</f>
      </c>
      <c r="B319" s="55"/>
      <c r="C319" s="56"/>
      <c r="D319" s="56"/>
      <c r="E319" s="56"/>
      <c r="F319" s="56"/>
      <c r="G319" s="56"/>
      <c r="H319" s="56"/>
      <c r="I319" s="56"/>
      <c r="J319" s="57"/>
      <c r="K319" s="56"/>
      <c r="L319" s="58"/>
      <c r="M319" s="58">
        <f>IF(L319="","",L319)</f>
      </c>
      <c r="N319" s="56"/>
      <c r="O319" s="56"/>
      <c r="P319" s="57"/>
      <c r="Q319" s="56"/>
      <c r="R319" s="56"/>
      <c r="S319" s="56"/>
      <c r="T319" s="56"/>
      <c r="U319" s="56"/>
      <c r="V319" s="57"/>
      <c r="W319">
        <f>IF(Q319="Disponible",COUNTIFS($D$2:D319,D319,$Q$2:Q319,"Disponible"),"")</f>
      </c>
      <c r="X319">
        <f>IF(W319&lt;&gt;"",D319&amp;"|"&amp;W319,"")</f>
      </c>
      <c r="Y319">
        <f>IF(X319&lt;&gt;"",IF(K319&lt;&gt;"",K319&amp;" ("&amp;M319&amp;")",M319),"")</f>
      </c>
      <c r="Z319">
        <f>IF(O319="Sí",COUNTIFS($D$2:D319,D319,$O$2:O319,"Sí"),"")</f>
      </c>
      <c r="AA319">
        <f>IF(Z319&lt;&gt;"",D319&amp;"|"&amp;Z319,"")</f>
      </c>
      <c r="AB319">
        <f>IF(AA319&lt;&gt;"",IF(K319&lt;&gt;"",K319&amp;" ("&amp;M319&amp;")",M319),"")</f>
      </c>
      <c r="AC319">
        <f>IF($B319="","fecha, ","")&amp;IF($C319="","quién lo introduce, ","")&amp;IF($I319="","motivo, ","")&amp;IF($K319="","docente, ","")&amp;IF($L319="","horario, ","")&amp;IF($N319="","duración, ","")&amp;IF($Q319="","estado, ","")&amp;IF(AND($I319="Otros",$J319=""),"detalle del motivo, ","")&amp;IF(AND($O319="Sí",$P319=""),"detalle del refuerzo, ","")&amp;IF(AND(OR($I319="Renuncia (hasta 30 nov)",$I319="Baja (desde 1 dic)",$I319="Renuncia excepcional (art. 25.3)",$I319="Traslado de expediente"),OR($E319="",$F319="",$G319="")),"quién deja la plaza, ","")&amp;IF(AND($Q319="No disponible",$R319=""),"vía de cobertura, ","")&amp;IF(AND(OR($R319="Lista de espera · propio centro",$R319="Traslado de expediente",$R319="Lista de espera · otro centro"),OR($S319="",$T319="",$U319="")),"quién ocupa la plaza, ","")</f>
      </c>
      <c r="AD319" s="24">
        <f>IF($D319="","",IF(AND(LEN($AC319)=0,LEN($AK319)=0),"Completa",IF(LEN($AC319)=0,"Revisar: "&amp;LEFT($AK319,LEN($AK319)-2),"Falta: "&amp;LEFT($AC319,LEN($AC319)-2)&amp;IF(LEN($AK319)&gt;0,"  ·  Revisar: "&amp;LEFT($AK319,LEN($AK319)-2),""))))</f>
      </c>
      <c r="AE319">
        <f>IF(AND($D319&lt;&gt;"",OR($I319="Renuncia (hasta 30 nov)",$I319="Baja (desde 1 dic)",$I319="Renuncia excepcional (art. 25.3)",$I319="Traslado de expediente")),COUNTIF($AE$1:AE318,"&gt;0")+1,"")</f>
      </c>
      <c r="AF319">
        <f>IF($Q319="Disponible",COUNTIF($AF$1:AF318,"&gt;0")+1,"")</f>
      </c>
      <c r="AG319">
        <f>IF($O319="Sí",COUNTIF($AG$1:AG318,"&gt;0")+1,"")</f>
      </c>
      <c r="AH319">
        <f>IF(AND($Q319="Disponible",$O319&lt;&gt;"Sí"),COUNTIF($AH$1:AH318,"&gt;0")+1,"")</f>
      </c>
      <c r="AI319">
        <f>IF(AND($Q319="Disponible",$K319&lt;&gt;""),COUNTIFS($K$2:K319,K319,$Q$2:Q319,"Disponible"),"")</f>
      </c>
      <c r="AJ319">
        <f>IF(AI319&lt;&gt;"",K319&amp;"|"&amp;AI319,"")</f>
      </c>
      <c r="AK319">
        <f>IF(AND($Q319="No disponible",OR($R319="Lista de espera · propio centro",$R319="Traslado de expediente",$R319="Lista de espera · otro centro"),$O319="Sí"),"la plaza ya tiene alumno y sigue marcada como refuerzo, ","")&amp;IF(AND($R319="Reconvertida en refuerzo",$O319&lt;&gt;"Sí"),"reconvertida en refuerzo pero sin marcar «En uso como refuerzo», ","")</f>
      </c>
    </row>
    <row r="320" spans="1:37">
      <c r="A320" s="20">
        <f>IF(D320&lt;&gt;"",ROW()-1,"")</f>
      </c>
      <c r="B320" s="55"/>
      <c r="C320" s="56"/>
      <c r="D320" s="56"/>
      <c r="E320" s="56"/>
      <c r="F320" s="56"/>
      <c r="G320" s="56"/>
      <c r="H320" s="56"/>
      <c r="I320" s="56"/>
      <c r="J320" s="57"/>
      <c r="K320" s="56"/>
      <c r="L320" s="58"/>
      <c r="M320" s="58">
        <f>IF(L320="","",L320)</f>
      </c>
      <c r="N320" s="56"/>
      <c r="O320" s="56"/>
      <c r="P320" s="57"/>
      <c r="Q320" s="56"/>
      <c r="R320" s="56"/>
      <c r="S320" s="56"/>
      <c r="T320" s="56"/>
      <c r="U320" s="56"/>
      <c r="V320" s="57"/>
      <c r="W320">
        <f>IF(Q320="Disponible",COUNTIFS($D$2:D320,D320,$Q$2:Q320,"Disponible"),"")</f>
      </c>
      <c r="X320">
        <f>IF(W320&lt;&gt;"",D320&amp;"|"&amp;W320,"")</f>
      </c>
      <c r="Y320">
        <f>IF(X320&lt;&gt;"",IF(K320&lt;&gt;"",K320&amp;" ("&amp;M320&amp;")",M320),"")</f>
      </c>
      <c r="Z320">
        <f>IF(O320="Sí",COUNTIFS($D$2:D320,D320,$O$2:O320,"Sí"),"")</f>
      </c>
      <c r="AA320">
        <f>IF(Z320&lt;&gt;"",D320&amp;"|"&amp;Z320,"")</f>
      </c>
      <c r="AB320">
        <f>IF(AA320&lt;&gt;"",IF(K320&lt;&gt;"",K320&amp;" ("&amp;M320&amp;")",M320),"")</f>
      </c>
      <c r="AC320">
        <f>IF($B320="","fecha, ","")&amp;IF($C320="","quién lo introduce, ","")&amp;IF($I320="","motivo, ","")&amp;IF($K320="","docente, ","")&amp;IF($L320="","horario, ","")&amp;IF($N320="","duración, ","")&amp;IF($Q320="","estado, ","")&amp;IF(AND($I320="Otros",$J320=""),"detalle del motivo, ","")&amp;IF(AND($O320="Sí",$P320=""),"detalle del refuerzo, ","")&amp;IF(AND(OR($I320="Renuncia (hasta 30 nov)",$I320="Baja (desde 1 dic)",$I320="Renuncia excepcional (art. 25.3)",$I320="Traslado de expediente"),OR($E320="",$F320="",$G320="")),"quién deja la plaza, ","")&amp;IF(AND($Q320="No disponible",$R320=""),"vía de cobertura, ","")&amp;IF(AND(OR($R320="Lista de espera · propio centro",$R320="Traslado de expediente",$R320="Lista de espera · otro centro"),OR($S320="",$T320="",$U320="")),"quién ocupa la plaza, ","")</f>
      </c>
      <c r="AD320" s="24">
        <f>IF($D320="","",IF(AND(LEN($AC320)=0,LEN($AK320)=0),"Completa",IF(LEN($AC320)=0,"Revisar: "&amp;LEFT($AK320,LEN($AK320)-2),"Falta: "&amp;LEFT($AC320,LEN($AC320)-2)&amp;IF(LEN($AK320)&gt;0,"  ·  Revisar: "&amp;LEFT($AK320,LEN($AK320)-2),""))))</f>
      </c>
      <c r="AE320">
        <f>IF(AND($D320&lt;&gt;"",OR($I320="Renuncia (hasta 30 nov)",$I320="Baja (desde 1 dic)",$I320="Renuncia excepcional (art. 25.3)",$I320="Traslado de expediente")),COUNTIF($AE$1:AE319,"&gt;0")+1,"")</f>
      </c>
      <c r="AF320">
        <f>IF($Q320="Disponible",COUNTIF($AF$1:AF319,"&gt;0")+1,"")</f>
      </c>
      <c r="AG320">
        <f>IF($O320="Sí",COUNTIF($AG$1:AG319,"&gt;0")+1,"")</f>
      </c>
      <c r="AH320">
        <f>IF(AND($Q320="Disponible",$O320&lt;&gt;"Sí"),COUNTIF($AH$1:AH319,"&gt;0")+1,"")</f>
      </c>
      <c r="AI320">
        <f>IF(AND($Q320="Disponible",$K320&lt;&gt;""),COUNTIFS($K$2:K320,K320,$Q$2:Q320,"Disponible"),"")</f>
      </c>
      <c r="AJ320">
        <f>IF(AI320&lt;&gt;"",K320&amp;"|"&amp;AI320,"")</f>
      </c>
      <c r="AK320">
        <f>IF(AND($Q320="No disponible",OR($R320="Lista de espera · propio centro",$R320="Traslado de expediente",$R320="Lista de espera · otro centro"),$O320="Sí"),"la plaza ya tiene alumno y sigue marcada como refuerzo, ","")&amp;IF(AND($R320="Reconvertida en refuerzo",$O320&lt;&gt;"Sí"),"reconvertida en refuerzo pero sin marcar «En uso como refuerzo», ","")</f>
      </c>
    </row>
    <row r="321" spans="1:37">
      <c r="A321" s="20">
        <f>IF(D321&lt;&gt;"",ROW()-1,"")</f>
      </c>
      <c r="B321" s="55"/>
      <c r="C321" s="56"/>
      <c r="D321" s="56"/>
      <c r="E321" s="56"/>
      <c r="F321" s="56"/>
      <c r="G321" s="56"/>
      <c r="H321" s="56"/>
      <c r="I321" s="56"/>
      <c r="J321" s="57"/>
      <c r="K321" s="56"/>
      <c r="L321" s="58"/>
      <c r="M321" s="58">
        <f>IF(L321="","",L321)</f>
      </c>
      <c r="N321" s="56"/>
      <c r="O321" s="56"/>
      <c r="P321" s="57"/>
      <c r="Q321" s="56"/>
      <c r="R321" s="56"/>
      <c r="S321" s="56"/>
      <c r="T321" s="56"/>
      <c r="U321" s="56"/>
      <c r="V321" s="57"/>
      <c r="W321">
        <f>IF(Q321="Disponible",COUNTIFS($D$2:D321,D321,$Q$2:Q321,"Disponible"),"")</f>
      </c>
      <c r="X321">
        <f>IF(W321&lt;&gt;"",D321&amp;"|"&amp;W321,"")</f>
      </c>
      <c r="Y321">
        <f>IF(X321&lt;&gt;"",IF(K321&lt;&gt;"",K321&amp;" ("&amp;M321&amp;")",M321),"")</f>
      </c>
      <c r="Z321">
        <f>IF(O321="Sí",COUNTIFS($D$2:D321,D321,$O$2:O321,"Sí"),"")</f>
      </c>
      <c r="AA321">
        <f>IF(Z321&lt;&gt;"",D321&amp;"|"&amp;Z321,"")</f>
      </c>
      <c r="AB321">
        <f>IF(AA321&lt;&gt;"",IF(K321&lt;&gt;"",K321&amp;" ("&amp;M321&amp;")",M321),"")</f>
      </c>
      <c r="AC321">
        <f>IF($B321="","fecha, ","")&amp;IF($C321="","quién lo introduce, ","")&amp;IF($I321="","motivo, ","")&amp;IF($K321="","docente, ","")&amp;IF($L321="","horario, ","")&amp;IF($N321="","duración, ","")&amp;IF($Q321="","estado, ","")&amp;IF(AND($I321="Otros",$J321=""),"detalle del motivo, ","")&amp;IF(AND($O321="Sí",$P321=""),"detalle del refuerzo, ","")&amp;IF(AND(OR($I321="Renuncia (hasta 30 nov)",$I321="Baja (desde 1 dic)",$I321="Renuncia excepcional (art. 25.3)",$I321="Traslado de expediente"),OR($E321="",$F321="",$G321="")),"quién deja la plaza, ","")&amp;IF(AND($Q321="No disponible",$R321=""),"vía de cobertura, ","")&amp;IF(AND(OR($R321="Lista de espera · propio centro",$R321="Traslado de expediente",$R321="Lista de espera · otro centro"),OR($S321="",$T321="",$U321="")),"quién ocupa la plaza, ","")</f>
      </c>
      <c r="AD321" s="24">
        <f>IF($D321="","",IF(AND(LEN($AC321)=0,LEN($AK321)=0),"Completa",IF(LEN($AC321)=0,"Revisar: "&amp;LEFT($AK321,LEN($AK321)-2),"Falta: "&amp;LEFT($AC321,LEN($AC321)-2)&amp;IF(LEN($AK321)&gt;0,"  ·  Revisar: "&amp;LEFT($AK321,LEN($AK321)-2),""))))</f>
      </c>
      <c r="AE321">
        <f>IF(AND($D321&lt;&gt;"",OR($I321="Renuncia (hasta 30 nov)",$I321="Baja (desde 1 dic)",$I321="Renuncia excepcional (art. 25.3)",$I321="Traslado de expediente")),COUNTIF($AE$1:AE320,"&gt;0")+1,"")</f>
      </c>
      <c r="AF321">
        <f>IF($Q321="Disponible",COUNTIF($AF$1:AF320,"&gt;0")+1,"")</f>
      </c>
      <c r="AG321">
        <f>IF($O321="Sí",COUNTIF($AG$1:AG320,"&gt;0")+1,"")</f>
      </c>
      <c r="AH321">
        <f>IF(AND($Q321="Disponible",$O321&lt;&gt;"Sí"),COUNTIF($AH$1:AH320,"&gt;0")+1,"")</f>
      </c>
      <c r="AI321">
        <f>IF(AND($Q321="Disponible",$K321&lt;&gt;""),COUNTIFS($K$2:K321,K321,$Q$2:Q321,"Disponible"),"")</f>
      </c>
      <c r="AJ321">
        <f>IF(AI321&lt;&gt;"",K321&amp;"|"&amp;AI321,"")</f>
      </c>
      <c r="AK321">
        <f>IF(AND($Q321="No disponible",OR($R321="Lista de espera · propio centro",$R321="Traslado de expediente",$R321="Lista de espera · otro centro"),$O321="Sí"),"la plaza ya tiene alumno y sigue marcada como refuerzo, ","")&amp;IF(AND($R321="Reconvertida en refuerzo",$O321&lt;&gt;"Sí"),"reconvertida en refuerzo pero sin marcar «En uso como refuerzo», ","")</f>
      </c>
    </row>
    <row r="322" spans="1:37">
      <c r="A322" s="20">
        <f>IF(D322&lt;&gt;"",ROW()-1,"")</f>
      </c>
      <c r="B322" s="55"/>
      <c r="C322" s="56"/>
      <c r="D322" s="56"/>
      <c r="E322" s="56"/>
      <c r="F322" s="56"/>
      <c r="G322" s="56"/>
      <c r="H322" s="56"/>
      <c r="I322" s="56"/>
      <c r="J322" s="57"/>
      <c r="K322" s="56"/>
      <c r="L322" s="58"/>
      <c r="M322" s="58">
        <f>IF(L322="","",L322)</f>
      </c>
      <c r="N322" s="56"/>
      <c r="O322" s="56"/>
      <c r="P322" s="57"/>
      <c r="Q322" s="56"/>
      <c r="R322" s="56"/>
      <c r="S322" s="56"/>
      <c r="T322" s="56"/>
      <c r="U322" s="56"/>
      <c r="V322" s="57"/>
      <c r="W322">
        <f>IF(Q322="Disponible",COUNTIFS($D$2:D322,D322,$Q$2:Q322,"Disponible"),"")</f>
      </c>
      <c r="X322">
        <f>IF(W322&lt;&gt;"",D322&amp;"|"&amp;W322,"")</f>
      </c>
      <c r="Y322">
        <f>IF(X322&lt;&gt;"",IF(K322&lt;&gt;"",K322&amp;" ("&amp;M322&amp;")",M322),"")</f>
      </c>
      <c r="Z322">
        <f>IF(O322="Sí",COUNTIFS($D$2:D322,D322,$O$2:O322,"Sí"),"")</f>
      </c>
      <c r="AA322">
        <f>IF(Z322&lt;&gt;"",D322&amp;"|"&amp;Z322,"")</f>
      </c>
      <c r="AB322">
        <f>IF(AA322&lt;&gt;"",IF(K322&lt;&gt;"",K322&amp;" ("&amp;M322&amp;")",M322),"")</f>
      </c>
      <c r="AC322">
        <f>IF($B322="","fecha, ","")&amp;IF($C322="","quién lo introduce, ","")&amp;IF($I322="","motivo, ","")&amp;IF($K322="","docente, ","")&amp;IF($L322="","horario, ","")&amp;IF($N322="","duración, ","")&amp;IF($Q322="","estado, ","")&amp;IF(AND($I322="Otros",$J322=""),"detalle del motivo, ","")&amp;IF(AND($O322="Sí",$P322=""),"detalle del refuerzo, ","")&amp;IF(AND(OR($I322="Renuncia (hasta 30 nov)",$I322="Baja (desde 1 dic)",$I322="Renuncia excepcional (art. 25.3)",$I322="Traslado de expediente"),OR($E322="",$F322="",$G322="")),"quién deja la plaza, ","")&amp;IF(AND($Q322="No disponible",$R322=""),"vía de cobertura, ","")&amp;IF(AND(OR($R322="Lista de espera · propio centro",$R322="Traslado de expediente",$R322="Lista de espera · otro centro"),OR($S322="",$T322="",$U322="")),"quién ocupa la plaza, ","")</f>
      </c>
      <c r="AD322" s="24">
        <f>IF($D322="","",IF(AND(LEN($AC322)=0,LEN($AK322)=0),"Completa",IF(LEN($AC322)=0,"Revisar: "&amp;LEFT($AK322,LEN($AK322)-2),"Falta: "&amp;LEFT($AC322,LEN($AC322)-2)&amp;IF(LEN($AK322)&gt;0,"  ·  Revisar: "&amp;LEFT($AK322,LEN($AK322)-2),""))))</f>
      </c>
      <c r="AE322">
        <f>IF(AND($D322&lt;&gt;"",OR($I322="Renuncia (hasta 30 nov)",$I322="Baja (desde 1 dic)",$I322="Renuncia excepcional (art. 25.3)",$I322="Traslado de expediente")),COUNTIF($AE$1:AE321,"&gt;0")+1,"")</f>
      </c>
      <c r="AF322">
        <f>IF($Q322="Disponible",COUNTIF($AF$1:AF321,"&gt;0")+1,"")</f>
      </c>
      <c r="AG322">
        <f>IF($O322="Sí",COUNTIF($AG$1:AG321,"&gt;0")+1,"")</f>
      </c>
      <c r="AH322">
        <f>IF(AND($Q322="Disponible",$O322&lt;&gt;"Sí"),COUNTIF($AH$1:AH321,"&gt;0")+1,"")</f>
      </c>
      <c r="AI322">
        <f>IF(AND($Q322="Disponible",$K322&lt;&gt;""),COUNTIFS($K$2:K322,K322,$Q$2:Q322,"Disponible"),"")</f>
      </c>
      <c r="AJ322">
        <f>IF(AI322&lt;&gt;"",K322&amp;"|"&amp;AI322,"")</f>
      </c>
      <c r="AK322">
        <f>IF(AND($Q322="No disponible",OR($R322="Lista de espera · propio centro",$R322="Traslado de expediente",$R322="Lista de espera · otro centro"),$O322="Sí"),"la plaza ya tiene alumno y sigue marcada como refuerzo, ","")&amp;IF(AND($R322="Reconvertida en refuerzo",$O322&lt;&gt;"Sí"),"reconvertida en refuerzo pero sin marcar «En uso como refuerzo», ","")</f>
      </c>
    </row>
    <row r="323" spans="1:37">
      <c r="A323" s="20">
        <f>IF(D323&lt;&gt;"",ROW()-1,"")</f>
      </c>
      <c r="B323" s="55"/>
      <c r="C323" s="56"/>
      <c r="D323" s="56"/>
      <c r="E323" s="56"/>
      <c r="F323" s="56"/>
      <c r="G323" s="56"/>
      <c r="H323" s="56"/>
      <c r="I323" s="56"/>
      <c r="J323" s="57"/>
      <c r="K323" s="56"/>
      <c r="L323" s="58"/>
      <c r="M323" s="58">
        <f>IF(L323="","",L323)</f>
      </c>
      <c r="N323" s="56"/>
      <c r="O323" s="56"/>
      <c r="P323" s="57"/>
      <c r="Q323" s="56"/>
      <c r="R323" s="56"/>
      <c r="S323" s="56"/>
      <c r="T323" s="56"/>
      <c r="U323" s="56"/>
      <c r="V323" s="57"/>
      <c r="W323">
        <f>IF(Q323="Disponible",COUNTIFS($D$2:D323,D323,$Q$2:Q323,"Disponible"),"")</f>
      </c>
      <c r="X323">
        <f>IF(W323&lt;&gt;"",D323&amp;"|"&amp;W323,"")</f>
      </c>
      <c r="Y323">
        <f>IF(X323&lt;&gt;"",IF(K323&lt;&gt;"",K323&amp;" ("&amp;M323&amp;")",M323),"")</f>
      </c>
      <c r="Z323">
        <f>IF(O323="Sí",COUNTIFS($D$2:D323,D323,$O$2:O323,"Sí"),"")</f>
      </c>
      <c r="AA323">
        <f>IF(Z323&lt;&gt;"",D323&amp;"|"&amp;Z323,"")</f>
      </c>
      <c r="AB323">
        <f>IF(AA323&lt;&gt;"",IF(K323&lt;&gt;"",K323&amp;" ("&amp;M323&amp;")",M323),"")</f>
      </c>
      <c r="AC323">
        <f>IF($B323="","fecha, ","")&amp;IF($C323="","quién lo introduce, ","")&amp;IF($I323="","motivo, ","")&amp;IF($K323="","docente, ","")&amp;IF($L323="","horario, ","")&amp;IF($N323="","duración, ","")&amp;IF($Q323="","estado, ","")&amp;IF(AND($I323="Otros",$J323=""),"detalle del motivo, ","")&amp;IF(AND($O323="Sí",$P323=""),"detalle del refuerzo, ","")&amp;IF(AND(OR($I323="Renuncia (hasta 30 nov)",$I323="Baja (desde 1 dic)",$I323="Renuncia excepcional (art. 25.3)",$I323="Traslado de expediente"),OR($E323="",$F323="",$G323="")),"quién deja la plaza, ","")&amp;IF(AND($Q323="No disponible",$R323=""),"vía de cobertura, ","")&amp;IF(AND(OR($R323="Lista de espera · propio centro",$R323="Traslado de expediente",$R323="Lista de espera · otro centro"),OR($S323="",$T323="",$U323="")),"quién ocupa la plaza, ","")</f>
      </c>
      <c r="AD323" s="24">
        <f>IF($D323="","",IF(AND(LEN($AC323)=0,LEN($AK323)=0),"Completa",IF(LEN($AC323)=0,"Revisar: "&amp;LEFT($AK323,LEN($AK323)-2),"Falta: "&amp;LEFT($AC323,LEN($AC323)-2)&amp;IF(LEN($AK323)&gt;0,"  ·  Revisar: "&amp;LEFT($AK323,LEN($AK323)-2),""))))</f>
      </c>
      <c r="AE323">
        <f>IF(AND($D323&lt;&gt;"",OR($I323="Renuncia (hasta 30 nov)",$I323="Baja (desde 1 dic)",$I323="Renuncia excepcional (art. 25.3)",$I323="Traslado de expediente")),COUNTIF($AE$1:AE322,"&gt;0")+1,"")</f>
      </c>
      <c r="AF323">
        <f>IF($Q323="Disponible",COUNTIF($AF$1:AF322,"&gt;0")+1,"")</f>
      </c>
      <c r="AG323">
        <f>IF($O323="Sí",COUNTIF($AG$1:AG322,"&gt;0")+1,"")</f>
      </c>
      <c r="AH323">
        <f>IF(AND($Q323="Disponible",$O323&lt;&gt;"Sí"),COUNTIF($AH$1:AH322,"&gt;0")+1,"")</f>
      </c>
      <c r="AI323">
        <f>IF(AND($Q323="Disponible",$K323&lt;&gt;""),COUNTIFS($K$2:K323,K323,$Q$2:Q323,"Disponible"),"")</f>
      </c>
      <c r="AJ323">
        <f>IF(AI323&lt;&gt;"",K323&amp;"|"&amp;AI323,"")</f>
      </c>
      <c r="AK323">
        <f>IF(AND($Q323="No disponible",OR($R323="Lista de espera · propio centro",$R323="Traslado de expediente",$R323="Lista de espera · otro centro"),$O323="Sí"),"la plaza ya tiene alumno y sigue marcada como refuerzo, ","")&amp;IF(AND($R323="Reconvertida en refuerzo",$O323&lt;&gt;"Sí"),"reconvertida en refuerzo pero sin marcar «En uso como refuerzo», ","")</f>
      </c>
    </row>
    <row r="324" spans="1:37">
      <c r="A324" s="20">
        <f>IF(D324&lt;&gt;"",ROW()-1,"")</f>
      </c>
      <c r="B324" s="55"/>
      <c r="C324" s="56"/>
      <c r="D324" s="56"/>
      <c r="E324" s="56"/>
      <c r="F324" s="56"/>
      <c r="G324" s="56"/>
      <c r="H324" s="56"/>
      <c r="I324" s="56"/>
      <c r="J324" s="57"/>
      <c r="K324" s="56"/>
      <c r="L324" s="58"/>
      <c r="M324" s="58">
        <f>IF(L324="","",L324)</f>
      </c>
      <c r="N324" s="56"/>
      <c r="O324" s="56"/>
      <c r="P324" s="57"/>
      <c r="Q324" s="56"/>
      <c r="R324" s="56"/>
      <c r="S324" s="56"/>
      <c r="T324" s="56"/>
      <c r="U324" s="56"/>
      <c r="V324" s="57"/>
      <c r="W324">
        <f>IF(Q324="Disponible",COUNTIFS($D$2:D324,D324,$Q$2:Q324,"Disponible"),"")</f>
      </c>
      <c r="X324">
        <f>IF(W324&lt;&gt;"",D324&amp;"|"&amp;W324,"")</f>
      </c>
      <c r="Y324">
        <f>IF(X324&lt;&gt;"",IF(K324&lt;&gt;"",K324&amp;" ("&amp;M324&amp;")",M324),"")</f>
      </c>
      <c r="Z324">
        <f>IF(O324="Sí",COUNTIFS($D$2:D324,D324,$O$2:O324,"Sí"),"")</f>
      </c>
      <c r="AA324">
        <f>IF(Z324&lt;&gt;"",D324&amp;"|"&amp;Z324,"")</f>
      </c>
      <c r="AB324">
        <f>IF(AA324&lt;&gt;"",IF(K324&lt;&gt;"",K324&amp;" ("&amp;M324&amp;")",M324),"")</f>
      </c>
      <c r="AC324">
        <f>IF($B324="","fecha, ","")&amp;IF($C324="","quién lo introduce, ","")&amp;IF($I324="","motivo, ","")&amp;IF($K324="","docente, ","")&amp;IF($L324="","horario, ","")&amp;IF($N324="","duración, ","")&amp;IF($Q324="","estado, ","")&amp;IF(AND($I324="Otros",$J324=""),"detalle del motivo, ","")&amp;IF(AND($O324="Sí",$P324=""),"detalle del refuerzo, ","")&amp;IF(AND(OR($I324="Renuncia (hasta 30 nov)",$I324="Baja (desde 1 dic)",$I324="Renuncia excepcional (art. 25.3)",$I324="Traslado de expediente"),OR($E324="",$F324="",$G324="")),"quién deja la plaza, ","")&amp;IF(AND($Q324="No disponible",$R324=""),"vía de cobertura, ","")&amp;IF(AND(OR($R324="Lista de espera · propio centro",$R324="Traslado de expediente",$R324="Lista de espera · otro centro"),OR($S324="",$T324="",$U324="")),"quién ocupa la plaza, ","")</f>
      </c>
      <c r="AD324" s="24">
        <f>IF($D324="","",IF(AND(LEN($AC324)=0,LEN($AK324)=0),"Completa",IF(LEN($AC324)=0,"Revisar: "&amp;LEFT($AK324,LEN($AK324)-2),"Falta: "&amp;LEFT($AC324,LEN($AC324)-2)&amp;IF(LEN($AK324)&gt;0,"  ·  Revisar: "&amp;LEFT($AK324,LEN($AK324)-2),""))))</f>
      </c>
      <c r="AE324">
        <f>IF(AND($D324&lt;&gt;"",OR($I324="Renuncia (hasta 30 nov)",$I324="Baja (desde 1 dic)",$I324="Renuncia excepcional (art. 25.3)",$I324="Traslado de expediente")),COUNTIF($AE$1:AE323,"&gt;0")+1,"")</f>
      </c>
      <c r="AF324">
        <f>IF($Q324="Disponible",COUNTIF($AF$1:AF323,"&gt;0")+1,"")</f>
      </c>
      <c r="AG324">
        <f>IF($O324="Sí",COUNTIF($AG$1:AG323,"&gt;0")+1,"")</f>
      </c>
      <c r="AH324">
        <f>IF(AND($Q324="Disponible",$O324&lt;&gt;"Sí"),COUNTIF($AH$1:AH323,"&gt;0")+1,"")</f>
      </c>
      <c r="AI324">
        <f>IF(AND($Q324="Disponible",$K324&lt;&gt;""),COUNTIFS($K$2:K324,K324,$Q$2:Q324,"Disponible"),"")</f>
      </c>
      <c r="AJ324">
        <f>IF(AI324&lt;&gt;"",K324&amp;"|"&amp;AI324,"")</f>
      </c>
      <c r="AK324">
        <f>IF(AND($Q324="No disponible",OR($R324="Lista de espera · propio centro",$R324="Traslado de expediente",$R324="Lista de espera · otro centro"),$O324="Sí"),"la plaza ya tiene alumno y sigue marcada como refuerzo, ","")&amp;IF(AND($R324="Reconvertida en refuerzo",$O324&lt;&gt;"Sí"),"reconvertida en refuerzo pero sin marcar «En uso como refuerzo», ","")</f>
      </c>
    </row>
    <row r="325" spans="1:37">
      <c r="A325" s="20">
        <f>IF(D325&lt;&gt;"",ROW()-1,"")</f>
      </c>
      <c r="B325" s="55"/>
      <c r="C325" s="56"/>
      <c r="D325" s="56"/>
      <c r="E325" s="56"/>
      <c r="F325" s="56"/>
      <c r="G325" s="56"/>
      <c r="H325" s="56"/>
      <c r="I325" s="56"/>
      <c r="J325" s="57"/>
      <c r="K325" s="56"/>
      <c r="L325" s="58"/>
      <c r="M325" s="58">
        <f>IF(L325="","",L325)</f>
      </c>
      <c r="N325" s="56"/>
      <c r="O325" s="56"/>
      <c r="P325" s="57"/>
      <c r="Q325" s="56"/>
      <c r="R325" s="56"/>
      <c r="S325" s="56"/>
      <c r="T325" s="56"/>
      <c r="U325" s="56"/>
      <c r="V325" s="57"/>
      <c r="W325">
        <f>IF(Q325="Disponible",COUNTIFS($D$2:D325,D325,$Q$2:Q325,"Disponible"),"")</f>
      </c>
      <c r="X325">
        <f>IF(W325&lt;&gt;"",D325&amp;"|"&amp;W325,"")</f>
      </c>
      <c r="Y325">
        <f>IF(X325&lt;&gt;"",IF(K325&lt;&gt;"",K325&amp;" ("&amp;M325&amp;")",M325),"")</f>
      </c>
      <c r="Z325">
        <f>IF(O325="Sí",COUNTIFS($D$2:D325,D325,$O$2:O325,"Sí"),"")</f>
      </c>
      <c r="AA325">
        <f>IF(Z325&lt;&gt;"",D325&amp;"|"&amp;Z325,"")</f>
      </c>
      <c r="AB325">
        <f>IF(AA325&lt;&gt;"",IF(K325&lt;&gt;"",K325&amp;" ("&amp;M325&amp;")",M325),"")</f>
      </c>
      <c r="AC325">
        <f>IF($B325="","fecha, ","")&amp;IF($C325="","quién lo introduce, ","")&amp;IF($I325="","motivo, ","")&amp;IF($K325="","docente, ","")&amp;IF($L325="","horario, ","")&amp;IF($N325="","duración, ","")&amp;IF($Q325="","estado, ","")&amp;IF(AND($I325="Otros",$J325=""),"detalle del motivo, ","")&amp;IF(AND($O325="Sí",$P325=""),"detalle del refuerzo, ","")&amp;IF(AND(OR($I325="Renuncia (hasta 30 nov)",$I325="Baja (desde 1 dic)",$I325="Renuncia excepcional (art. 25.3)",$I325="Traslado de expediente"),OR($E325="",$F325="",$G325="")),"quién deja la plaza, ","")&amp;IF(AND($Q325="No disponible",$R325=""),"vía de cobertura, ","")&amp;IF(AND(OR($R325="Lista de espera · propio centro",$R325="Traslado de expediente",$R325="Lista de espera · otro centro"),OR($S325="",$T325="",$U325="")),"quién ocupa la plaza, ","")</f>
      </c>
      <c r="AD325" s="24">
        <f>IF($D325="","",IF(AND(LEN($AC325)=0,LEN($AK325)=0),"Completa",IF(LEN($AC325)=0,"Revisar: "&amp;LEFT($AK325,LEN($AK325)-2),"Falta: "&amp;LEFT($AC325,LEN($AC325)-2)&amp;IF(LEN($AK325)&gt;0,"  ·  Revisar: "&amp;LEFT($AK325,LEN($AK325)-2),""))))</f>
      </c>
      <c r="AE325">
        <f>IF(AND($D325&lt;&gt;"",OR($I325="Renuncia (hasta 30 nov)",$I325="Baja (desde 1 dic)",$I325="Renuncia excepcional (art. 25.3)",$I325="Traslado de expediente")),COUNTIF($AE$1:AE324,"&gt;0")+1,"")</f>
      </c>
      <c r="AF325">
        <f>IF($Q325="Disponible",COUNTIF($AF$1:AF324,"&gt;0")+1,"")</f>
      </c>
      <c r="AG325">
        <f>IF($O325="Sí",COUNTIF($AG$1:AG324,"&gt;0")+1,"")</f>
      </c>
      <c r="AH325">
        <f>IF(AND($Q325="Disponible",$O325&lt;&gt;"Sí"),COUNTIF($AH$1:AH324,"&gt;0")+1,"")</f>
      </c>
      <c r="AI325">
        <f>IF(AND($Q325="Disponible",$K325&lt;&gt;""),COUNTIFS($K$2:K325,K325,$Q$2:Q325,"Disponible"),"")</f>
      </c>
      <c r="AJ325">
        <f>IF(AI325&lt;&gt;"",K325&amp;"|"&amp;AI325,"")</f>
      </c>
      <c r="AK325">
        <f>IF(AND($Q325="No disponible",OR($R325="Lista de espera · propio centro",$R325="Traslado de expediente",$R325="Lista de espera · otro centro"),$O325="Sí"),"la plaza ya tiene alumno y sigue marcada como refuerzo, ","")&amp;IF(AND($R325="Reconvertida en refuerzo",$O325&lt;&gt;"Sí"),"reconvertida en refuerzo pero sin marcar «En uso como refuerzo», ","")</f>
      </c>
    </row>
    <row r="326" spans="1:37">
      <c r="A326" s="20">
        <f>IF(D326&lt;&gt;"",ROW()-1,"")</f>
      </c>
      <c r="B326" s="55"/>
      <c r="C326" s="56"/>
      <c r="D326" s="56"/>
      <c r="E326" s="56"/>
      <c r="F326" s="56"/>
      <c r="G326" s="56"/>
      <c r="H326" s="56"/>
      <c r="I326" s="56"/>
      <c r="J326" s="57"/>
      <c r="K326" s="56"/>
      <c r="L326" s="58"/>
      <c r="M326" s="58">
        <f>IF(L326="","",L326)</f>
      </c>
      <c r="N326" s="56"/>
      <c r="O326" s="56"/>
      <c r="P326" s="57"/>
      <c r="Q326" s="56"/>
      <c r="R326" s="56"/>
      <c r="S326" s="56"/>
      <c r="T326" s="56"/>
      <c r="U326" s="56"/>
      <c r="V326" s="57"/>
      <c r="W326">
        <f>IF(Q326="Disponible",COUNTIFS($D$2:D326,D326,$Q$2:Q326,"Disponible"),"")</f>
      </c>
      <c r="X326">
        <f>IF(W326&lt;&gt;"",D326&amp;"|"&amp;W326,"")</f>
      </c>
      <c r="Y326">
        <f>IF(X326&lt;&gt;"",IF(K326&lt;&gt;"",K326&amp;" ("&amp;M326&amp;")",M326),"")</f>
      </c>
      <c r="Z326">
        <f>IF(O326="Sí",COUNTIFS($D$2:D326,D326,$O$2:O326,"Sí"),"")</f>
      </c>
      <c r="AA326">
        <f>IF(Z326&lt;&gt;"",D326&amp;"|"&amp;Z326,"")</f>
      </c>
      <c r="AB326">
        <f>IF(AA326&lt;&gt;"",IF(K326&lt;&gt;"",K326&amp;" ("&amp;M326&amp;")",M326),"")</f>
      </c>
      <c r="AC326">
        <f>IF($B326="","fecha, ","")&amp;IF($C326="","quién lo introduce, ","")&amp;IF($I326="","motivo, ","")&amp;IF($K326="","docente, ","")&amp;IF($L326="","horario, ","")&amp;IF($N326="","duración, ","")&amp;IF($Q326="","estado, ","")&amp;IF(AND($I326="Otros",$J326=""),"detalle del motivo, ","")&amp;IF(AND($O326="Sí",$P326=""),"detalle del refuerzo, ","")&amp;IF(AND(OR($I326="Renuncia (hasta 30 nov)",$I326="Baja (desde 1 dic)",$I326="Renuncia excepcional (art. 25.3)",$I326="Traslado de expediente"),OR($E326="",$F326="",$G326="")),"quién deja la plaza, ","")&amp;IF(AND($Q326="No disponible",$R326=""),"vía de cobertura, ","")&amp;IF(AND(OR($R326="Lista de espera · propio centro",$R326="Traslado de expediente",$R326="Lista de espera · otro centro"),OR($S326="",$T326="",$U326="")),"quién ocupa la plaza, ","")</f>
      </c>
      <c r="AD326" s="24">
        <f>IF($D326="","",IF(AND(LEN($AC326)=0,LEN($AK326)=0),"Completa",IF(LEN($AC326)=0,"Revisar: "&amp;LEFT($AK326,LEN($AK326)-2),"Falta: "&amp;LEFT($AC326,LEN($AC326)-2)&amp;IF(LEN($AK326)&gt;0,"  ·  Revisar: "&amp;LEFT($AK326,LEN($AK326)-2),""))))</f>
      </c>
      <c r="AE326">
        <f>IF(AND($D326&lt;&gt;"",OR($I326="Renuncia (hasta 30 nov)",$I326="Baja (desde 1 dic)",$I326="Renuncia excepcional (art. 25.3)",$I326="Traslado de expediente")),COUNTIF($AE$1:AE325,"&gt;0")+1,"")</f>
      </c>
      <c r="AF326">
        <f>IF($Q326="Disponible",COUNTIF($AF$1:AF325,"&gt;0")+1,"")</f>
      </c>
      <c r="AG326">
        <f>IF($O326="Sí",COUNTIF($AG$1:AG325,"&gt;0")+1,"")</f>
      </c>
      <c r="AH326">
        <f>IF(AND($Q326="Disponible",$O326&lt;&gt;"Sí"),COUNTIF($AH$1:AH325,"&gt;0")+1,"")</f>
      </c>
      <c r="AI326">
        <f>IF(AND($Q326="Disponible",$K326&lt;&gt;""),COUNTIFS($K$2:K326,K326,$Q$2:Q326,"Disponible"),"")</f>
      </c>
      <c r="AJ326">
        <f>IF(AI326&lt;&gt;"",K326&amp;"|"&amp;AI326,"")</f>
      </c>
      <c r="AK326">
        <f>IF(AND($Q326="No disponible",OR($R326="Lista de espera · propio centro",$R326="Traslado de expediente",$R326="Lista de espera · otro centro"),$O326="Sí"),"la plaza ya tiene alumno y sigue marcada como refuerzo, ","")&amp;IF(AND($R326="Reconvertida en refuerzo",$O326&lt;&gt;"Sí"),"reconvertida en refuerzo pero sin marcar «En uso como refuerzo», ","")</f>
      </c>
    </row>
    <row r="327" spans="1:37">
      <c r="A327" s="20">
        <f>IF(D327&lt;&gt;"",ROW()-1,"")</f>
      </c>
      <c r="B327" s="55"/>
      <c r="C327" s="56"/>
      <c r="D327" s="56"/>
      <c r="E327" s="56"/>
      <c r="F327" s="56"/>
      <c r="G327" s="56"/>
      <c r="H327" s="56"/>
      <c r="I327" s="56"/>
      <c r="J327" s="57"/>
      <c r="K327" s="56"/>
      <c r="L327" s="58"/>
      <c r="M327" s="58">
        <f>IF(L327="","",L327)</f>
      </c>
      <c r="N327" s="56"/>
      <c r="O327" s="56"/>
      <c r="P327" s="57"/>
      <c r="Q327" s="56"/>
      <c r="R327" s="56"/>
      <c r="S327" s="56"/>
      <c r="T327" s="56"/>
      <c r="U327" s="56"/>
      <c r="V327" s="57"/>
      <c r="W327">
        <f>IF(Q327="Disponible",COUNTIFS($D$2:D327,D327,$Q$2:Q327,"Disponible"),"")</f>
      </c>
      <c r="X327">
        <f>IF(W327&lt;&gt;"",D327&amp;"|"&amp;W327,"")</f>
      </c>
      <c r="Y327">
        <f>IF(X327&lt;&gt;"",IF(K327&lt;&gt;"",K327&amp;" ("&amp;M327&amp;")",M327),"")</f>
      </c>
      <c r="Z327">
        <f>IF(O327="Sí",COUNTIFS($D$2:D327,D327,$O$2:O327,"Sí"),"")</f>
      </c>
      <c r="AA327">
        <f>IF(Z327&lt;&gt;"",D327&amp;"|"&amp;Z327,"")</f>
      </c>
      <c r="AB327">
        <f>IF(AA327&lt;&gt;"",IF(K327&lt;&gt;"",K327&amp;" ("&amp;M327&amp;")",M327),"")</f>
      </c>
      <c r="AC327">
        <f>IF($B327="","fecha, ","")&amp;IF($C327="","quién lo introduce, ","")&amp;IF($I327="","motivo, ","")&amp;IF($K327="","docente, ","")&amp;IF($L327="","horario, ","")&amp;IF($N327="","duración, ","")&amp;IF($Q327="","estado, ","")&amp;IF(AND($I327="Otros",$J327=""),"detalle del motivo, ","")&amp;IF(AND($O327="Sí",$P327=""),"detalle del refuerzo, ","")&amp;IF(AND(OR($I327="Renuncia (hasta 30 nov)",$I327="Baja (desde 1 dic)",$I327="Renuncia excepcional (art. 25.3)",$I327="Traslado de expediente"),OR($E327="",$F327="",$G327="")),"quién deja la plaza, ","")&amp;IF(AND($Q327="No disponible",$R327=""),"vía de cobertura, ","")&amp;IF(AND(OR($R327="Lista de espera · propio centro",$R327="Traslado de expediente",$R327="Lista de espera · otro centro"),OR($S327="",$T327="",$U327="")),"quién ocupa la plaza, ","")</f>
      </c>
      <c r="AD327" s="24">
        <f>IF($D327="","",IF(AND(LEN($AC327)=0,LEN($AK327)=0),"Completa",IF(LEN($AC327)=0,"Revisar: "&amp;LEFT($AK327,LEN($AK327)-2),"Falta: "&amp;LEFT($AC327,LEN($AC327)-2)&amp;IF(LEN($AK327)&gt;0,"  ·  Revisar: "&amp;LEFT($AK327,LEN($AK327)-2),""))))</f>
      </c>
      <c r="AE327">
        <f>IF(AND($D327&lt;&gt;"",OR($I327="Renuncia (hasta 30 nov)",$I327="Baja (desde 1 dic)",$I327="Renuncia excepcional (art. 25.3)",$I327="Traslado de expediente")),COUNTIF($AE$1:AE326,"&gt;0")+1,"")</f>
      </c>
      <c r="AF327">
        <f>IF($Q327="Disponible",COUNTIF($AF$1:AF326,"&gt;0")+1,"")</f>
      </c>
      <c r="AG327">
        <f>IF($O327="Sí",COUNTIF($AG$1:AG326,"&gt;0")+1,"")</f>
      </c>
      <c r="AH327">
        <f>IF(AND($Q327="Disponible",$O327&lt;&gt;"Sí"),COUNTIF($AH$1:AH326,"&gt;0")+1,"")</f>
      </c>
      <c r="AI327">
        <f>IF(AND($Q327="Disponible",$K327&lt;&gt;""),COUNTIFS($K$2:K327,K327,$Q$2:Q327,"Disponible"),"")</f>
      </c>
      <c r="AJ327">
        <f>IF(AI327&lt;&gt;"",K327&amp;"|"&amp;AI327,"")</f>
      </c>
      <c r="AK327">
        <f>IF(AND($Q327="No disponible",OR($R327="Lista de espera · propio centro",$R327="Traslado de expediente",$R327="Lista de espera · otro centro"),$O327="Sí"),"la plaza ya tiene alumno y sigue marcada como refuerzo, ","")&amp;IF(AND($R327="Reconvertida en refuerzo",$O327&lt;&gt;"Sí"),"reconvertida en refuerzo pero sin marcar «En uso como refuerzo», ","")</f>
      </c>
    </row>
    <row r="328" spans="1:37">
      <c r="A328" s="20">
        <f>IF(D328&lt;&gt;"",ROW()-1,"")</f>
      </c>
      <c r="B328" s="55"/>
      <c r="C328" s="56"/>
      <c r="D328" s="56"/>
      <c r="E328" s="56"/>
      <c r="F328" s="56"/>
      <c r="G328" s="56"/>
      <c r="H328" s="56"/>
      <c r="I328" s="56"/>
      <c r="J328" s="57"/>
      <c r="K328" s="56"/>
      <c r="L328" s="58"/>
      <c r="M328" s="58">
        <f>IF(L328="","",L328)</f>
      </c>
      <c r="N328" s="56"/>
      <c r="O328" s="56"/>
      <c r="P328" s="57"/>
      <c r="Q328" s="56"/>
      <c r="R328" s="56"/>
      <c r="S328" s="56"/>
      <c r="T328" s="56"/>
      <c r="U328" s="56"/>
      <c r="V328" s="57"/>
      <c r="W328">
        <f>IF(Q328="Disponible",COUNTIFS($D$2:D328,D328,$Q$2:Q328,"Disponible"),"")</f>
      </c>
      <c r="X328">
        <f>IF(W328&lt;&gt;"",D328&amp;"|"&amp;W328,"")</f>
      </c>
      <c r="Y328">
        <f>IF(X328&lt;&gt;"",IF(K328&lt;&gt;"",K328&amp;" ("&amp;M328&amp;")",M328),"")</f>
      </c>
      <c r="Z328">
        <f>IF(O328="Sí",COUNTIFS($D$2:D328,D328,$O$2:O328,"Sí"),"")</f>
      </c>
      <c r="AA328">
        <f>IF(Z328&lt;&gt;"",D328&amp;"|"&amp;Z328,"")</f>
      </c>
      <c r="AB328">
        <f>IF(AA328&lt;&gt;"",IF(K328&lt;&gt;"",K328&amp;" ("&amp;M328&amp;")",M328),"")</f>
      </c>
      <c r="AC328">
        <f>IF($B328="","fecha, ","")&amp;IF($C328="","quién lo introduce, ","")&amp;IF($I328="","motivo, ","")&amp;IF($K328="","docente, ","")&amp;IF($L328="","horario, ","")&amp;IF($N328="","duración, ","")&amp;IF($Q328="","estado, ","")&amp;IF(AND($I328="Otros",$J328=""),"detalle del motivo, ","")&amp;IF(AND($O328="Sí",$P328=""),"detalle del refuerzo, ","")&amp;IF(AND(OR($I328="Renuncia (hasta 30 nov)",$I328="Baja (desde 1 dic)",$I328="Renuncia excepcional (art. 25.3)",$I328="Traslado de expediente"),OR($E328="",$F328="",$G328="")),"quién deja la plaza, ","")&amp;IF(AND($Q328="No disponible",$R328=""),"vía de cobertura, ","")&amp;IF(AND(OR($R328="Lista de espera · propio centro",$R328="Traslado de expediente",$R328="Lista de espera · otro centro"),OR($S328="",$T328="",$U328="")),"quién ocupa la plaza, ","")</f>
      </c>
      <c r="AD328" s="24">
        <f>IF($D328="","",IF(AND(LEN($AC328)=0,LEN($AK328)=0),"Completa",IF(LEN($AC328)=0,"Revisar: "&amp;LEFT($AK328,LEN($AK328)-2),"Falta: "&amp;LEFT($AC328,LEN($AC328)-2)&amp;IF(LEN($AK328)&gt;0,"  ·  Revisar: "&amp;LEFT($AK328,LEN($AK328)-2),""))))</f>
      </c>
      <c r="AE328">
        <f>IF(AND($D328&lt;&gt;"",OR($I328="Renuncia (hasta 30 nov)",$I328="Baja (desde 1 dic)",$I328="Renuncia excepcional (art. 25.3)",$I328="Traslado de expediente")),COUNTIF($AE$1:AE327,"&gt;0")+1,"")</f>
      </c>
      <c r="AF328">
        <f>IF($Q328="Disponible",COUNTIF($AF$1:AF327,"&gt;0")+1,"")</f>
      </c>
      <c r="AG328">
        <f>IF($O328="Sí",COUNTIF($AG$1:AG327,"&gt;0")+1,"")</f>
      </c>
      <c r="AH328">
        <f>IF(AND($Q328="Disponible",$O328&lt;&gt;"Sí"),COUNTIF($AH$1:AH327,"&gt;0")+1,"")</f>
      </c>
      <c r="AI328">
        <f>IF(AND($Q328="Disponible",$K328&lt;&gt;""),COUNTIFS($K$2:K328,K328,$Q$2:Q328,"Disponible"),"")</f>
      </c>
      <c r="AJ328">
        <f>IF(AI328&lt;&gt;"",K328&amp;"|"&amp;AI328,"")</f>
      </c>
      <c r="AK328">
        <f>IF(AND($Q328="No disponible",OR($R328="Lista de espera · propio centro",$R328="Traslado de expediente",$R328="Lista de espera · otro centro"),$O328="Sí"),"la plaza ya tiene alumno y sigue marcada como refuerzo, ","")&amp;IF(AND($R328="Reconvertida en refuerzo",$O328&lt;&gt;"Sí"),"reconvertida en refuerzo pero sin marcar «En uso como refuerzo», ","")</f>
      </c>
    </row>
    <row r="329" spans="1:37">
      <c r="A329" s="20">
        <f>IF(D329&lt;&gt;"",ROW()-1,"")</f>
      </c>
      <c r="B329" s="55"/>
      <c r="C329" s="56"/>
      <c r="D329" s="56"/>
      <c r="E329" s="56"/>
      <c r="F329" s="56"/>
      <c r="G329" s="56"/>
      <c r="H329" s="56"/>
      <c r="I329" s="56"/>
      <c r="J329" s="57"/>
      <c r="K329" s="56"/>
      <c r="L329" s="58"/>
      <c r="M329" s="58">
        <f>IF(L329="","",L329)</f>
      </c>
      <c r="N329" s="56"/>
      <c r="O329" s="56"/>
      <c r="P329" s="57"/>
      <c r="Q329" s="56"/>
      <c r="R329" s="56"/>
      <c r="S329" s="56"/>
      <c r="T329" s="56"/>
      <c r="U329" s="56"/>
      <c r="V329" s="57"/>
      <c r="W329">
        <f>IF(Q329="Disponible",COUNTIFS($D$2:D329,D329,$Q$2:Q329,"Disponible"),"")</f>
      </c>
      <c r="X329">
        <f>IF(W329&lt;&gt;"",D329&amp;"|"&amp;W329,"")</f>
      </c>
      <c r="Y329">
        <f>IF(X329&lt;&gt;"",IF(K329&lt;&gt;"",K329&amp;" ("&amp;M329&amp;")",M329),"")</f>
      </c>
      <c r="Z329">
        <f>IF(O329="Sí",COUNTIFS($D$2:D329,D329,$O$2:O329,"Sí"),"")</f>
      </c>
      <c r="AA329">
        <f>IF(Z329&lt;&gt;"",D329&amp;"|"&amp;Z329,"")</f>
      </c>
      <c r="AB329">
        <f>IF(AA329&lt;&gt;"",IF(K329&lt;&gt;"",K329&amp;" ("&amp;M329&amp;")",M329),"")</f>
      </c>
      <c r="AC329">
        <f>IF($B329="","fecha, ","")&amp;IF($C329="","quién lo introduce, ","")&amp;IF($I329="","motivo, ","")&amp;IF($K329="","docente, ","")&amp;IF($L329="","horario, ","")&amp;IF($N329="","duración, ","")&amp;IF($Q329="","estado, ","")&amp;IF(AND($I329="Otros",$J329=""),"detalle del motivo, ","")&amp;IF(AND($O329="Sí",$P329=""),"detalle del refuerzo, ","")&amp;IF(AND(OR($I329="Renuncia (hasta 30 nov)",$I329="Baja (desde 1 dic)",$I329="Renuncia excepcional (art. 25.3)",$I329="Traslado de expediente"),OR($E329="",$F329="",$G329="")),"quién deja la plaza, ","")&amp;IF(AND($Q329="No disponible",$R329=""),"vía de cobertura, ","")&amp;IF(AND(OR($R329="Lista de espera · propio centro",$R329="Traslado de expediente",$R329="Lista de espera · otro centro"),OR($S329="",$T329="",$U329="")),"quién ocupa la plaza, ","")</f>
      </c>
      <c r="AD329" s="24">
        <f>IF($D329="","",IF(AND(LEN($AC329)=0,LEN($AK329)=0),"Completa",IF(LEN($AC329)=0,"Revisar: "&amp;LEFT($AK329,LEN($AK329)-2),"Falta: "&amp;LEFT($AC329,LEN($AC329)-2)&amp;IF(LEN($AK329)&gt;0,"  ·  Revisar: "&amp;LEFT($AK329,LEN($AK329)-2),""))))</f>
      </c>
      <c r="AE329">
        <f>IF(AND($D329&lt;&gt;"",OR($I329="Renuncia (hasta 30 nov)",$I329="Baja (desde 1 dic)",$I329="Renuncia excepcional (art. 25.3)",$I329="Traslado de expediente")),COUNTIF($AE$1:AE328,"&gt;0")+1,"")</f>
      </c>
      <c r="AF329">
        <f>IF($Q329="Disponible",COUNTIF($AF$1:AF328,"&gt;0")+1,"")</f>
      </c>
      <c r="AG329">
        <f>IF($O329="Sí",COUNTIF($AG$1:AG328,"&gt;0")+1,"")</f>
      </c>
      <c r="AH329">
        <f>IF(AND($Q329="Disponible",$O329&lt;&gt;"Sí"),COUNTIF($AH$1:AH328,"&gt;0")+1,"")</f>
      </c>
      <c r="AI329">
        <f>IF(AND($Q329="Disponible",$K329&lt;&gt;""),COUNTIFS($K$2:K329,K329,$Q$2:Q329,"Disponible"),"")</f>
      </c>
      <c r="AJ329">
        <f>IF(AI329&lt;&gt;"",K329&amp;"|"&amp;AI329,"")</f>
      </c>
      <c r="AK329">
        <f>IF(AND($Q329="No disponible",OR($R329="Lista de espera · propio centro",$R329="Traslado de expediente",$R329="Lista de espera · otro centro"),$O329="Sí"),"la plaza ya tiene alumno y sigue marcada como refuerzo, ","")&amp;IF(AND($R329="Reconvertida en refuerzo",$O329&lt;&gt;"Sí"),"reconvertida en refuerzo pero sin marcar «En uso como refuerzo», ","")</f>
      </c>
    </row>
    <row r="330" spans="1:37">
      <c r="A330" s="20">
        <f>IF(D330&lt;&gt;"",ROW()-1,"")</f>
      </c>
      <c r="B330" s="55"/>
      <c r="C330" s="56"/>
      <c r="D330" s="56"/>
      <c r="E330" s="56"/>
      <c r="F330" s="56"/>
      <c r="G330" s="56"/>
      <c r="H330" s="56"/>
      <c r="I330" s="56"/>
      <c r="J330" s="57"/>
      <c r="K330" s="56"/>
      <c r="L330" s="58"/>
      <c r="M330" s="58">
        <f>IF(L330="","",L330)</f>
      </c>
      <c r="N330" s="56"/>
      <c r="O330" s="56"/>
      <c r="P330" s="57"/>
      <c r="Q330" s="56"/>
      <c r="R330" s="56"/>
      <c r="S330" s="56"/>
      <c r="T330" s="56"/>
      <c r="U330" s="56"/>
      <c r="V330" s="57"/>
      <c r="W330">
        <f>IF(Q330="Disponible",COUNTIFS($D$2:D330,D330,$Q$2:Q330,"Disponible"),"")</f>
      </c>
      <c r="X330">
        <f>IF(W330&lt;&gt;"",D330&amp;"|"&amp;W330,"")</f>
      </c>
      <c r="Y330">
        <f>IF(X330&lt;&gt;"",IF(K330&lt;&gt;"",K330&amp;" ("&amp;M330&amp;")",M330),"")</f>
      </c>
      <c r="Z330">
        <f>IF(O330="Sí",COUNTIFS($D$2:D330,D330,$O$2:O330,"Sí"),"")</f>
      </c>
      <c r="AA330">
        <f>IF(Z330&lt;&gt;"",D330&amp;"|"&amp;Z330,"")</f>
      </c>
      <c r="AB330">
        <f>IF(AA330&lt;&gt;"",IF(K330&lt;&gt;"",K330&amp;" ("&amp;M330&amp;")",M330),"")</f>
      </c>
      <c r="AC330">
        <f>IF($B330="","fecha, ","")&amp;IF($C330="","quién lo introduce, ","")&amp;IF($I330="","motivo, ","")&amp;IF($K330="","docente, ","")&amp;IF($L330="","horario, ","")&amp;IF($N330="","duración, ","")&amp;IF($Q330="","estado, ","")&amp;IF(AND($I330="Otros",$J330=""),"detalle del motivo, ","")&amp;IF(AND($O330="Sí",$P330=""),"detalle del refuerzo, ","")&amp;IF(AND(OR($I330="Renuncia (hasta 30 nov)",$I330="Baja (desde 1 dic)",$I330="Renuncia excepcional (art. 25.3)",$I330="Traslado de expediente"),OR($E330="",$F330="",$G330="")),"quién deja la plaza, ","")&amp;IF(AND($Q330="No disponible",$R330=""),"vía de cobertura, ","")&amp;IF(AND(OR($R330="Lista de espera · propio centro",$R330="Traslado de expediente",$R330="Lista de espera · otro centro"),OR($S330="",$T330="",$U330="")),"quién ocupa la plaza, ","")</f>
      </c>
      <c r="AD330" s="24">
        <f>IF($D330="","",IF(AND(LEN($AC330)=0,LEN($AK330)=0),"Completa",IF(LEN($AC330)=0,"Revisar: "&amp;LEFT($AK330,LEN($AK330)-2),"Falta: "&amp;LEFT($AC330,LEN($AC330)-2)&amp;IF(LEN($AK330)&gt;0,"  ·  Revisar: "&amp;LEFT($AK330,LEN($AK330)-2),""))))</f>
      </c>
      <c r="AE330">
        <f>IF(AND($D330&lt;&gt;"",OR($I330="Renuncia (hasta 30 nov)",$I330="Baja (desde 1 dic)",$I330="Renuncia excepcional (art. 25.3)",$I330="Traslado de expediente")),COUNTIF($AE$1:AE329,"&gt;0")+1,"")</f>
      </c>
      <c r="AF330">
        <f>IF($Q330="Disponible",COUNTIF($AF$1:AF329,"&gt;0")+1,"")</f>
      </c>
      <c r="AG330">
        <f>IF($O330="Sí",COUNTIF($AG$1:AG329,"&gt;0")+1,"")</f>
      </c>
      <c r="AH330">
        <f>IF(AND($Q330="Disponible",$O330&lt;&gt;"Sí"),COUNTIF($AH$1:AH329,"&gt;0")+1,"")</f>
      </c>
      <c r="AI330">
        <f>IF(AND($Q330="Disponible",$K330&lt;&gt;""),COUNTIFS($K$2:K330,K330,$Q$2:Q330,"Disponible"),"")</f>
      </c>
      <c r="AJ330">
        <f>IF(AI330&lt;&gt;"",K330&amp;"|"&amp;AI330,"")</f>
      </c>
      <c r="AK330">
        <f>IF(AND($Q330="No disponible",OR($R330="Lista de espera · propio centro",$R330="Traslado de expediente",$R330="Lista de espera · otro centro"),$O330="Sí"),"la plaza ya tiene alumno y sigue marcada como refuerzo, ","")&amp;IF(AND($R330="Reconvertida en refuerzo",$O330&lt;&gt;"Sí"),"reconvertida en refuerzo pero sin marcar «En uso como refuerzo», ","")</f>
      </c>
    </row>
    <row r="331" spans="1:37">
      <c r="A331" s="20">
        <f>IF(D331&lt;&gt;"",ROW()-1,"")</f>
      </c>
      <c r="B331" s="55"/>
      <c r="C331" s="56"/>
      <c r="D331" s="56"/>
      <c r="E331" s="56"/>
      <c r="F331" s="56"/>
      <c r="G331" s="56"/>
      <c r="H331" s="56"/>
      <c r="I331" s="56"/>
      <c r="J331" s="57"/>
      <c r="K331" s="56"/>
      <c r="L331" s="58"/>
      <c r="M331" s="58">
        <f>IF(L331="","",L331)</f>
      </c>
      <c r="N331" s="56"/>
      <c r="O331" s="56"/>
      <c r="P331" s="57"/>
      <c r="Q331" s="56"/>
      <c r="R331" s="56"/>
      <c r="S331" s="56"/>
      <c r="T331" s="56"/>
      <c r="U331" s="56"/>
      <c r="V331" s="57"/>
      <c r="W331">
        <f>IF(Q331="Disponible",COUNTIFS($D$2:D331,D331,$Q$2:Q331,"Disponible"),"")</f>
      </c>
      <c r="X331">
        <f>IF(W331&lt;&gt;"",D331&amp;"|"&amp;W331,"")</f>
      </c>
      <c r="Y331">
        <f>IF(X331&lt;&gt;"",IF(K331&lt;&gt;"",K331&amp;" ("&amp;M331&amp;")",M331),"")</f>
      </c>
      <c r="Z331">
        <f>IF(O331="Sí",COUNTIFS($D$2:D331,D331,$O$2:O331,"Sí"),"")</f>
      </c>
      <c r="AA331">
        <f>IF(Z331&lt;&gt;"",D331&amp;"|"&amp;Z331,"")</f>
      </c>
      <c r="AB331">
        <f>IF(AA331&lt;&gt;"",IF(K331&lt;&gt;"",K331&amp;" ("&amp;M331&amp;")",M331),"")</f>
      </c>
      <c r="AC331">
        <f>IF($B331="","fecha, ","")&amp;IF($C331="","quién lo introduce, ","")&amp;IF($I331="","motivo, ","")&amp;IF($K331="","docente, ","")&amp;IF($L331="","horario, ","")&amp;IF($N331="","duración, ","")&amp;IF($Q331="","estado, ","")&amp;IF(AND($I331="Otros",$J331=""),"detalle del motivo, ","")&amp;IF(AND($O331="Sí",$P331=""),"detalle del refuerzo, ","")&amp;IF(AND(OR($I331="Renuncia (hasta 30 nov)",$I331="Baja (desde 1 dic)",$I331="Renuncia excepcional (art. 25.3)",$I331="Traslado de expediente"),OR($E331="",$F331="",$G331="")),"quién deja la plaza, ","")&amp;IF(AND($Q331="No disponible",$R331=""),"vía de cobertura, ","")&amp;IF(AND(OR($R331="Lista de espera · propio centro",$R331="Traslado de expediente",$R331="Lista de espera · otro centro"),OR($S331="",$T331="",$U331="")),"quién ocupa la plaza, ","")</f>
      </c>
      <c r="AD331" s="24">
        <f>IF($D331="","",IF(AND(LEN($AC331)=0,LEN($AK331)=0),"Completa",IF(LEN($AC331)=0,"Revisar: "&amp;LEFT($AK331,LEN($AK331)-2),"Falta: "&amp;LEFT($AC331,LEN($AC331)-2)&amp;IF(LEN($AK331)&gt;0,"  ·  Revisar: "&amp;LEFT($AK331,LEN($AK331)-2),""))))</f>
      </c>
      <c r="AE331">
        <f>IF(AND($D331&lt;&gt;"",OR($I331="Renuncia (hasta 30 nov)",$I331="Baja (desde 1 dic)",$I331="Renuncia excepcional (art. 25.3)",$I331="Traslado de expediente")),COUNTIF($AE$1:AE330,"&gt;0")+1,"")</f>
      </c>
      <c r="AF331">
        <f>IF($Q331="Disponible",COUNTIF($AF$1:AF330,"&gt;0")+1,"")</f>
      </c>
      <c r="AG331">
        <f>IF($O331="Sí",COUNTIF($AG$1:AG330,"&gt;0")+1,"")</f>
      </c>
      <c r="AH331">
        <f>IF(AND($Q331="Disponible",$O331&lt;&gt;"Sí"),COUNTIF($AH$1:AH330,"&gt;0")+1,"")</f>
      </c>
      <c r="AI331">
        <f>IF(AND($Q331="Disponible",$K331&lt;&gt;""),COUNTIFS($K$2:K331,K331,$Q$2:Q331,"Disponible"),"")</f>
      </c>
      <c r="AJ331">
        <f>IF(AI331&lt;&gt;"",K331&amp;"|"&amp;AI331,"")</f>
      </c>
      <c r="AK331">
        <f>IF(AND($Q331="No disponible",OR($R331="Lista de espera · propio centro",$R331="Traslado de expediente",$R331="Lista de espera · otro centro"),$O331="Sí"),"la plaza ya tiene alumno y sigue marcada como refuerzo, ","")&amp;IF(AND($R331="Reconvertida en refuerzo",$O331&lt;&gt;"Sí"),"reconvertida en refuerzo pero sin marcar «En uso como refuerzo», ","")</f>
      </c>
    </row>
    <row r="332" spans="1:37">
      <c r="A332" s="20">
        <f>IF(D332&lt;&gt;"",ROW()-1,"")</f>
      </c>
      <c r="B332" s="55"/>
      <c r="C332" s="56"/>
      <c r="D332" s="56"/>
      <c r="E332" s="56"/>
      <c r="F332" s="56"/>
      <c r="G332" s="56"/>
      <c r="H332" s="56"/>
      <c r="I332" s="56"/>
      <c r="J332" s="57"/>
      <c r="K332" s="56"/>
      <c r="L332" s="58"/>
      <c r="M332" s="58">
        <f>IF(L332="","",L332)</f>
      </c>
      <c r="N332" s="56"/>
      <c r="O332" s="56"/>
      <c r="P332" s="57"/>
      <c r="Q332" s="56"/>
      <c r="R332" s="56"/>
      <c r="S332" s="56"/>
      <c r="T332" s="56"/>
      <c r="U332" s="56"/>
      <c r="V332" s="57"/>
      <c r="W332">
        <f>IF(Q332="Disponible",COUNTIFS($D$2:D332,D332,$Q$2:Q332,"Disponible"),"")</f>
      </c>
      <c r="X332">
        <f>IF(W332&lt;&gt;"",D332&amp;"|"&amp;W332,"")</f>
      </c>
      <c r="Y332">
        <f>IF(X332&lt;&gt;"",IF(K332&lt;&gt;"",K332&amp;" ("&amp;M332&amp;")",M332),"")</f>
      </c>
      <c r="Z332">
        <f>IF(O332="Sí",COUNTIFS($D$2:D332,D332,$O$2:O332,"Sí"),"")</f>
      </c>
      <c r="AA332">
        <f>IF(Z332&lt;&gt;"",D332&amp;"|"&amp;Z332,"")</f>
      </c>
      <c r="AB332">
        <f>IF(AA332&lt;&gt;"",IF(K332&lt;&gt;"",K332&amp;" ("&amp;M332&amp;")",M332),"")</f>
      </c>
      <c r="AC332">
        <f>IF($B332="","fecha, ","")&amp;IF($C332="","quién lo introduce, ","")&amp;IF($I332="","motivo, ","")&amp;IF($K332="","docente, ","")&amp;IF($L332="","horario, ","")&amp;IF($N332="","duración, ","")&amp;IF($Q332="","estado, ","")&amp;IF(AND($I332="Otros",$J332=""),"detalle del motivo, ","")&amp;IF(AND($O332="Sí",$P332=""),"detalle del refuerzo, ","")&amp;IF(AND(OR($I332="Renuncia (hasta 30 nov)",$I332="Baja (desde 1 dic)",$I332="Renuncia excepcional (art. 25.3)",$I332="Traslado de expediente"),OR($E332="",$F332="",$G332="")),"quién deja la plaza, ","")&amp;IF(AND($Q332="No disponible",$R332=""),"vía de cobertura, ","")&amp;IF(AND(OR($R332="Lista de espera · propio centro",$R332="Traslado de expediente",$R332="Lista de espera · otro centro"),OR($S332="",$T332="",$U332="")),"quién ocupa la plaza, ","")</f>
      </c>
      <c r="AD332" s="24">
        <f>IF($D332="","",IF(AND(LEN($AC332)=0,LEN($AK332)=0),"Completa",IF(LEN($AC332)=0,"Revisar: "&amp;LEFT($AK332,LEN($AK332)-2),"Falta: "&amp;LEFT($AC332,LEN($AC332)-2)&amp;IF(LEN($AK332)&gt;0,"  ·  Revisar: "&amp;LEFT($AK332,LEN($AK332)-2),""))))</f>
      </c>
      <c r="AE332">
        <f>IF(AND($D332&lt;&gt;"",OR($I332="Renuncia (hasta 30 nov)",$I332="Baja (desde 1 dic)",$I332="Renuncia excepcional (art. 25.3)",$I332="Traslado de expediente")),COUNTIF($AE$1:AE331,"&gt;0")+1,"")</f>
      </c>
      <c r="AF332">
        <f>IF($Q332="Disponible",COUNTIF($AF$1:AF331,"&gt;0")+1,"")</f>
      </c>
      <c r="AG332">
        <f>IF($O332="Sí",COUNTIF($AG$1:AG331,"&gt;0")+1,"")</f>
      </c>
      <c r="AH332">
        <f>IF(AND($Q332="Disponible",$O332&lt;&gt;"Sí"),COUNTIF($AH$1:AH331,"&gt;0")+1,"")</f>
      </c>
      <c r="AI332">
        <f>IF(AND($Q332="Disponible",$K332&lt;&gt;""),COUNTIFS($K$2:K332,K332,$Q$2:Q332,"Disponible"),"")</f>
      </c>
      <c r="AJ332">
        <f>IF(AI332&lt;&gt;"",K332&amp;"|"&amp;AI332,"")</f>
      </c>
      <c r="AK332">
        <f>IF(AND($Q332="No disponible",OR($R332="Lista de espera · propio centro",$R332="Traslado de expediente",$R332="Lista de espera · otro centro"),$O332="Sí"),"la plaza ya tiene alumno y sigue marcada como refuerzo, ","")&amp;IF(AND($R332="Reconvertida en refuerzo",$O332&lt;&gt;"Sí"),"reconvertida en refuerzo pero sin marcar «En uso como refuerzo», ","")</f>
      </c>
    </row>
    <row r="333" spans="1:37">
      <c r="A333" s="20">
        <f>IF(D333&lt;&gt;"",ROW()-1,"")</f>
      </c>
      <c r="B333" s="55"/>
      <c r="C333" s="56"/>
      <c r="D333" s="56"/>
      <c r="E333" s="56"/>
      <c r="F333" s="56"/>
      <c r="G333" s="56"/>
      <c r="H333" s="56"/>
      <c r="I333" s="56"/>
      <c r="J333" s="57"/>
      <c r="K333" s="56"/>
      <c r="L333" s="58"/>
      <c r="M333" s="58">
        <f>IF(L333="","",L333)</f>
      </c>
      <c r="N333" s="56"/>
      <c r="O333" s="56"/>
      <c r="P333" s="57"/>
      <c r="Q333" s="56"/>
      <c r="R333" s="56"/>
      <c r="S333" s="56"/>
      <c r="T333" s="56"/>
      <c r="U333" s="56"/>
      <c r="V333" s="57"/>
      <c r="W333">
        <f>IF(Q333="Disponible",COUNTIFS($D$2:D333,D333,$Q$2:Q333,"Disponible"),"")</f>
      </c>
      <c r="X333">
        <f>IF(W333&lt;&gt;"",D333&amp;"|"&amp;W333,"")</f>
      </c>
      <c r="Y333">
        <f>IF(X333&lt;&gt;"",IF(K333&lt;&gt;"",K333&amp;" ("&amp;M333&amp;")",M333),"")</f>
      </c>
      <c r="Z333">
        <f>IF(O333="Sí",COUNTIFS($D$2:D333,D333,$O$2:O333,"Sí"),"")</f>
      </c>
      <c r="AA333">
        <f>IF(Z333&lt;&gt;"",D333&amp;"|"&amp;Z333,"")</f>
      </c>
      <c r="AB333">
        <f>IF(AA333&lt;&gt;"",IF(K333&lt;&gt;"",K333&amp;" ("&amp;M333&amp;")",M333),"")</f>
      </c>
      <c r="AC333">
        <f>IF($B333="","fecha, ","")&amp;IF($C333="","quién lo introduce, ","")&amp;IF($I333="","motivo, ","")&amp;IF($K333="","docente, ","")&amp;IF($L333="","horario, ","")&amp;IF($N333="","duración, ","")&amp;IF($Q333="","estado, ","")&amp;IF(AND($I333="Otros",$J333=""),"detalle del motivo, ","")&amp;IF(AND($O333="Sí",$P333=""),"detalle del refuerzo, ","")&amp;IF(AND(OR($I333="Renuncia (hasta 30 nov)",$I333="Baja (desde 1 dic)",$I333="Renuncia excepcional (art. 25.3)",$I333="Traslado de expediente"),OR($E333="",$F333="",$G333="")),"quién deja la plaza, ","")&amp;IF(AND($Q333="No disponible",$R333=""),"vía de cobertura, ","")&amp;IF(AND(OR($R333="Lista de espera · propio centro",$R333="Traslado de expediente",$R333="Lista de espera · otro centro"),OR($S333="",$T333="",$U333="")),"quién ocupa la plaza, ","")</f>
      </c>
      <c r="AD333" s="24">
        <f>IF($D333="","",IF(AND(LEN($AC333)=0,LEN($AK333)=0),"Completa",IF(LEN($AC333)=0,"Revisar: "&amp;LEFT($AK333,LEN($AK333)-2),"Falta: "&amp;LEFT($AC333,LEN($AC333)-2)&amp;IF(LEN($AK333)&gt;0,"  ·  Revisar: "&amp;LEFT($AK333,LEN($AK333)-2),""))))</f>
      </c>
      <c r="AE333">
        <f>IF(AND($D333&lt;&gt;"",OR($I333="Renuncia (hasta 30 nov)",$I333="Baja (desde 1 dic)",$I333="Renuncia excepcional (art. 25.3)",$I333="Traslado de expediente")),COUNTIF($AE$1:AE332,"&gt;0")+1,"")</f>
      </c>
      <c r="AF333">
        <f>IF($Q333="Disponible",COUNTIF($AF$1:AF332,"&gt;0")+1,"")</f>
      </c>
      <c r="AG333">
        <f>IF($O333="Sí",COUNTIF($AG$1:AG332,"&gt;0")+1,"")</f>
      </c>
      <c r="AH333">
        <f>IF(AND($Q333="Disponible",$O333&lt;&gt;"Sí"),COUNTIF($AH$1:AH332,"&gt;0")+1,"")</f>
      </c>
      <c r="AI333">
        <f>IF(AND($Q333="Disponible",$K333&lt;&gt;""),COUNTIFS($K$2:K333,K333,$Q$2:Q333,"Disponible"),"")</f>
      </c>
      <c r="AJ333">
        <f>IF(AI333&lt;&gt;"",K333&amp;"|"&amp;AI333,"")</f>
      </c>
      <c r="AK333">
        <f>IF(AND($Q333="No disponible",OR($R333="Lista de espera · propio centro",$R333="Traslado de expediente",$R333="Lista de espera · otro centro"),$O333="Sí"),"la plaza ya tiene alumno y sigue marcada como refuerzo, ","")&amp;IF(AND($R333="Reconvertida en refuerzo",$O333&lt;&gt;"Sí"),"reconvertida en refuerzo pero sin marcar «En uso como refuerzo», ","")</f>
      </c>
    </row>
    <row r="334" spans="1:37">
      <c r="A334" s="20">
        <f>IF(D334&lt;&gt;"",ROW()-1,"")</f>
      </c>
      <c r="B334" s="55"/>
      <c r="C334" s="56"/>
      <c r="D334" s="56"/>
      <c r="E334" s="56"/>
      <c r="F334" s="56"/>
      <c r="G334" s="56"/>
      <c r="H334" s="56"/>
      <c r="I334" s="56"/>
      <c r="J334" s="57"/>
      <c r="K334" s="56"/>
      <c r="L334" s="58"/>
      <c r="M334" s="58">
        <f>IF(L334="","",L334)</f>
      </c>
      <c r="N334" s="56"/>
      <c r="O334" s="56"/>
      <c r="P334" s="57"/>
      <c r="Q334" s="56"/>
      <c r="R334" s="56"/>
      <c r="S334" s="56"/>
      <c r="T334" s="56"/>
      <c r="U334" s="56"/>
      <c r="V334" s="57"/>
      <c r="W334">
        <f>IF(Q334="Disponible",COUNTIFS($D$2:D334,D334,$Q$2:Q334,"Disponible"),"")</f>
      </c>
      <c r="X334">
        <f>IF(W334&lt;&gt;"",D334&amp;"|"&amp;W334,"")</f>
      </c>
      <c r="Y334">
        <f>IF(X334&lt;&gt;"",IF(K334&lt;&gt;"",K334&amp;" ("&amp;M334&amp;")",M334),"")</f>
      </c>
      <c r="Z334">
        <f>IF(O334="Sí",COUNTIFS($D$2:D334,D334,$O$2:O334,"Sí"),"")</f>
      </c>
      <c r="AA334">
        <f>IF(Z334&lt;&gt;"",D334&amp;"|"&amp;Z334,"")</f>
      </c>
      <c r="AB334">
        <f>IF(AA334&lt;&gt;"",IF(K334&lt;&gt;"",K334&amp;" ("&amp;M334&amp;")",M334),"")</f>
      </c>
      <c r="AC334">
        <f>IF($B334="","fecha, ","")&amp;IF($C334="","quién lo introduce, ","")&amp;IF($I334="","motivo, ","")&amp;IF($K334="","docente, ","")&amp;IF($L334="","horario, ","")&amp;IF($N334="","duración, ","")&amp;IF($Q334="","estado, ","")&amp;IF(AND($I334="Otros",$J334=""),"detalle del motivo, ","")&amp;IF(AND($O334="Sí",$P334=""),"detalle del refuerzo, ","")&amp;IF(AND(OR($I334="Renuncia (hasta 30 nov)",$I334="Baja (desde 1 dic)",$I334="Renuncia excepcional (art. 25.3)",$I334="Traslado de expediente"),OR($E334="",$F334="",$G334="")),"quién deja la plaza, ","")&amp;IF(AND($Q334="No disponible",$R334=""),"vía de cobertura, ","")&amp;IF(AND(OR($R334="Lista de espera · propio centro",$R334="Traslado de expediente",$R334="Lista de espera · otro centro"),OR($S334="",$T334="",$U334="")),"quién ocupa la plaza, ","")</f>
      </c>
      <c r="AD334" s="24">
        <f>IF($D334="","",IF(AND(LEN($AC334)=0,LEN($AK334)=0),"Completa",IF(LEN($AC334)=0,"Revisar: "&amp;LEFT($AK334,LEN($AK334)-2),"Falta: "&amp;LEFT($AC334,LEN($AC334)-2)&amp;IF(LEN($AK334)&gt;0,"  ·  Revisar: "&amp;LEFT($AK334,LEN($AK334)-2),""))))</f>
      </c>
      <c r="AE334">
        <f>IF(AND($D334&lt;&gt;"",OR($I334="Renuncia (hasta 30 nov)",$I334="Baja (desde 1 dic)",$I334="Renuncia excepcional (art. 25.3)",$I334="Traslado de expediente")),COUNTIF($AE$1:AE333,"&gt;0")+1,"")</f>
      </c>
      <c r="AF334">
        <f>IF($Q334="Disponible",COUNTIF($AF$1:AF333,"&gt;0")+1,"")</f>
      </c>
      <c r="AG334">
        <f>IF($O334="Sí",COUNTIF($AG$1:AG333,"&gt;0")+1,"")</f>
      </c>
      <c r="AH334">
        <f>IF(AND($Q334="Disponible",$O334&lt;&gt;"Sí"),COUNTIF($AH$1:AH333,"&gt;0")+1,"")</f>
      </c>
      <c r="AI334">
        <f>IF(AND($Q334="Disponible",$K334&lt;&gt;""),COUNTIFS($K$2:K334,K334,$Q$2:Q334,"Disponible"),"")</f>
      </c>
      <c r="AJ334">
        <f>IF(AI334&lt;&gt;"",K334&amp;"|"&amp;AI334,"")</f>
      </c>
      <c r="AK334">
        <f>IF(AND($Q334="No disponible",OR($R334="Lista de espera · propio centro",$R334="Traslado de expediente",$R334="Lista de espera · otro centro"),$O334="Sí"),"la plaza ya tiene alumno y sigue marcada como refuerzo, ","")&amp;IF(AND($R334="Reconvertida en refuerzo",$O334&lt;&gt;"Sí"),"reconvertida en refuerzo pero sin marcar «En uso como refuerzo», ","")</f>
      </c>
    </row>
    <row r="335" spans="1:37">
      <c r="A335" s="20">
        <f>IF(D335&lt;&gt;"",ROW()-1,"")</f>
      </c>
      <c r="B335" s="55"/>
      <c r="C335" s="56"/>
      <c r="D335" s="56"/>
      <c r="E335" s="56"/>
      <c r="F335" s="56"/>
      <c r="G335" s="56"/>
      <c r="H335" s="56"/>
      <c r="I335" s="56"/>
      <c r="J335" s="57"/>
      <c r="K335" s="56"/>
      <c r="L335" s="58"/>
      <c r="M335" s="58">
        <f>IF(L335="","",L335)</f>
      </c>
      <c r="N335" s="56"/>
      <c r="O335" s="56"/>
      <c r="P335" s="57"/>
      <c r="Q335" s="56"/>
      <c r="R335" s="56"/>
      <c r="S335" s="56"/>
      <c r="T335" s="56"/>
      <c r="U335" s="56"/>
      <c r="V335" s="57"/>
      <c r="W335">
        <f>IF(Q335="Disponible",COUNTIFS($D$2:D335,D335,$Q$2:Q335,"Disponible"),"")</f>
      </c>
      <c r="X335">
        <f>IF(W335&lt;&gt;"",D335&amp;"|"&amp;W335,"")</f>
      </c>
      <c r="Y335">
        <f>IF(X335&lt;&gt;"",IF(K335&lt;&gt;"",K335&amp;" ("&amp;M335&amp;")",M335),"")</f>
      </c>
      <c r="Z335">
        <f>IF(O335="Sí",COUNTIFS($D$2:D335,D335,$O$2:O335,"Sí"),"")</f>
      </c>
      <c r="AA335">
        <f>IF(Z335&lt;&gt;"",D335&amp;"|"&amp;Z335,"")</f>
      </c>
      <c r="AB335">
        <f>IF(AA335&lt;&gt;"",IF(K335&lt;&gt;"",K335&amp;" ("&amp;M335&amp;")",M335),"")</f>
      </c>
      <c r="AC335">
        <f>IF($B335="","fecha, ","")&amp;IF($C335="","quién lo introduce, ","")&amp;IF($I335="","motivo, ","")&amp;IF($K335="","docente, ","")&amp;IF($L335="","horario, ","")&amp;IF($N335="","duración, ","")&amp;IF($Q335="","estado, ","")&amp;IF(AND($I335="Otros",$J335=""),"detalle del motivo, ","")&amp;IF(AND($O335="Sí",$P335=""),"detalle del refuerzo, ","")&amp;IF(AND(OR($I335="Renuncia (hasta 30 nov)",$I335="Baja (desde 1 dic)",$I335="Renuncia excepcional (art. 25.3)",$I335="Traslado de expediente"),OR($E335="",$F335="",$G335="")),"quién deja la plaza, ","")&amp;IF(AND($Q335="No disponible",$R335=""),"vía de cobertura, ","")&amp;IF(AND(OR($R335="Lista de espera · propio centro",$R335="Traslado de expediente",$R335="Lista de espera · otro centro"),OR($S335="",$T335="",$U335="")),"quién ocupa la plaza, ","")</f>
      </c>
      <c r="AD335" s="24">
        <f>IF($D335="","",IF(AND(LEN($AC335)=0,LEN($AK335)=0),"Completa",IF(LEN($AC335)=0,"Revisar: "&amp;LEFT($AK335,LEN($AK335)-2),"Falta: "&amp;LEFT($AC335,LEN($AC335)-2)&amp;IF(LEN($AK335)&gt;0,"  ·  Revisar: "&amp;LEFT($AK335,LEN($AK335)-2),""))))</f>
      </c>
      <c r="AE335">
        <f>IF(AND($D335&lt;&gt;"",OR($I335="Renuncia (hasta 30 nov)",$I335="Baja (desde 1 dic)",$I335="Renuncia excepcional (art. 25.3)",$I335="Traslado de expediente")),COUNTIF($AE$1:AE334,"&gt;0")+1,"")</f>
      </c>
      <c r="AF335">
        <f>IF($Q335="Disponible",COUNTIF($AF$1:AF334,"&gt;0")+1,"")</f>
      </c>
      <c r="AG335">
        <f>IF($O335="Sí",COUNTIF($AG$1:AG334,"&gt;0")+1,"")</f>
      </c>
      <c r="AH335">
        <f>IF(AND($Q335="Disponible",$O335&lt;&gt;"Sí"),COUNTIF($AH$1:AH334,"&gt;0")+1,"")</f>
      </c>
      <c r="AI335">
        <f>IF(AND($Q335="Disponible",$K335&lt;&gt;""),COUNTIFS($K$2:K335,K335,$Q$2:Q335,"Disponible"),"")</f>
      </c>
      <c r="AJ335">
        <f>IF(AI335&lt;&gt;"",K335&amp;"|"&amp;AI335,"")</f>
      </c>
      <c r="AK335">
        <f>IF(AND($Q335="No disponible",OR($R335="Lista de espera · propio centro",$R335="Traslado de expediente",$R335="Lista de espera · otro centro"),$O335="Sí"),"la plaza ya tiene alumno y sigue marcada como refuerzo, ","")&amp;IF(AND($R335="Reconvertida en refuerzo",$O335&lt;&gt;"Sí"),"reconvertida en refuerzo pero sin marcar «En uso como refuerzo», ","")</f>
      </c>
    </row>
    <row r="336" spans="1:37">
      <c r="A336" s="20">
        <f>IF(D336&lt;&gt;"",ROW()-1,"")</f>
      </c>
      <c r="B336" s="55"/>
      <c r="C336" s="56"/>
      <c r="D336" s="56"/>
      <c r="E336" s="56"/>
      <c r="F336" s="56"/>
      <c r="G336" s="56"/>
      <c r="H336" s="56"/>
      <c r="I336" s="56"/>
      <c r="J336" s="57"/>
      <c r="K336" s="56"/>
      <c r="L336" s="58"/>
      <c r="M336" s="58">
        <f>IF(L336="","",L336)</f>
      </c>
      <c r="N336" s="56"/>
      <c r="O336" s="56"/>
      <c r="P336" s="57"/>
      <c r="Q336" s="56"/>
      <c r="R336" s="56"/>
      <c r="S336" s="56"/>
      <c r="T336" s="56"/>
      <c r="U336" s="56"/>
      <c r="V336" s="57"/>
      <c r="W336">
        <f>IF(Q336="Disponible",COUNTIFS($D$2:D336,D336,$Q$2:Q336,"Disponible"),"")</f>
      </c>
      <c r="X336">
        <f>IF(W336&lt;&gt;"",D336&amp;"|"&amp;W336,"")</f>
      </c>
      <c r="Y336">
        <f>IF(X336&lt;&gt;"",IF(K336&lt;&gt;"",K336&amp;" ("&amp;M336&amp;")",M336),"")</f>
      </c>
      <c r="Z336">
        <f>IF(O336="Sí",COUNTIFS($D$2:D336,D336,$O$2:O336,"Sí"),"")</f>
      </c>
      <c r="AA336">
        <f>IF(Z336&lt;&gt;"",D336&amp;"|"&amp;Z336,"")</f>
      </c>
      <c r="AB336">
        <f>IF(AA336&lt;&gt;"",IF(K336&lt;&gt;"",K336&amp;" ("&amp;M336&amp;")",M336),"")</f>
      </c>
      <c r="AC336">
        <f>IF($B336="","fecha, ","")&amp;IF($C336="","quién lo introduce, ","")&amp;IF($I336="","motivo, ","")&amp;IF($K336="","docente, ","")&amp;IF($L336="","horario, ","")&amp;IF($N336="","duración, ","")&amp;IF($Q336="","estado, ","")&amp;IF(AND($I336="Otros",$J336=""),"detalle del motivo, ","")&amp;IF(AND($O336="Sí",$P336=""),"detalle del refuerzo, ","")&amp;IF(AND(OR($I336="Renuncia (hasta 30 nov)",$I336="Baja (desde 1 dic)",$I336="Renuncia excepcional (art. 25.3)",$I336="Traslado de expediente"),OR($E336="",$F336="",$G336="")),"quién deja la plaza, ","")&amp;IF(AND($Q336="No disponible",$R336=""),"vía de cobertura, ","")&amp;IF(AND(OR($R336="Lista de espera · propio centro",$R336="Traslado de expediente",$R336="Lista de espera · otro centro"),OR($S336="",$T336="",$U336="")),"quién ocupa la plaza, ","")</f>
      </c>
      <c r="AD336" s="24">
        <f>IF($D336="","",IF(AND(LEN($AC336)=0,LEN($AK336)=0),"Completa",IF(LEN($AC336)=0,"Revisar: "&amp;LEFT($AK336,LEN($AK336)-2),"Falta: "&amp;LEFT($AC336,LEN($AC336)-2)&amp;IF(LEN($AK336)&gt;0,"  ·  Revisar: "&amp;LEFT($AK336,LEN($AK336)-2),""))))</f>
      </c>
      <c r="AE336">
        <f>IF(AND($D336&lt;&gt;"",OR($I336="Renuncia (hasta 30 nov)",$I336="Baja (desde 1 dic)",$I336="Renuncia excepcional (art. 25.3)",$I336="Traslado de expediente")),COUNTIF($AE$1:AE335,"&gt;0")+1,"")</f>
      </c>
      <c r="AF336">
        <f>IF($Q336="Disponible",COUNTIF($AF$1:AF335,"&gt;0")+1,"")</f>
      </c>
      <c r="AG336">
        <f>IF($O336="Sí",COUNTIF($AG$1:AG335,"&gt;0")+1,"")</f>
      </c>
      <c r="AH336">
        <f>IF(AND($Q336="Disponible",$O336&lt;&gt;"Sí"),COUNTIF($AH$1:AH335,"&gt;0")+1,"")</f>
      </c>
      <c r="AI336">
        <f>IF(AND($Q336="Disponible",$K336&lt;&gt;""),COUNTIFS($K$2:K336,K336,$Q$2:Q336,"Disponible"),"")</f>
      </c>
      <c r="AJ336">
        <f>IF(AI336&lt;&gt;"",K336&amp;"|"&amp;AI336,"")</f>
      </c>
      <c r="AK336">
        <f>IF(AND($Q336="No disponible",OR($R336="Lista de espera · propio centro",$R336="Traslado de expediente",$R336="Lista de espera · otro centro"),$O336="Sí"),"la plaza ya tiene alumno y sigue marcada como refuerzo, ","")&amp;IF(AND($R336="Reconvertida en refuerzo",$O336&lt;&gt;"Sí"),"reconvertida en refuerzo pero sin marcar «En uso como refuerzo», ","")</f>
      </c>
    </row>
    <row r="337" spans="1:37">
      <c r="A337" s="20">
        <f>IF(D337&lt;&gt;"",ROW()-1,"")</f>
      </c>
      <c r="B337" s="55"/>
      <c r="C337" s="56"/>
      <c r="D337" s="56"/>
      <c r="E337" s="56"/>
      <c r="F337" s="56"/>
      <c r="G337" s="56"/>
      <c r="H337" s="56"/>
      <c r="I337" s="56"/>
      <c r="J337" s="57"/>
      <c r="K337" s="56"/>
      <c r="L337" s="58"/>
      <c r="M337" s="58">
        <f>IF(L337="","",L337)</f>
      </c>
      <c r="N337" s="56"/>
      <c r="O337" s="56"/>
      <c r="P337" s="57"/>
      <c r="Q337" s="56"/>
      <c r="R337" s="56"/>
      <c r="S337" s="56"/>
      <c r="T337" s="56"/>
      <c r="U337" s="56"/>
      <c r="V337" s="57"/>
      <c r="W337">
        <f>IF(Q337="Disponible",COUNTIFS($D$2:D337,D337,$Q$2:Q337,"Disponible"),"")</f>
      </c>
      <c r="X337">
        <f>IF(W337&lt;&gt;"",D337&amp;"|"&amp;W337,"")</f>
      </c>
      <c r="Y337">
        <f>IF(X337&lt;&gt;"",IF(K337&lt;&gt;"",K337&amp;" ("&amp;M337&amp;")",M337),"")</f>
      </c>
      <c r="Z337">
        <f>IF(O337="Sí",COUNTIFS($D$2:D337,D337,$O$2:O337,"Sí"),"")</f>
      </c>
      <c r="AA337">
        <f>IF(Z337&lt;&gt;"",D337&amp;"|"&amp;Z337,"")</f>
      </c>
      <c r="AB337">
        <f>IF(AA337&lt;&gt;"",IF(K337&lt;&gt;"",K337&amp;" ("&amp;M337&amp;")",M337),"")</f>
      </c>
      <c r="AC337">
        <f>IF($B337="","fecha, ","")&amp;IF($C337="","quién lo introduce, ","")&amp;IF($I337="","motivo, ","")&amp;IF($K337="","docente, ","")&amp;IF($L337="","horario, ","")&amp;IF($N337="","duración, ","")&amp;IF($Q337="","estado, ","")&amp;IF(AND($I337="Otros",$J337=""),"detalle del motivo, ","")&amp;IF(AND($O337="Sí",$P337=""),"detalle del refuerzo, ","")&amp;IF(AND(OR($I337="Renuncia (hasta 30 nov)",$I337="Baja (desde 1 dic)",$I337="Renuncia excepcional (art. 25.3)",$I337="Traslado de expediente"),OR($E337="",$F337="",$G337="")),"quién deja la plaza, ","")&amp;IF(AND($Q337="No disponible",$R337=""),"vía de cobertura, ","")&amp;IF(AND(OR($R337="Lista de espera · propio centro",$R337="Traslado de expediente",$R337="Lista de espera · otro centro"),OR($S337="",$T337="",$U337="")),"quién ocupa la plaza, ","")</f>
      </c>
      <c r="AD337" s="24">
        <f>IF($D337="","",IF(AND(LEN($AC337)=0,LEN($AK337)=0),"Completa",IF(LEN($AC337)=0,"Revisar: "&amp;LEFT($AK337,LEN($AK337)-2),"Falta: "&amp;LEFT($AC337,LEN($AC337)-2)&amp;IF(LEN($AK337)&gt;0,"  ·  Revisar: "&amp;LEFT($AK337,LEN($AK337)-2),""))))</f>
      </c>
      <c r="AE337">
        <f>IF(AND($D337&lt;&gt;"",OR($I337="Renuncia (hasta 30 nov)",$I337="Baja (desde 1 dic)",$I337="Renuncia excepcional (art. 25.3)",$I337="Traslado de expediente")),COUNTIF($AE$1:AE336,"&gt;0")+1,"")</f>
      </c>
      <c r="AF337">
        <f>IF($Q337="Disponible",COUNTIF($AF$1:AF336,"&gt;0")+1,"")</f>
      </c>
      <c r="AG337">
        <f>IF($O337="Sí",COUNTIF($AG$1:AG336,"&gt;0")+1,"")</f>
      </c>
      <c r="AH337">
        <f>IF(AND($Q337="Disponible",$O337&lt;&gt;"Sí"),COUNTIF($AH$1:AH336,"&gt;0")+1,"")</f>
      </c>
      <c r="AI337">
        <f>IF(AND($Q337="Disponible",$K337&lt;&gt;""),COUNTIFS($K$2:K337,K337,$Q$2:Q337,"Disponible"),"")</f>
      </c>
      <c r="AJ337">
        <f>IF(AI337&lt;&gt;"",K337&amp;"|"&amp;AI337,"")</f>
      </c>
      <c r="AK337">
        <f>IF(AND($Q337="No disponible",OR($R337="Lista de espera · propio centro",$R337="Traslado de expediente",$R337="Lista de espera · otro centro"),$O337="Sí"),"la plaza ya tiene alumno y sigue marcada como refuerzo, ","")&amp;IF(AND($R337="Reconvertida en refuerzo",$O337&lt;&gt;"Sí"),"reconvertida en refuerzo pero sin marcar «En uso como refuerzo», ","")</f>
      </c>
    </row>
    <row r="338" spans="1:37">
      <c r="A338" s="20">
        <f>IF(D338&lt;&gt;"",ROW()-1,"")</f>
      </c>
      <c r="B338" s="55"/>
      <c r="C338" s="56"/>
      <c r="D338" s="56"/>
      <c r="E338" s="56"/>
      <c r="F338" s="56"/>
      <c r="G338" s="56"/>
      <c r="H338" s="56"/>
      <c r="I338" s="56"/>
      <c r="J338" s="57"/>
      <c r="K338" s="56"/>
      <c r="L338" s="58"/>
      <c r="M338" s="58">
        <f>IF(L338="","",L338)</f>
      </c>
      <c r="N338" s="56"/>
      <c r="O338" s="56"/>
      <c r="P338" s="57"/>
      <c r="Q338" s="56"/>
      <c r="R338" s="56"/>
      <c r="S338" s="56"/>
      <c r="T338" s="56"/>
      <c r="U338" s="56"/>
      <c r="V338" s="57"/>
      <c r="W338">
        <f>IF(Q338="Disponible",COUNTIFS($D$2:D338,D338,$Q$2:Q338,"Disponible"),"")</f>
      </c>
      <c r="X338">
        <f>IF(W338&lt;&gt;"",D338&amp;"|"&amp;W338,"")</f>
      </c>
      <c r="Y338">
        <f>IF(X338&lt;&gt;"",IF(K338&lt;&gt;"",K338&amp;" ("&amp;M338&amp;")",M338),"")</f>
      </c>
      <c r="Z338">
        <f>IF(O338="Sí",COUNTIFS($D$2:D338,D338,$O$2:O338,"Sí"),"")</f>
      </c>
      <c r="AA338">
        <f>IF(Z338&lt;&gt;"",D338&amp;"|"&amp;Z338,"")</f>
      </c>
      <c r="AB338">
        <f>IF(AA338&lt;&gt;"",IF(K338&lt;&gt;"",K338&amp;" ("&amp;M338&amp;")",M338),"")</f>
      </c>
      <c r="AC338">
        <f>IF($B338="","fecha, ","")&amp;IF($C338="","quién lo introduce, ","")&amp;IF($I338="","motivo, ","")&amp;IF($K338="","docente, ","")&amp;IF($L338="","horario, ","")&amp;IF($N338="","duración, ","")&amp;IF($Q338="","estado, ","")&amp;IF(AND($I338="Otros",$J338=""),"detalle del motivo, ","")&amp;IF(AND($O338="Sí",$P338=""),"detalle del refuerzo, ","")&amp;IF(AND(OR($I338="Renuncia (hasta 30 nov)",$I338="Baja (desde 1 dic)",$I338="Renuncia excepcional (art. 25.3)",$I338="Traslado de expediente"),OR($E338="",$F338="",$G338="")),"quién deja la plaza, ","")&amp;IF(AND($Q338="No disponible",$R338=""),"vía de cobertura, ","")&amp;IF(AND(OR($R338="Lista de espera · propio centro",$R338="Traslado de expediente",$R338="Lista de espera · otro centro"),OR($S338="",$T338="",$U338="")),"quién ocupa la plaza, ","")</f>
      </c>
      <c r="AD338" s="24">
        <f>IF($D338="","",IF(AND(LEN($AC338)=0,LEN($AK338)=0),"Completa",IF(LEN($AC338)=0,"Revisar: "&amp;LEFT($AK338,LEN($AK338)-2),"Falta: "&amp;LEFT($AC338,LEN($AC338)-2)&amp;IF(LEN($AK338)&gt;0,"  ·  Revisar: "&amp;LEFT($AK338,LEN($AK338)-2),""))))</f>
      </c>
      <c r="AE338">
        <f>IF(AND($D338&lt;&gt;"",OR($I338="Renuncia (hasta 30 nov)",$I338="Baja (desde 1 dic)",$I338="Renuncia excepcional (art. 25.3)",$I338="Traslado de expediente")),COUNTIF($AE$1:AE337,"&gt;0")+1,"")</f>
      </c>
      <c r="AF338">
        <f>IF($Q338="Disponible",COUNTIF($AF$1:AF337,"&gt;0")+1,"")</f>
      </c>
      <c r="AG338">
        <f>IF($O338="Sí",COUNTIF($AG$1:AG337,"&gt;0")+1,"")</f>
      </c>
      <c r="AH338">
        <f>IF(AND($Q338="Disponible",$O338&lt;&gt;"Sí"),COUNTIF($AH$1:AH337,"&gt;0")+1,"")</f>
      </c>
      <c r="AI338">
        <f>IF(AND($Q338="Disponible",$K338&lt;&gt;""),COUNTIFS($K$2:K338,K338,$Q$2:Q338,"Disponible"),"")</f>
      </c>
      <c r="AJ338">
        <f>IF(AI338&lt;&gt;"",K338&amp;"|"&amp;AI338,"")</f>
      </c>
      <c r="AK338">
        <f>IF(AND($Q338="No disponible",OR($R338="Lista de espera · propio centro",$R338="Traslado de expediente",$R338="Lista de espera · otro centro"),$O338="Sí"),"la plaza ya tiene alumno y sigue marcada como refuerzo, ","")&amp;IF(AND($R338="Reconvertida en refuerzo",$O338&lt;&gt;"Sí"),"reconvertida en refuerzo pero sin marcar «En uso como refuerzo», ","")</f>
      </c>
    </row>
    <row r="339" spans="1:37">
      <c r="A339" s="20">
        <f>IF(D339&lt;&gt;"",ROW()-1,"")</f>
      </c>
      <c r="B339" s="55"/>
      <c r="C339" s="56"/>
      <c r="D339" s="56"/>
      <c r="E339" s="56"/>
      <c r="F339" s="56"/>
      <c r="G339" s="56"/>
      <c r="H339" s="56"/>
      <c r="I339" s="56"/>
      <c r="J339" s="57"/>
      <c r="K339" s="56"/>
      <c r="L339" s="58"/>
      <c r="M339" s="58">
        <f>IF(L339="","",L339)</f>
      </c>
      <c r="N339" s="56"/>
      <c r="O339" s="56"/>
      <c r="P339" s="57"/>
      <c r="Q339" s="56"/>
      <c r="R339" s="56"/>
      <c r="S339" s="56"/>
      <c r="T339" s="56"/>
      <c r="U339" s="56"/>
      <c r="V339" s="57"/>
      <c r="W339">
        <f>IF(Q339="Disponible",COUNTIFS($D$2:D339,D339,$Q$2:Q339,"Disponible"),"")</f>
      </c>
      <c r="X339">
        <f>IF(W339&lt;&gt;"",D339&amp;"|"&amp;W339,"")</f>
      </c>
      <c r="Y339">
        <f>IF(X339&lt;&gt;"",IF(K339&lt;&gt;"",K339&amp;" ("&amp;M339&amp;")",M339),"")</f>
      </c>
      <c r="Z339">
        <f>IF(O339="Sí",COUNTIFS($D$2:D339,D339,$O$2:O339,"Sí"),"")</f>
      </c>
      <c r="AA339">
        <f>IF(Z339&lt;&gt;"",D339&amp;"|"&amp;Z339,"")</f>
      </c>
      <c r="AB339">
        <f>IF(AA339&lt;&gt;"",IF(K339&lt;&gt;"",K339&amp;" ("&amp;M339&amp;")",M339),"")</f>
      </c>
      <c r="AC339">
        <f>IF($B339="","fecha, ","")&amp;IF($C339="","quién lo introduce, ","")&amp;IF($I339="","motivo, ","")&amp;IF($K339="","docente, ","")&amp;IF($L339="","horario, ","")&amp;IF($N339="","duración, ","")&amp;IF($Q339="","estado, ","")&amp;IF(AND($I339="Otros",$J339=""),"detalle del motivo, ","")&amp;IF(AND($O339="Sí",$P339=""),"detalle del refuerzo, ","")&amp;IF(AND(OR($I339="Renuncia (hasta 30 nov)",$I339="Baja (desde 1 dic)",$I339="Renuncia excepcional (art. 25.3)",$I339="Traslado de expediente"),OR($E339="",$F339="",$G339="")),"quién deja la plaza, ","")&amp;IF(AND($Q339="No disponible",$R339=""),"vía de cobertura, ","")&amp;IF(AND(OR($R339="Lista de espera · propio centro",$R339="Traslado de expediente",$R339="Lista de espera · otro centro"),OR($S339="",$T339="",$U339="")),"quién ocupa la plaza, ","")</f>
      </c>
      <c r="AD339" s="24">
        <f>IF($D339="","",IF(AND(LEN($AC339)=0,LEN($AK339)=0),"Completa",IF(LEN($AC339)=0,"Revisar: "&amp;LEFT($AK339,LEN($AK339)-2),"Falta: "&amp;LEFT($AC339,LEN($AC339)-2)&amp;IF(LEN($AK339)&gt;0,"  ·  Revisar: "&amp;LEFT($AK339,LEN($AK339)-2),""))))</f>
      </c>
      <c r="AE339">
        <f>IF(AND($D339&lt;&gt;"",OR($I339="Renuncia (hasta 30 nov)",$I339="Baja (desde 1 dic)",$I339="Renuncia excepcional (art. 25.3)",$I339="Traslado de expediente")),COUNTIF($AE$1:AE338,"&gt;0")+1,"")</f>
      </c>
      <c r="AF339">
        <f>IF($Q339="Disponible",COUNTIF($AF$1:AF338,"&gt;0")+1,"")</f>
      </c>
      <c r="AG339">
        <f>IF($O339="Sí",COUNTIF($AG$1:AG338,"&gt;0")+1,"")</f>
      </c>
      <c r="AH339">
        <f>IF(AND($Q339="Disponible",$O339&lt;&gt;"Sí"),COUNTIF($AH$1:AH338,"&gt;0")+1,"")</f>
      </c>
      <c r="AI339">
        <f>IF(AND($Q339="Disponible",$K339&lt;&gt;""),COUNTIFS($K$2:K339,K339,$Q$2:Q339,"Disponible"),"")</f>
      </c>
      <c r="AJ339">
        <f>IF(AI339&lt;&gt;"",K339&amp;"|"&amp;AI339,"")</f>
      </c>
      <c r="AK339">
        <f>IF(AND($Q339="No disponible",OR($R339="Lista de espera · propio centro",$R339="Traslado de expediente",$R339="Lista de espera · otro centro"),$O339="Sí"),"la plaza ya tiene alumno y sigue marcada como refuerzo, ","")&amp;IF(AND($R339="Reconvertida en refuerzo",$O339&lt;&gt;"Sí"),"reconvertida en refuerzo pero sin marcar «En uso como refuerzo», ","")</f>
      </c>
    </row>
    <row r="340" spans="1:37">
      <c r="A340" s="20">
        <f>IF(D340&lt;&gt;"",ROW()-1,"")</f>
      </c>
      <c r="B340" s="55"/>
      <c r="C340" s="56"/>
      <c r="D340" s="56"/>
      <c r="E340" s="56"/>
      <c r="F340" s="56"/>
      <c r="G340" s="56"/>
      <c r="H340" s="56"/>
      <c r="I340" s="56"/>
      <c r="J340" s="57"/>
      <c r="K340" s="56"/>
      <c r="L340" s="58"/>
      <c r="M340" s="58">
        <f>IF(L340="","",L340)</f>
      </c>
      <c r="N340" s="56"/>
      <c r="O340" s="56"/>
      <c r="P340" s="57"/>
      <c r="Q340" s="56"/>
      <c r="R340" s="56"/>
      <c r="S340" s="56"/>
      <c r="T340" s="56"/>
      <c r="U340" s="56"/>
      <c r="V340" s="57"/>
      <c r="W340">
        <f>IF(Q340="Disponible",COUNTIFS($D$2:D340,D340,$Q$2:Q340,"Disponible"),"")</f>
      </c>
      <c r="X340">
        <f>IF(W340&lt;&gt;"",D340&amp;"|"&amp;W340,"")</f>
      </c>
      <c r="Y340">
        <f>IF(X340&lt;&gt;"",IF(K340&lt;&gt;"",K340&amp;" ("&amp;M340&amp;")",M340),"")</f>
      </c>
      <c r="Z340">
        <f>IF(O340="Sí",COUNTIFS($D$2:D340,D340,$O$2:O340,"Sí"),"")</f>
      </c>
      <c r="AA340">
        <f>IF(Z340&lt;&gt;"",D340&amp;"|"&amp;Z340,"")</f>
      </c>
      <c r="AB340">
        <f>IF(AA340&lt;&gt;"",IF(K340&lt;&gt;"",K340&amp;" ("&amp;M340&amp;")",M340),"")</f>
      </c>
      <c r="AC340">
        <f>IF($B340="","fecha, ","")&amp;IF($C340="","quién lo introduce, ","")&amp;IF($I340="","motivo, ","")&amp;IF($K340="","docente, ","")&amp;IF($L340="","horario, ","")&amp;IF($N340="","duración, ","")&amp;IF($Q340="","estado, ","")&amp;IF(AND($I340="Otros",$J340=""),"detalle del motivo, ","")&amp;IF(AND($O340="Sí",$P340=""),"detalle del refuerzo, ","")&amp;IF(AND(OR($I340="Renuncia (hasta 30 nov)",$I340="Baja (desde 1 dic)",$I340="Renuncia excepcional (art. 25.3)",$I340="Traslado de expediente"),OR($E340="",$F340="",$G340="")),"quién deja la plaza, ","")&amp;IF(AND($Q340="No disponible",$R340=""),"vía de cobertura, ","")&amp;IF(AND(OR($R340="Lista de espera · propio centro",$R340="Traslado de expediente",$R340="Lista de espera · otro centro"),OR($S340="",$T340="",$U340="")),"quién ocupa la plaza, ","")</f>
      </c>
      <c r="AD340" s="24">
        <f>IF($D340="","",IF(AND(LEN($AC340)=0,LEN($AK340)=0),"Completa",IF(LEN($AC340)=0,"Revisar: "&amp;LEFT($AK340,LEN($AK340)-2),"Falta: "&amp;LEFT($AC340,LEN($AC340)-2)&amp;IF(LEN($AK340)&gt;0,"  ·  Revisar: "&amp;LEFT($AK340,LEN($AK340)-2),""))))</f>
      </c>
      <c r="AE340">
        <f>IF(AND($D340&lt;&gt;"",OR($I340="Renuncia (hasta 30 nov)",$I340="Baja (desde 1 dic)",$I340="Renuncia excepcional (art. 25.3)",$I340="Traslado de expediente")),COUNTIF($AE$1:AE339,"&gt;0")+1,"")</f>
      </c>
      <c r="AF340">
        <f>IF($Q340="Disponible",COUNTIF($AF$1:AF339,"&gt;0")+1,"")</f>
      </c>
      <c r="AG340">
        <f>IF($O340="Sí",COUNTIF($AG$1:AG339,"&gt;0")+1,"")</f>
      </c>
      <c r="AH340">
        <f>IF(AND($Q340="Disponible",$O340&lt;&gt;"Sí"),COUNTIF($AH$1:AH339,"&gt;0")+1,"")</f>
      </c>
      <c r="AI340">
        <f>IF(AND($Q340="Disponible",$K340&lt;&gt;""),COUNTIFS($K$2:K340,K340,$Q$2:Q340,"Disponible"),"")</f>
      </c>
      <c r="AJ340">
        <f>IF(AI340&lt;&gt;"",K340&amp;"|"&amp;AI340,"")</f>
      </c>
      <c r="AK340">
        <f>IF(AND($Q340="No disponible",OR($R340="Lista de espera · propio centro",$R340="Traslado de expediente",$R340="Lista de espera · otro centro"),$O340="Sí"),"la plaza ya tiene alumno y sigue marcada como refuerzo, ","")&amp;IF(AND($R340="Reconvertida en refuerzo",$O340&lt;&gt;"Sí"),"reconvertida en refuerzo pero sin marcar «En uso como refuerzo», ","")</f>
      </c>
    </row>
    <row r="341" spans="1:37">
      <c r="A341" s="20">
        <f>IF(D341&lt;&gt;"",ROW()-1,"")</f>
      </c>
      <c r="B341" s="55"/>
      <c r="C341" s="56"/>
      <c r="D341" s="56"/>
      <c r="E341" s="56"/>
      <c r="F341" s="56"/>
      <c r="G341" s="56"/>
      <c r="H341" s="56"/>
      <c r="I341" s="56"/>
      <c r="J341" s="57"/>
      <c r="K341" s="56"/>
      <c r="L341" s="58"/>
      <c r="M341" s="58">
        <f>IF(L341="","",L341)</f>
      </c>
      <c r="N341" s="56"/>
      <c r="O341" s="56"/>
      <c r="P341" s="57"/>
      <c r="Q341" s="56"/>
      <c r="R341" s="56"/>
      <c r="S341" s="56"/>
      <c r="T341" s="56"/>
      <c r="U341" s="56"/>
      <c r="V341" s="57"/>
      <c r="W341">
        <f>IF(Q341="Disponible",COUNTIFS($D$2:D341,D341,$Q$2:Q341,"Disponible"),"")</f>
      </c>
      <c r="X341">
        <f>IF(W341&lt;&gt;"",D341&amp;"|"&amp;W341,"")</f>
      </c>
      <c r="Y341">
        <f>IF(X341&lt;&gt;"",IF(K341&lt;&gt;"",K341&amp;" ("&amp;M341&amp;")",M341),"")</f>
      </c>
      <c r="Z341">
        <f>IF(O341="Sí",COUNTIFS($D$2:D341,D341,$O$2:O341,"Sí"),"")</f>
      </c>
      <c r="AA341">
        <f>IF(Z341&lt;&gt;"",D341&amp;"|"&amp;Z341,"")</f>
      </c>
      <c r="AB341">
        <f>IF(AA341&lt;&gt;"",IF(K341&lt;&gt;"",K341&amp;" ("&amp;M341&amp;")",M341),"")</f>
      </c>
      <c r="AC341">
        <f>IF($B341="","fecha, ","")&amp;IF($C341="","quién lo introduce, ","")&amp;IF($I341="","motivo, ","")&amp;IF($K341="","docente, ","")&amp;IF($L341="","horario, ","")&amp;IF($N341="","duración, ","")&amp;IF($Q341="","estado, ","")&amp;IF(AND($I341="Otros",$J341=""),"detalle del motivo, ","")&amp;IF(AND($O341="Sí",$P341=""),"detalle del refuerzo, ","")&amp;IF(AND(OR($I341="Renuncia (hasta 30 nov)",$I341="Baja (desde 1 dic)",$I341="Renuncia excepcional (art. 25.3)",$I341="Traslado de expediente"),OR($E341="",$F341="",$G341="")),"quién deja la plaza, ","")&amp;IF(AND($Q341="No disponible",$R341=""),"vía de cobertura, ","")&amp;IF(AND(OR($R341="Lista de espera · propio centro",$R341="Traslado de expediente",$R341="Lista de espera · otro centro"),OR($S341="",$T341="",$U341="")),"quién ocupa la plaza, ","")</f>
      </c>
      <c r="AD341" s="24">
        <f>IF($D341="","",IF(AND(LEN($AC341)=0,LEN($AK341)=0),"Completa",IF(LEN($AC341)=0,"Revisar: "&amp;LEFT($AK341,LEN($AK341)-2),"Falta: "&amp;LEFT($AC341,LEN($AC341)-2)&amp;IF(LEN($AK341)&gt;0,"  ·  Revisar: "&amp;LEFT($AK341,LEN($AK341)-2),""))))</f>
      </c>
      <c r="AE341">
        <f>IF(AND($D341&lt;&gt;"",OR($I341="Renuncia (hasta 30 nov)",$I341="Baja (desde 1 dic)",$I341="Renuncia excepcional (art. 25.3)",$I341="Traslado de expediente")),COUNTIF($AE$1:AE340,"&gt;0")+1,"")</f>
      </c>
      <c r="AF341">
        <f>IF($Q341="Disponible",COUNTIF($AF$1:AF340,"&gt;0")+1,"")</f>
      </c>
      <c r="AG341">
        <f>IF($O341="Sí",COUNTIF($AG$1:AG340,"&gt;0")+1,"")</f>
      </c>
      <c r="AH341">
        <f>IF(AND($Q341="Disponible",$O341&lt;&gt;"Sí"),COUNTIF($AH$1:AH340,"&gt;0")+1,"")</f>
      </c>
      <c r="AI341">
        <f>IF(AND($Q341="Disponible",$K341&lt;&gt;""),COUNTIFS($K$2:K341,K341,$Q$2:Q341,"Disponible"),"")</f>
      </c>
      <c r="AJ341">
        <f>IF(AI341&lt;&gt;"",K341&amp;"|"&amp;AI341,"")</f>
      </c>
      <c r="AK341">
        <f>IF(AND($Q341="No disponible",OR($R341="Lista de espera · propio centro",$R341="Traslado de expediente",$R341="Lista de espera · otro centro"),$O341="Sí"),"la plaza ya tiene alumno y sigue marcada como refuerzo, ","")&amp;IF(AND($R341="Reconvertida en refuerzo",$O341&lt;&gt;"Sí"),"reconvertida en refuerzo pero sin marcar «En uso como refuerzo», ","")</f>
      </c>
    </row>
    <row r="342" spans="1:37">
      <c r="A342" s="20">
        <f>IF(D342&lt;&gt;"",ROW()-1,"")</f>
      </c>
      <c r="B342" s="55"/>
      <c r="C342" s="56"/>
      <c r="D342" s="56"/>
      <c r="E342" s="56"/>
      <c r="F342" s="56"/>
      <c r="G342" s="56"/>
      <c r="H342" s="56"/>
      <c r="I342" s="56"/>
      <c r="J342" s="57"/>
      <c r="K342" s="56"/>
      <c r="L342" s="58"/>
      <c r="M342" s="58">
        <f>IF(L342="","",L342)</f>
      </c>
      <c r="N342" s="56"/>
      <c r="O342" s="56"/>
      <c r="P342" s="57"/>
      <c r="Q342" s="56"/>
      <c r="R342" s="56"/>
      <c r="S342" s="56"/>
      <c r="T342" s="56"/>
      <c r="U342" s="56"/>
      <c r="V342" s="57"/>
      <c r="W342">
        <f>IF(Q342="Disponible",COUNTIFS($D$2:D342,D342,$Q$2:Q342,"Disponible"),"")</f>
      </c>
      <c r="X342">
        <f>IF(W342&lt;&gt;"",D342&amp;"|"&amp;W342,"")</f>
      </c>
      <c r="Y342">
        <f>IF(X342&lt;&gt;"",IF(K342&lt;&gt;"",K342&amp;" ("&amp;M342&amp;")",M342),"")</f>
      </c>
      <c r="Z342">
        <f>IF(O342="Sí",COUNTIFS($D$2:D342,D342,$O$2:O342,"Sí"),"")</f>
      </c>
      <c r="AA342">
        <f>IF(Z342&lt;&gt;"",D342&amp;"|"&amp;Z342,"")</f>
      </c>
      <c r="AB342">
        <f>IF(AA342&lt;&gt;"",IF(K342&lt;&gt;"",K342&amp;" ("&amp;M342&amp;")",M342),"")</f>
      </c>
      <c r="AC342">
        <f>IF($B342="","fecha, ","")&amp;IF($C342="","quién lo introduce, ","")&amp;IF($I342="","motivo, ","")&amp;IF($K342="","docente, ","")&amp;IF($L342="","horario, ","")&amp;IF($N342="","duración, ","")&amp;IF($Q342="","estado, ","")&amp;IF(AND($I342="Otros",$J342=""),"detalle del motivo, ","")&amp;IF(AND($O342="Sí",$P342=""),"detalle del refuerzo, ","")&amp;IF(AND(OR($I342="Renuncia (hasta 30 nov)",$I342="Baja (desde 1 dic)",$I342="Renuncia excepcional (art. 25.3)",$I342="Traslado de expediente"),OR($E342="",$F342="",$G342="")),"quién deja la plaza, ","")&amp;IF(AND($Q342="No disponible",$R342=""),"vía de cobertura, ","")&amp;IF(AND(OR($R342="Lista de espera · propio centro",$R342="Traslado de expediente",$R342="Lista de espera · otro centro"),OR($S342="",$T342="",$U342="")),"quién ocupa la plaza, ","")</f>
      </c>
      <c r="AD342" s="24">
        <f>IF($D342="","",IF(AND(LEN($AC342)=0,LEN($AK342)=0),"Completa",IF(LEN($AC342)=0,"Revisar: "&amp;LEFT($AK342,LEN($AK342)-2),"Falta: "&amp;LEFT($AC342,LEN($AC342)-2)&amp;IF(LEN($AK342)&gt;0,"  ·  Revisar: "&amp;LEFT($AK342,LEN($AK342)-2),""))))</f>
      </c>
      <c r="AE342">
        <f>IF(AND($D342&lt;&gt;"",OR($I342="Renuncia (hasta 30 nov)",$I342="Baja (desde 1 dic)",$I342="Renuncia excepcional (art. 25.3)",$I342="Traslado de expediente")),COUNTIF($AE$1:AE341,"&gt;0")+1,"")</f>
      </c>
      <c r="AF342">
        <f>IF($Q342="Disponible",COUNTIF($AF$1:AF341,"&gt;0")+1,"")</f>
      </c>
      <c r="AG342">
        <f>IF($O342="Sí",COUNTIF($AG$1:AG341,"&gt;0")+1,"")</f>
      </c>
      <c r="AH342">
        <f>IF(AND($Q342="Disponible",$O342&lt;&gt;"Sí"),COUNTIF($AH$1:AH341,"&gt;0")+1,"")</f>
      </c>
      <c r="AI342">
        <f>IF(AND($Q342="Disponible",$K342&lt;&gt;""),COUNTIFS($K$2:K342,K342,$Q$2:Q342,"Disponible"),"")</f>
      </c>
      <c r="AJ342">
        <f>IF(AI342&lt;&gt;"",K342&amp;"|"&amp;AI342,"")</f>
      </c>
      <c r="AK342">
        <f>IF(AND($Q342="No disponible",OR($R342="Lista de espera · propio centro",$R342="Traslado de expediente",$R342="Lista de espera · otro centro"),$O342="Sí"),"la plaza ya tiene alumno y sigue marcada como refuerzo, ","")&amp;IF(AND($R342="Reconvertida en refuerzo",$O342&lt;&gt;"Sí"),"reconvertida en refuerzo pero sin marcar «En uso como refuerzo», ","")</f>
      </c>
    </row>
    <row r="343" spans="1:37">
      <c r="A343" s="20">
        <f>IF(D343&lt;&gt;"",ROW()-1,"")</f>
      </c>
      <c r="B343" s="55"/>
      <c r="C343" s="56"/>
      <c r="D343" s="56"/>
      <c r="E343" s="56"/>
      <c r="F343" s="56"/>
      <c r="G343" s="56"/>
      <c r="H343" s="56"/>
      <c r="I343" s="56"/>
      <c r="J343" s="57"/>
      <c r="K343" s="56"/>
      <c r="L343" s="58"/>
      <c r="M343" s="58">
        <f>IF(L343="","",L343)</f>
      </c>
      <c r="N343" s="56"/>
      <c r="O343" s="56"/>
      <c r="P343" s="57"/>
      <c r="Q343" s="56"/>
      <c r="R343" s="56"/>
      <c r="S343" s="56"/>
      <c r="T343" s="56"/>
      <c r="U343" s="56"/>
      <c r="V343" s="57"/>
      <c r="W343">
        <f>IF(Q343="Disponible",COUNTIFS($D$2:D343,D343,$Q$2:Q343,"Disponible"),"")</f>
      </c>
      <c r="X343">
        <f>IF(W343&lt;&gt;"",D343&amp;"|"&amp;W343,"")</f>
      </c>
      <c r="Y343">
        <f>IF(X343&lt;&gt;"",IF(K343&lt;&gt;"",K343&amp;" ("&amp;M343&amp;")",M343),"")</f>
      </c>
      <c r="Z343">
        <f>IF(O343="Sí",COUNTIFS($D$2:D343,D343,$O$2:O343,"Sí"),"")</f>
      </c>
      <c r="AA343">
        <f>IF(Z343&lt;&gt;"",D343&amp;"|"&amp;Z343,"")</f>
      </c>
      <c r="AB343">
        <f>IF(AA343&lt;&gt;"",IF(K343&lt;&gt;"",K343&amp;" ("&amp;M343&amp;")",M343),"")</f>
      </c>
      <c r="AC343">
        <f>IF($B343="","fecha, ","")&amp;IF($C343="","quién lo introduce, ","")&amp;IF($I343="","motivo, ","")&amp;IF($K343="","docente, ","")&amp;IF($L343="","horario, ","")&amp;IF($N343="","duración, ","")&amp;IF($Q343="","estado, ","")&amp;IF(AND($I343="Otros",$J343=""),"detalle del motivo, ","")&amp;IF(AND($O343="Sí",$P343=""),"detalle del refuerzo, ","")&amp;IF(AND(OR($I343="Renuncia (hasta 30 nov)",$I343="Baja (desde 1 dic)",$I343="Renuncia excepcional (art. 25.3)",$I343="Traslado de expediente"),OR($E343="",$F343="",$G343="")),"quién deja la plaza, ","")&amp;IF(AND($Q343="No disponible",$R343=""),"vía de cobertura, ","")&amp;IF(AND(OR($R343="Lista de espera · propio centro",$R343="Traslado de expediente",$R343="Lista de espera · otro centro"),OR($S343="",$T343="",$U343="")),"quién ocupa la plaza, ","")</f>
      </c>
      <c r="AD343" s="24">
        <f>IF($D343="","",IF(AND(LEN($AC343)=0,LEN($AK343)=0),"Completa",IF(LEN($AC343)=0,"Revisar: "&amp;LEFT($AK343,LEN($AK343)-2),"Falta: "&amp;LEFT($AC343,LEN($AC343)-2)&amp;IF(LEN($AK343)&gt;0,"  ·  Revisar: "&amp;LEFT($AK343,LEN($AK343)-2),""))))</f>
      </c>
      <c r="AE343">
        <f>IF(AND($D343&lt;&gt;"",OR($I343="Renuncia (hasta 30 nov)",$I343="Baja (desde 1 dic)",$I343="Renuncia excepcional (art. 25.3)",$I343="Traslado de expediente")),COUNTIF($AE$1:AE342,"&gt;0")+1,"")</f>
      </c>
      <c r="AF343">
        <f>IF($Q343="Disponible",COUNTIF($AF$1:AF342,"&gt;0")+1,"")</f>
      </c>
      <c r="AG343">
        <f>IF($O343="Sí",COUNTIF($AG$1:AG342,"&gt;0")+1,"")</f>
      </c>
      <c r="AH343">
        <f>IF(AND($Q343="Disponible",$O343&lt;&gt;"Sí"),COUNTIF($AH$1:AH342,"&gt;0")+1,"")</f>
      </c>
      <c r="AI343">
        <f>IF(AND($Q343="Disponible",$K343&lt;&gt;""),COUNTIFS($K$2:K343,K343,$Q$2:Q343,"Disponible"),"")</f>
      </c>
      <c r="AJ343">
        <f>IF(AI343&lt;&gt;"",K343&amp;"|"&amp;AI343,"")</f>
      </c>
      <c r="AK343">
        <f>IF(AND($Q343="No disponible",OR($R343="Lista de espera · propio centro",$R343="Traslado de expediente",$R343="Lista de espera · otro centro"),$O343="Sí"),"la plaza ya tiene alumno y sigue marcada como refuerzo, ","")&amp;IF(AND($R343="Reconvertida en refuerzo",$O343&lt;&gt;"Sí"),"reconvertida en refuerzo pero sin marcar «En uso como refuerzo», ","")</f>
      </c>
    </row>
    <row r="344" spans="1:37">
      <c r="A344" s="20">
        <f>IF(D344&lt;&gt;"",ROW()-1,"")</f>
      </c>
      <c r="B344" s="55"/>
      <c r="C344" s="56"/>
      <c r="D344" s="56"/>
      <c r="E344" s="56"/>
      <c r="F344" s="56"/>
      <c r="G344" s="56"/>
      <c r="H344" s="56"/>
      <c r="I344" s="56"/>
      <c r="J344" s="57"/>
      <c r="K344" s="56"/>
      <c r="L344" s="58"/>
      <c r="M344" s="58">
        <f>IF(L344="","",L344)</f>
      </c>
      <c r="N344" s="56"/>
      <c r="O344" s="56"/>
      <c r="P344" s="57"/>
      <c r="Q344" s="56"/>
      <c r="R344" s="56"/>
      <c r="S344" s="56"/>
      <c r="T344" s="56"/>
      <c r="U344" s="56"/>
      <c r="V344" s="57"/>
      <c r="W344">
        <f>IF(Q344="Disponible",COUNTIFS($D$2:D344,D344,$Q$2:Q344,"Disponible"),"")</f>
      </c>
      <c r="X344">
        <f>IF(W344&lt;&gt;"",D344&amp;"|"&amp;W344,"")</f>
      </c>
      <c r="Y344">
        <f>IF(X344&lt;&gt;"",IF(K344&lt;&gt;"",K344&amp;" ("&amp;M344&amp;")",M344),"")</f>
      </c>
      <c r="Z344">
        <f>IF(O344="Sí",COUNTIFS($D$2:D344,D344,$O$2:O344,"Sí"),"")</f>
      </c>
      <c r="AA344">
        <f>IF(Z344&lt;&gt;"",D344&amp;"|"&amp;Z344,"")</f>
      </c>
      <c r="AB344">
        <f>IF(AA344&lt;&gt;"",IF(K344&lt;&gt;"",K344&amp;" ("&amp;M344&amp;")",M344),"")</f>
      </c>
      <c r="AC344">
        <f>IF($B344="","fecha, ","")&amp;IF($C344="","quién lo introduce, ","")&amp;IF($I344="","motivo, ","")&amp;IF($K344="","docente, ","")&amp;IF($L344="","horario, ","")&amp;IF($N344="","duración, ","")&amp;IF($Q344="","estado, ","")&amp;IF(AND($I344="Otros",$J344=""),"detalle del motivo, ","")&amp;IF(AND($O344="Sí",$P344=""),"detalle del refuerzo, ","")&amp;IF(AND(OR($I344="Renuncia (hasta 30 nov)",$I344="Baja (desde 1 dic)",$I344="Renuncia excepcional (art. 25.3)",$I344="Traslado de expediente"),OR($E344="",$F344="",$G344="")),"quién deja la plaza, ","")&amp;IF(AND($Q344="No disponible",$R344=""),"vía de cobertura, ","")&amp;IF(AND(OR($R344="Lista de espera · propio centro",$R344="Traslado de expediente",$R344="Lista de espera · otro centro"),OR($S344="",$T344="",$U344="")),"quién ocupa la plaza, ","")</f>
      </c>
      <c r="AD344" s="24">
        <f>IF($D344="","",IF(AND(LEN($AC344)=0,LEN($AK344)=0),"Completa",IF(LEN($AC344)=0,"Revisar: "&amp;LEFT($AK344,LEN($AK344)-2),"Falta: "&amp;LEFT($AC344,LEN($AC344)-2)&amp;IF(LEN($AK344)&gt;0,"  ·  Revisar: "&amp;LEFT($AK344,LEN($AK344)-2),""))))</f>
      </c>
      <c r="AE344">
        <f>IF(AND($D344&lt;&gt;"",OR($I344="Renuncia (hasta 30 nov)",$I344="Baja (desde 1 dic)",$I344="Renuncia excepcional (art. 25.3)",$I344="Traslado de expediente")),COUNTIF($AE$1:AE343,"&gt;0")+1,"")</f>
      </c>
      <c r="AF344">
        <f>IF($Q344="Disponible",COUNTIF($AF$1:AF343,"&gt;0")+1,"")</f>
      </c>
      <c r="AG344">
        <f>IF($O344="Sí",COUNTIF($AG$1:AG343,"&gt;0")+1,"")</f>
      </c>
      <c r="AH344">
        <f>IF(AND($Q344="Disponible",$O344&lt;&gt;"Sí"),COUNTIF($AH$1:AH343,"&gt;0")+1,"")</f>
      </c>
      <c r="AI344">
        <f>IF(AND($Q344="Disponible",$K344&lt;&gt;""),COUNTIFS($K$2:K344,K344,$Q$2:Q344,"Disponible"),"")</f>
      </c>
      <c r="AJ344">
        <f>IF(AI344&lt;&gt;"",K344&amp;"|"&amp;AI344,"")</f>
      </c>
      <c r="AK344">
        <f>IF(AND($Q344="No disponible",OR($R344="Lista de espera · propio centro",$R344="Traslado de expediente",$R344="Lista de espera · otro centro"),$O344="Sí"),"la plaza ya tiene alumno y sigue marcada como refuerzo, ","")&amp;IF(AND($R344="Reconvertida en refuerzo",$O344&lt;&gt;"Sí"),"reconvertida en refuerzo pero sin marcar «En uso como refuerzo», ","")</f>
      </c>
    </row>
    <row r="345" spans="1:37">
      <c r="A345" s="20">
        <f>IF(D345&lt;&gt;"",ROW()-1,"")</f>
      </c>
      <c r="B345" s="55"/>
      <c r="C345" s="56"/>
      <c r="D345" s="56"/>
      <c r="E345" s="56"/>
      <c r="F345" s="56"/>
      <c r="G345" s="56"/>
      <c r="H345" s="56"/>
      <c r="I345" s="56"/>
      <c r="J345" s="57"/>
      <c r="K345" s="56"/>
      <c r="L345" s="58"/>
      <c r="M345" s="58">
        <f>IF(L345="","",L345)</f>
      </c>
      <c r="N345" s="56"/>
      <c r="O345" s="56"/>
      <c r="P345" s="57"/>
      <c r="Q345" s="56"/>
      <c r="R345" s="56"/>
      <c r="S345" s="56"/>
      <c r="T345" s="56"/>
      <c r="U345" s="56"/>
      <c r="V345" s="57"/>
      <c r="W345">
        <f>IF(Q345="Disponible",COUNTIFS($D$2:D345,D345,$Q$2:Q345,"Disponible"),"")</f>
      </c>
      <c r="X345">
        <f>IF(W345&lt;&gt;"",D345&amp;"|"&amp;W345,"")</f>
      </c>
      <c r="Y345">
        <f>IF(X345&lt;&gt;"",IF(K345&lt;&gt;"",K345&amp;" ("&amp;M345&amp;")",M345),"")</f>
      </c>
      <c r="Z345">
        <f>IF(O345="Sí",COUNTIFS($D$2:D345,D345,$O$2:O345,"Sí"),"")</f>
      </c>
      <c r="AA345">
        <f>IF(Z345&lt;&gt;"",D345&amp;"|"&amp;Z345,"")</f>
      </c>
      <c r="AB345">
        <f>IF(AA345&lt;&gt;"",IF(K345&lt;&gt;"",K345&amp;" ("&amp;M345&amp;")",M345),"")</f>
      </c>
      <c r="AC345">
        <f>IF($B345="","fecha, ","")&amp;IF($C345="","quién lo introduce, ","")&amp;IF($I345="","motivo, ","")&amp;IF($K345="","docente, ","")&amp;IF($L345="","horario, ","")&amp;IF($N345="","duración, ","")&amp;IF($Q345="","estado, ","")&amp;IF(AND($I345="Otros",$J345=""),"detalle del motivo, ","")&amp;IF(AND($O345="Sí",$P345=""),"detalle del refuerzo, ","")&amp;IF(AND(OR($I345="Renuncia (hasta 30 nov)",$I345="Baja (desde 1 dic)",$I345="Renuncia excepcional (art. 25.3)",$I345="Traslado de expediente"),OR($E345="",$F345="",$G345="")),"quién deja la plaza, ","")&amp;IF(AND($Q345="No disponible",$R345=""),"vía de cobertura, ","")&amp;IF(AND(OR($R345="Lista de espera · propio centro",$R345="Traslado de expediente",$R345="Lista de espera · otro centro"),OR($S345="",$T345="",$U345="")),"quién ocupa la plaza, ","")</f>
      </c>
      <c r="AD345" s="24">
        <f>IF($D345="","",IF(AND(LEN($AC345)=0,LEN($AK345)=0),"Completa",IF(LEN($AC345)=0,"Revisar: "&amp;LEFT($AK345,LEN($AK345)-2),"Falta: "&amp;LEFT($AC345,LEN($AC345)-2)&amp;IF(LEN($AK345)&gt;0,"  ·  Revisar: "&amp;LEFT($AK345,LEN($AK345)-2),""))))</f>
      </c>
      <c r="AE345">
        <f>IF(AND($D345&lt;&gt;"",OR($I345="Renuncia (hasta 30 nov)",$I345="Baja (desde 1 dic)",$I345="Renuncia excepcional (art. 25.3)",$I345="Traslado de expediente")),COUNTIF($AE$1:AE344,"&gt;0")+1,"")</f>
      </c>
      <c r="AF345">
        <f>IF($Q345="Disponible",COUNTIF($AF$1:AF344,"&gt;0")+1,"")</f>
      </c>
      <c r="AG345">
        <f>IF($O345="Sí",COUNTIF($AG$1:AG344,"&gt;0")+1,"")</f>
      </c>
      <c r="AH345">
        <f>IF(AND($Q345="Disponible",$O345&lt;&gt;"Sí"),COUNTIF($AH$1:AH344,"&gt;0")+1,"")</f>
      </c>
      <c r="AI345">
        <f>IF(AND($Q345="Disponible",$K345&lt;&gt;""),COUNTIFS($K$2:K345,K345,$Q$2:Q345,"Disponible"),"")</f>
      </c>
      <c r="AJ345">
        <f>IF(AI345&lt;&gt;"",K345&amp;"|"&amp;AI345,"")</f>
      </c>
      <c r="AK345">
        <f>IF(AND($Q345="No disponible",OR($R345="Lista de espera · propio centro",$R345="Traslado de expediente",$R345="Lista de espera · otro centro"),$O345="Sí"),"la plaza ya tiene alumno y sigue marcada como refuerzo, ","")&amp;IF(AND($R345="Reconvertida en refuerzo",$O345&lt;&gt;"Sí"),"reconvertida en refuerzo pero sin marcar «En uso como refuerzo», ","")</f>
      </c>
    </row>
    <row r="346" spans="1:37">
      <c r="A346" s="20">
        <f>IF(D346&lt;&gt;"",ROW()-1,"")</f>
      </c>
      <c r="B346" s="55"/>
      <c r="C346" s="56"/>
      <c r="D346" s="56"/>
      <c r="E346" s="56"/>
      <c r="F346" s="56"/>
      <c r="G346" s="56"/>
      <c r="H346" s="56"/>
      <c r="I346" s="56"/>
      <c r="J346" s="57"/>
      <c r="K346" s="56"/>
      <c r="L346" s="58"/>
      <c r="M346" s="58">
        <f>IF(L346="","",L346)</f>
      </c>
      <c r="N346" s="56"/>
      <c r="O346" s="56"/>
      <c r="P346" s="57"/>
      <c r="Q346" s="56"/>
      <c r="R346" s="56"/>
      <c r="S346" s="56"/>
      <c r="T346" s="56"/>
      <c r="U346" s="56"/>
      <c r="V346" s="57"/>
      <c r="W346">
        <f>IF(Q346="Disponible",COUNTIFS($D$2:D346,D346,$Q$2:Q346,"Disponible"),"")</f>
      </c>
      <c r="X346">
        <f>IF(W346&lt;&gt;"",D346&amp;"|"&amp;W346,"")</f>
      </c>
      <c r="Y346">
        <f>IF(X346&lt;&gt;"",IF(K346&lt;&gt;"",K346&amp;" ("&amp;M346&amp;")",M346),"")</f>
      </c>
      <c r="Z346">
        <f>IF(O346="Sí",COUNTIFS($D$2:D346,D346,$O$2:O346,"Sí"),"")</f>
      </c>
      <c r="AA346">
        <f>IF(Z346&lt;&gt;"",D346&amp;"|"&amp;Z346,"")</f>
      </c>
      <c r="AB346">
        <f>IF(AA346&lt;&gt;"",IF(K346&lt;&gt;"",K346&amp;" ("&amp;M346&amp;")",M346),"")</f>
      </c>
      <c r="AC346">
        <f>IF($B346="","fecha, ","")&amp;IF($C346="","quién lo introduce, ","")&amp;IF($I346="","motivo, ","")&amp;IF($K346="","docente, ","")&amp;IF($L346="","horario, ","")&amp;IF($N346="","duración, ","")&amp;IF($Q346="","estado, ","")&amp;IF(AND($I346="Otros",$J346=""),"detalle del motivo, ","")&amp;IF(AND($O346="Sí",$P346=""),"detalle del refuerzo, ","")&amp;IF(AND(OR($I346="Renuncia (hasta 30 nov)",$I346="Baja (desde 1 dic)",$I346="Renuncia excepcional (art. 25.3)",$I346="Traslado de expediente"),OR($E346="",$F346="",$G346="")),"quién deja la plaza, ","")&amp;IF(AND($Q346="No disponible",$R346=""),"vía de cobertura, ","")&amp;IF(AND(OR($R346="Lista de espera · propio centro",$R346="Traslado de expediente",$R346="Lista de espera · otro centro"),OR($S346="",$T346="",$U346="")),"quién ocupa la plaza, ","")</f>
      </c>
      <c r="AD346" s="24">
        <f>IF($D346="","",IF(AND(LEN($AC346)=0,LEN($AK346)=0),"Completa",IF(LEN($AC346)=0,"Revisar: "&amp;LEFT($AK346,LEN($AK346)-2),"Falta: "&amp;LEFT($AC346,LEN($AC346)-2)&amp;IF(LEN($AK346)&gt;0,"  ·  Revisar: "&amp;LEFT($AK346,LEN($AK346)-2),""))))</f>
      </c>
      <c r="AE346">
        <f>IF(AND($D346&lt;&gt;"",OR($I346="Renuncia (hasta 30 nov)",$I346="Baja (desde 1 dic)",$I346="Renuncia excepcional (art. 25.3)",$I346="Traslado de expediente")),COUNTIF($AE$1:AE345,"&gt;0")+1,"")</f>
      </c>
      <c r="AF346">
        <f>IF($Q346="Disponible",COUNTIF($AF$1:AF345,"&gt;0")+1,"")</f>
      </c>
      <c r="AG346">
        <f>IF($O346="Sí",COUNTIF($AG$1:AG345,"&gt;0")+1,"")</f>
      </c>
      <c r="AH346">
        <f>IF(AND($Q346="Disponible",$O346&lt;&gt;"Sí"),COUNTIF($AH$1:AH345,"&gt;0")+1,"")</f>
      </c>
      <c r="AI346">
        <f>IF(AND($Q346="Disponible",$K346&lt;&gt;""),COUNTIFS($K$2:K346,K346,$Q$2:Q346,"Disponible"),"")</f>
      </c>
      <c r="AJ346">
        <f>IF(AI346&lt;&gt;"",K346&amp;"|"&amp;AI346,"")</f>
      </c>
      <c r="AK346">
        <f>IF(AND($Q346="No disponible",OR($R346="Lista de espera · propio centro",$R346="Traslado de expediente",$R346="Lista de espera · otro centro"),$O346="Sí"),"la plaza ya tiene alumno y sigue marcada como refuerzo, ","")&amp;IF(AND($R346="Reconvertida en refuerzo",$O346&lt;&gt;"Sí"),"reconvertida en refuerzo pero sin marcar «En uso como refuerzo», ","")</f>
      </c>
    </row>
    <row r="347" spans="1:37">
      <c r="A347" s="20">
        <f>IF(D347&lt;&gt;"",ROW()-1,"")</f>
      </c>
      <c r="B347" s="55"/>
      <c r="C347" s="56"/>
      <c r="D347" s="56"/>
      <c r="E347" s="56"/>
      <c r="F347" s="56"/>
      <c r="G347" s="56"/>
      <c r="H347" s="56"/>
      <c r="I347" s="56"/>
      <c r="J347" s="57"/>
      <c r="K347" s="56"/>
      <c r="L347" s="58"/>
      <c r="M347" s="58">
        <f>IF(L347="","",L347)</f>
      </c>
      <c r="N347" s="56"/>
      <c r="O347" s="56"/>
      <c r="P347" s="57"/>
      <c r="Q347" s="56"/>
      <c r="R347" s="56"/>
      <c r="S347" s="56"/>
      <c r="T347" s="56"/>
      <c r="U347" s="56"/>
      <c r="V347" s="57"/>
      <c r="W347">
        <f>IF(Q347="Disponible",COUNTIFS($D$2:D347,D347,$Q$2:Q347,"Disponible"),"")</f>
      </c>
      <c r="X347">
        <f>IF(W347&lt;&gt;"",D347&amp;"|"&amp;W347,"")</f>
      </c>
      <c r="Y347">
        <f>IF(X347&lt;&gt;"",IF(K347&lt;&gt;"",K347&amp;" ("&amp;M347&amp;")",M347),"")</f>
      </c>
      <c r="Z347">
        <f>IF(O347="Sí",COUNTIFS($D$2:D347,D347,$O$2:O347,"Sí"),"")</f>
      </c>
      <c r="AA347">
        <f>IF(Z347&lt;&gt;"",D347&amp;"|"&amp;Z347,"")</f>
      </c>
      <c r="AB347">
        <f>IF(AA347&lt;&gt;"",IF(K347&lt;&gt;"",K347&amp;" ("&amp;M347&amp;")",M347),"")</f>
      </c>
      <c r="AC347">
        <f>IF($B347="","fecha, ","")&amp;IF($C347="","quién lo introduce, ","")&amp;IF($I347="","motivo, ","")&amp;IF($K347="","docente, ","")&amp;IF($L347="","horario, ","")&amp;IF($N347="","duración, ","")&amp;IF($Q347="","estado, ","")&amp;IF(AND($I347="Otros",$J347=""),"detalle del motivo, ","")&amp;IF(AND($O347="Sí",$P347=""),"detalle del refuerzo, ","")&amp;IF(AND(OR($I347="Renuncia (hasta 30 nov)",$I347="Baja (desde 1 dic)",$I347="Renuncia excepcional (art. 25.3)",$I347="Traslado de expediente"),OR($E347="",$F347="",$G347="")),"quién deja la plaza, ","")&amp;IF(AND($Q347="No disponible",$R347=""),"vía de cobertura, ","")&amp;IF(AND(OR($R347="Lista de espera · propio centro",$R347="Traslado de expediente",$R347="Lista de espera · otro centro"),OR($S347="",$T347="",$U347="")),"quién ocupa la plaza, ","")</f>
      </c>
      <c r="AD347" s="24">
        <f>IF($D347="","",IF(AND(LEN($AC347)=0,LEN($AK347)=0),"Completa",IF(LEN($AC347)=0,"Revisar: "&amp;LEFT($AK347,LEN($AK347)-2),"Falta: "&amp;LEFT($AC347,LEN($AC347)-2)&amp;IF(LEN($AK347)&gt;0,"  ·  Revisar: "&amp;LEFT($AK347,LEN($AK347)-2),""))))</f>
      </c>
      <c r="AE347">
        <f>IF(AND($D347&lt;&gt;"",OR($I347="Renuncia (hasta 30 nov)",$I347="Baja (desde 1 dic)",$I347="Renuncia excepcional (art. 25.3)",$I347="Traslado de expediente")),COUNTIF($AE$1:AE346,"&gt;0")+1,"")</f>
      </c>
      <c r="AF347">
        <f>IF($Q347="Disponible",COUNTIF($AF$1:AF346,"&gt;0")+1,"")</f>
      </c>
      <c r="AG347">
        <f>IF($O347="Sí",COUNTIF($AG$1:AG346,"&gt;0")+1,"")</f>
      </c>
      <c r="AH347">
        <f>IF(AND($Q347="Disponible",$O347&lt;&gt;"Sí"),COUNTIF($AH$1:AH346,"&gt;0")+1,"")</f>
      </c>
      <c r="AI347">
        <f>IF(AND($Q347="Disponible",$K347&lt;&gt;""),COUNTIFS($K$2:K347,K347,$Q$2:Q347,"Disponible"),"")</f>
      </c>
      <c r="AJ347">
        <f>IF(AI347&lt;&gt;"",K347&amp;"|"&amp;AI347,"")</f>
      </c>
      <c r="AK347">
        <f>IF(AND($Q347="No disponible",OR($R347="Lista de espera · propio centro",$R347="Traslado de expediente",$R347="Lista de espera · otro centro"),$O347="Sí"),"la plaza ya tiene alumno y sigue marcada como refuerzo, ","")&amp;IF(AND($R347="Reconvertida en refuerzo",$O347&lt;&gt;"Sí"),"reconvertida en refuerzo pero sin marcar «En uso como refuerzo», ","")</f>
      </c>
    </row>
    <row r="348" spans="1:37">
      <c r="A348" s="20">
        <f>IF(D348&lt;&gt;"",ROW()-1,"")</f>
      </c>
      <c r="B348" s="55"/>
      <c r="C348" s="56"/>
      <c r="D348" s="56"/>
      <c r="E348" s="56"/>
      <c r="F348" s="56"/>
      <c r="G348" s="56"/>
      <c r="H348" s="56"/>
      <c r="I348" s="56"/>
      <c r="J348" s="57"/>
      <c r="K348" s="56"/>
      <c r="L348" s="58"/>
      <c r="M348" s="58">
        <f>IF(L348="","",L348)</f>
      </c>
      <c r="N348" s="56"/>
      <c r="O348" s="56"/>
      <c r="P348" s="57"/>
      <c r="Q348" s="56"/>
      <c r="R348" s="56"/>
      <c r="S348" s="56"/>
      <c r="T348" s="56"/>
      <c r="U348" s="56"/>
      <c r="V348" s="57"/>
      <c r="W348">
        <f>IF(Q348="Disponible",COUNTIFS($D$2:D348,D348,$Q$2:Q348,"Disponible"),"")</f>
      </c>
      <c r="X348">
        <f>IF(W348&lt;&gt;"",D348&amp;"|"&amp;W348,"")</f>
      </c>
      <c r="Y348">
        <f>IF(X348&lt;&gt;"",IF(K348&lt;&gt;"",K348&amp;" ("&amp;M348&amp;")",M348),"")</f>
      </c>
      <c r="Z348">
        <f>IF(O348="Sí",COUNTIFS($D$2:D348,D348,$O$2:O348,"Sí"),"")</f>
      </c>
      <c r="AA348">
        <f>IF(Z348&lt;&gt;"",D348&amp;"|"&amp;Z348,"")</f>
      </c>
      <c r="AB348">
        <f>IF(AA348&lt;&gt;"",IF(K348&lt;&gt;"",K348&amp;" ("&amp;M348&amp;")",M348),"")</f>
      </c>
      <c r="AC348">
        <f>IF($B348="","fecha, ","")&amp;IF($C348="","quién lo introduce, ","")&amp;IF($I348="","motivo, ","")&amp;IF($K348="","docente, ","")&amp;IF($L348="","horario, ","")&amp;IF($N348="","duración, ","")&amp;IF($Q348="","estado, ","")&amp;IF(AND($I348="Otros",$J348=""),"detalle del motivo, ","")&amp;IF(AND($O348="Sí",$P348=""),"detalle del refuerzo, ","")&amp;IF(AND(OR($I348="Renuncia (hasta 30 nov)",$I348="Baja (desde 1 dic)",$I348="Renuncia excepcional (art. 25.3)",$I348="Traslado de expediente"),OR($E348="",$F348="",$G348="")),"quién deja la plaza, ","")&amp;IF(AND($Q348="No disponible",$R348=""),"vía de cobertura, ","")&amp;IF(AND(OR($R348="Lista de espera · propio centro",$R348="Traslado de expediente",$R348="Lista de espera · otro centro"),OR($S348="",$T348="",$U348="")),"quién ocupa la plaza, ","")</f>
      </c>
      <c r="AD348" s="24">
        <f>IF($D348="","",IF(AND(LEN($AC348)=0,LEN($AK348)=0),"Completa",IF(LEN($AC348)=0,"Revisar: "&amp;LEFT($AK348,LEN($AK348)-2),"Falta: "&amp;LEFT($AC348,LEN($AC348)-2)&amp;IF(LEN($AK348)&gt;0,"  ·  Revisar: "&amp;LEFT($AK348,LEN($AK348)-2),""))))</f>
      </c>
      <c r="AE348">
        <f>IF(AND($D348&lt;&gt;"",OR($I348="Renuncia (hasta 30 nov)",$I348="Baja (desde 1 dic)",$I348="Renuncia excepcional (art. 25.3)",$I348="Traslado de expediente")),COUNTIF($AE$1:AE347,"&gt;0")+1,"")</f>
      </c>
      <c r="AF348">
        <f>IF($Q348="Disponible",COUNTIF($AF$1:AF347,"&gt;0")+1,"")</f>
      </c>
      <c r="AG348">
        <f>IF($O348="Sí",COUNTIF($AG$1:AG347,"&gt;0")+1,"")</f>
      </c>
      <c r="AH348">
        <f>IF(AND($Q348="Disponible",$O348&lt;&gt;"Sí"),COUNTIF($AH$1:AH347,"&gt;0")+1,"")</f>
      </c>
      <c r="AI348">
        <f>IF(AND($Q348="Disponible",$K348&lt;&gt;""),COUNTIFS($K$2:K348,K348,$Q$2:Q348,"Disponible"),"")</f>
      </c>
      <c r="AJ348">
        <f>IF(AI348&lt;&gt;"",K348&amp;"|"&amp;AI348,"")</f>
      </c>
      <c r="AK348">
        <f>IF(AND($Q348="No disponible",OR($R348="Lista de espera · propio centro",$R348="Traslado de expediente",$R348="Lista de espera · otro centro"),$O348="Sí"),"la plaza ya tiene alumno y sigue marcada como refuerzo, ","")&amp;IF(AND($R348="Reconvertida en refuerzo",$O348&lt;&gt;"Sí"),"reconvertida en refuerzo pero sin marcar «En uso como refuerzo», ","")</f>
      </c>
    </row>
    <row r="349" spans="1:37">
      <c r="A349" s="20">
        <f>IF(D349&lt;&gt;"",ROW()-1,"")</f>
      </c>
      <c r="B349" s="55"/>
      <c r="C349" s="56"/>
      <c r="D349" s="56"/>
      <c r="E349" s="56"/>
      <c r="F349" s="56"/>
      <c r="G349" s="56"/>
      <c r="H349" s="56"/>
      <c r="I349" s="56"/>
      <c r="J349" s="57"/>
      <c r="K349" s="56"/>
      <c r="L349" s="58"/>
      <c r="M349" s="58">
        <f>IF(L349="","",L349)</f>
      </c>
      <c r="N349" s="56"/>
      <c r="O349" s="56"/>
      <c r="P349" s="57"/>
      <c r="Q349" s="56"/>
      <c r="R349" s="56"/>
      <c r="S349" s="56"/>
      <c r="T349" s="56"/>
      <c r="U349" s="56"/>
      <c r="V349" s="57"/>
      <c r="W349">
        <f>IF(Q349="Disponible",COUNTIFS($D$2:D349,D349,$Q$2:Q349,"Disponible"),"")</f>
      </c>
      <c r="X349">
        <f>IF(W349&lt;&gt;"",D349&amp;"|"&amp;W349,"")</f>
      </c>
      <c r="Y349">
        <f>IF(X349&lt;&gt;"",IF(K349&lt;&gt;"",K349&amp;" ("&amp;M349&amp;")",M349),"")</f>
      </c>
      <c r="Z349">
        <f>IF(O349="Sí",COUNTIFS($D$2:D349,D349,$O$2:O349,"Sí"),"")</f>
      </c>
      <c r="AA349">
        <f>IF(Z349&lt;&gt;"",D349&amp;"|"&amp;Z349,"")</f>
      </c>
      <c r="AB349">
        <f>IF(AA349&lt;&gt;"",IF(K349&lt;&gt;"",K349&amp;" ("&amp;M349&amp;")",M349),"")</f>
      </c>
      <c r="AC349">
        <f>IF($B349="","fecha, ","")&amp;IF($C349="","quién lo introduce, ","")&amp;IF($I349="","motivo, ","")&amp;IF($K349="","docente, ","")&amp;IF($L349="","horario, ","")&amp;IF($N349="","duración, ","")&amp;IF($Q349="","estado, ","")&amp;IF(AND($I349="Otros",$J349=""),"detalle del motivo, ","")&amp;IF(AND($O349="Sí",$P349=""),"detalle del refuerzo, ","")&amp;IF(AND(OR($I349="Renuncia (hasta 30 nov)",$I349="Baja (desde 1 dic)",$I349="Renuncia excepcional (art. 25.3)",$I349="Traslado de expediente"),OR($E349="",$F349="",$G349="")),"quién deja la plaza, ","")&amp;IF(AND($Q349="No disponible",$R349=""),"vía de cobertura, ","")&amp;IF(AND(OR($R349="Lista de espera · propio centro",$R349="Traslado de expediente",$R349="Lista de espera · otro centro"),OR($S349="",$T349="",$U349="")),"quién ocupa la plaza, ","")</f>
      </c>
      <c r="AD349" s="24">
        <f>IF($D349="","",IF(AND(LEN($AC349)=0,LEN($AK349)=0),"Completa",IF(LEN($AC349)=0,"Revisar: "&amp;LEFT($AK349,LEN($AK349)-2),"Falta: "&amp;LEFT($AC349,LEN($AC349)-2)&amp;IF(LEN($AK349)&gt;0,"  ·  Revisar: "&amp;LEFT($AK349,LEN($AK349)-2),""))))</f>
      </c>
      <c r="AE349">
        <f>IF(AND($D349&lt;&gt;"",OR($I349="Renuncia (hasta 30 nov)",$I349="Baja (desde 1 dic)",$I349="Renuncia excepcional (art. 25.3)",$I349="Traslado de expediente")),COUNTIF($AE$1:AE348,"&gt;0")+1,"")</f>
      </c>
      <c r="AF349">
        <f>IF($Q349="Disponible",COUNTIF($AF$1:AF348,"&gt;0")+1,"")</f>
      </c>
      <c r="AG349">
        <f>IF($O349="Sí",COUNTIF($AG$1:AG348,"&gt;0")+1,"")</f>
      </c>
      <c r="AH349">
        <f>IF(AND($Q349="Disponible",$O349&lt;&gt;"Sí"),COUNTIF($AH$1:AH348,"&gt;0")+1,"")</f>
      </c>
      <c r="AI349">
        <f>IF(AND($Q349="Disponible",$K349&lt;&gt;""),COUNTIFS($K$2:K349,K349,$Q$2:Q349,"Disponible"),"")</f>
      </c>
      <c r="AJ349">
        <f>IF(AI349&lt;&gt;"",K349&amp;"|"&amp;AI349,"")</f>
      </c>
      <c r="AK349">
        <f>IF(AND($Q349="No disponible",OR($R349="Lista de espera · propio centro",$R349="Traslado de expediente",$R349="Lista de espera · otro centro"),$O349="Sí"),"la plaza ya tiene alumno y sigue marcada como refuerzo, ","")&amp;IF(AND($R349="Reconvertida en refuerzo",$O349&lt;&gt;"Sí"),"reconvertida en refuerzo pero sin marcar «En uso como refuerzo», ","")</f>
      </c>
    </row>
    <row r="350" spans="1:37">
      <c r="A350" s="20">
        <f>IF(D350&lt;&gt;"",ROW()-1,"")</f>
      </c>
      <c r="B350" s="55"/>
      <c r="C350" s="56"/>
      <c r="D350" s="56"/>
      <c r="E350" s="56"/>
      <c r="F350" s="56"/>
      <c r="G350" s="56"/>
      <c r="H350" s="56"/>
      <c r="I350" s="56"/>
      <c r="J350" s="57"/>
      <c r="K350" s="56"/>
      <c r="L350" s="58"/>
      <c r="M350" s="58">
        <f>IF(L350="","",L350)</f>
      </c>
      <c r="N350" s="56"/>
      <c r="O350" s="56"/>
      <c r="P350" s="57"/>
      <c r="Q350" s="56"/>
      <c r="R350" s="56"/>
      <c r="S350" s="56"/>
      <c r="T350" s="56"/>
      <c r="U350" s="56"/>
      <c r="V350" s="57"/>
      <c r="W350">
        <f>IF(Q350="Disponible",COUNTIFS($D$2:D350,D350,$Q$2:Q350,"Disponible"),"")</f>
      </c>
      <c r="X350">
        <f>IF(W350&lt;&gt;"",D350&amp;"|"&amp;W350,"")</f>
      </c>
      <c r="Y350">
        <f>IF(X350&lt;&gt;"",IF(K350&lt;&gt;"",K350&amp;" ("&amp;M350&amp;")",M350),"")</f>
      </c>
      <c r="Z350">
        <f>IF(O350="Sí",COUNTIFS($D$2:D350,D350,$O$2:O350,"Sí"),"")</f>
      </c>
      <c r="AA350">
        <f>IF(Z350&lt;&gt;"",D350&amp;"|"&amp;Z350,"")</f>
      </c>
      <c r="AB350">
        <f>IF(AA350&lt;&gt;"",IF(K350&lt;&gt;"",K350&amp;" ("&amp;M350&amp;")",M350),"")</f>
      </c>
      <c r="AC350">
        <f>IF($B350="","fecha, ","")&amp;IF($C350="","quién lo introduce, ","")&amp;IF($I350="","motivo, ","")&amp;IF($K350="","docente, ","")&amp;IF($L350="","horario, ","")&amp;IF($N350="","duración, ","")&amp;IF($Q350="","estado, ","")&amp;IF(AND($I350="Otros",$J350=""),"detalle del motivo, ","")&amp;IF(AND($O350="Sí",$P350=""),"detalle del refuerzo, ","")&amp;IF(AND(OR($I350="Renuncia (hasta 30 nov)",$I350="Baja (desde 1 dic)",$I350="Renuncia excepcional (art. 25.3)",$I350="Traslado de expediente"),OR($E350="",$F350="",$G350="")),"quién deja la plaza, ","")&amp;IF(AND($Q350="No disponible",$R350=""),"vía de cobertura, ","")&amp;IF(AND(OR($R350="Lista de espera · propio centro",$R350="Traslado de expediente",$R350="Lista de espera · otro centro"),OR($S350="",$T350="",$U350="")),"quién ocupa la plaza, ","")</f>
      </c>
      <c r="AD350" s="24">
        <f>IF($D350="","",IF(AND(LEN($AC350)=0,LEN($AK350)=0),"Completa",IF(LEN($AC350)=0,"Revisar: "&amp;LEFT($AK350,LEN($AK350)-2),"Falta: "&amp;LEFT($AC350,LEN($AC350)-2)&amp;IF(LEN($AK350)&gt;0,"  ·  Revisar: "&amp;LEFT($AK350,LEN($AK350)-2),""))))</f>
      </c>
      <c r="AE350">
        <f>IF(AND($D350&lt;&gt;"",OR($I350="Renuncia (hasta 30 nov)",$I350="Baja (desde 1 dic)",$I350="Renuncia excepcional (art. 25.3)",$I350="Traslado de expediente")),COUNTIF($AE$1:AE349,"&gt;0")+1,"")</f>
      </c>
      <c r="AF350">
        <f>IF($Q350="Disponible",COUNTIF($AF$1:AF349,"&gt;0")+1,"")</f>
      </c>
      <c r="AG350">
        <f>IF($O350="Sí",COUNTIF($AG$1:AG349,"&gt;0")+1,"")</f>
      </c>
      <c r="AH350">
        <f>IF(AND($Q350="Disponible",$O350&lt;&gt;"Sí"),COUNTIF($AH$1:AH349,"&gt;0")+1,"")</f>
      </c>
      <c r="AI350">
        <f>IF(AND($Q350="Disponible",$K350&lt;&gt;""),COUNTIFS($K$2:K350,K350,$Q$2:Q350,"Disponible"),"")</f>
      </c>
      <c r="AJ350">
        <f>IF(AI350&lt;&gt;"",K350&amp;"|"&amp;AI350,"")</f>
      </c>
      <c r="AK350">
        <f>IF(AND($Q350="No disponible",OR($R350="Lista de espera · propio centro",$R350="Traslado de expediente",$R350="Lista de espera · otro centro"),$O350="Sí"),"la plaza ya tiene alumno y sigue marcada como refuerzo, ","")&amp;IF(AND($R350="Reconvertida en refuerzo",$O350&lt;&gt;"Sí"),"reconvertida en refuerzo pero sin marcar «En uso como refuerzo», ","")</f>
      </c>
    </row>
    <row r="351" spans="1:37">
      <c r="A351" s="20">
        <f>IF(D351&lt;&gt;"",ROW()-1,"")</f>
      </c>
      <c r="B351" s="55"/>
      <c r="C351" s="56"/>
      <c r="D351" s="56"/>
      <c r="E351" s="56"/>
      <c r="F351" s="56"/>
      <c r="G351" s="56"/>
      <c r="H351" s="56"/>
      <c r="I351" s="56"/>
      <c r="J351" s="57"/>
      <c r="K351" s="56"/>
      <c r="L351" s="58"/>
      <c r="M351" s="58">
        <f>IF(L351="","",L351)</f>
      </c>
      <c r="N351" s="56"/>
      <c r="O351" s="56"/>
      <c r="P351" s="57"/>
      <c r="Q351" s="56"/>
      <c r="R351" s="56"/>
      <c r="S351" s="56"/>
      <c r="T351" s="56"/>
      <c r="U351" s="56"/>
      <c r="V351" s="57"/>
      <c r="W351">
        <f>IF(Q351="Disponible",COUNTIFS($D$2:D351,D351,$Q$2:Q351,"Disponible"),"")</f>
      </c>
      <c r="X351">
        <f>IF(W351&lt;&gt;"",D351&amp;"|"&amp;W351,"")</f>
      </c>
      <c r="Y351">
        <f>IF(X351&lt;&gt;"",IF(K351&lt;&gt;"",K351&amp;" ("&amp;M351&amp;")",M351),"")</f>
      </c>
      <c r="Z351">
        <f>IF(O351="Sí",COUNTIFS($D$2:D351,D351,$O$2:O351,"Sí"),"")</f>
      </c>
      <c r="AA351">
        <f>IF(Z351&lt;&gt;"",D351&amp;"|"&amp;Z351,"")</f>
      </c>
      <c r="AB351">
        <f>IF(AA351&lt;&gt;"",IF(K351&lt;&gt;"",K351&amp;" ("&amp;M351&amp;")",M351),"")</f>
      </c>
      <c r="AC351">
        <f>IF($B351="","fecha, ","")&amp;IF($C351="","quién lo introduce, ","")&amp;IF($I351="","motivo, ","")&amp;IF($K351="","docente, ","")&amp;IF($L351="","horario, ","")&amp;IF($N351="","duración, ","")&amp;IF($Q351="","estado, ","")&amp;IF(AND($I351="Otros",$J351=""),"detalle del motivo, ","")&amp;IF(AND($O351="Sí",$P351=""),"detalle del refuerzo, ","")&amp;IF(AND(OR($I351="Renuncia (hasta 30 nov)",$I351="Baja (desde 1 dic)",$I351="Renuncia excepcional (art. 25.3)",$I351="Traslado de expediente"),OR($E351="",$F351="",$G351="")),"quién deja la plaza, ","")&amp;IF(AND($Q351="No disponible",$R351=""),"vía de cobertura, ","")&amp;IF(AND(OR($R351="Lista de espera · propio centro",$R351="Traslado de expediente",$R351="Lista de espera · otro centro"),OR($S351="",$T351="",$U351="")),"quién ocupa la plaza, ","")</f>
      </c>
      <c r="AD351" s="24">
        <f>IF($D351="","",IF(AND(LEN($AC351)=0,LEN($AK351)=0),"Completa",IF(LEN($AC351)=0,"Revisar: "&amp;LEFT($AK351,LEN($AK351)-2),"Falta: "&amp;LEFT($AC351,LEN($AC351)-2)&amp;IF(LEN($AK351)&gt;0,"  ·  Revisar: "&amp;LEFT($AK351,LEN($AK351)-2),""))))</f>
      </c>
      <c r="AE351">
        <f>IF(AND($D351&lt;&gt;"",OR($I351="Renuncia (hasta 30 nov)",$I351="Baja (desde 1 dic)",$I351="Renuncia excepcional (art. 25.3)",$I351="Traslado de expediente")),COUNTIF($AE$1:AE350,"&gt;0")+1,"")</f>
      </c>
      <c r="AF351">
        <f>IF($Q351="Disponible",COUNTIF($AF$1:AF350,"&gt;0")+1,"")</f>
      </c>
      <c r="AG351">
        <f>IF($O351="Sí",COUNTIF($AG$1:AG350,"&gt;0")+1,"")</f>
      </c>
      <c r="AH351">
        <f>IF(AND($Q351="Disponible",$O351&lt;&gt;"Sí"),COUNTIF($AH$1:AH350,"&gt;0")+1,"")</f>
      </c>
      <c r="AI351">
        <f>IF(AND($Q351="Disponible",$K351&lt;&gt;""),COUNTIFS($K$2:K351,K351,$Q$2:Q351,"Disponible"),"")</f>
      </c>
      <c r="AJ351">
        <f>IF(AI351&lt;&gt;"",K351&amp;"|"&amp;AI351,"")</f>
      </c>
      <c r="AK351">
        <f>IF(AND($Q351="No disponible",OR($R351="Lista de espera · propio centro",$R351="Traslado de expediente",$R351="Lista de espera · otro centro"),$O351="Sí"),"la plaza ya tiene alumno y sigue marcada como refuerzo, ","")&amp;IF(AND($R351="Reconvertida en refuerzo",$O351&lt;&gt;"Sí"),"reconvertida en refuerzo pero sin marcar «En uso como refuerzo», ","")</f>
      </c>
    </row>
    <row r="352" spans="1:37">
      <c r="A352" s="20">
        <f>IF(D352&lt;&gt;"",ROW()-1,"")</f>
      </c>
      <c r="B352" s="55"/>
      <c r="C352" s="56"/>
      <c r="D352" s="56"/>
      <c r="E352" s="56"/>
      <c r="F352" s="56"/>
      <c r="G352" s="56"/>
      <c r="H352" s="56"/>
      <c r="I352" s="56"/>
      <c r="J352" s="57"/>
      <c r="K352" s="56"/>
      <c r="L352" s="58"/>
      <c r="M352" s="58">
        <f>IF(L352="","",L352)</f>
      </c>
      <c r="N352" s="56"/>
      <c r="O352" s="56"/>
      <c r="P352" s="57"/>
      <c r="Q352" s="56"/>
      <c r="R352" s="56"/>
      <c r="S352" s="56"/>
      <c r="T352" s="56"/>
      <c r="U352" s="56"/>
      <c r="V352" s="57"/>
      <c r="W352">
        <f>IF(Q352="Disponible",COUNTIFS($D$2:D352,D352,$Q$2:Q352,"Disponible"),"")</f>
      </c>
      <c r="X352">
        <f>IF(W352&lt;&gt;"",D352&amp;"|"&amp;W352,"")</f>
      </c>
      <c r="Y352">
        <f>IF(X352&lt;&gt;"",IF(K352&lt;&gt;"",K352&amp;" ("&amp;M352&amp;")",M352),"")</f>
      </c>
      <c r="Z352">
        <f>IF(O352="Sí",COUNTIFS($D$2:D352,D352,$O$2:O352,"Sí"),"")</f>
      </c>
      <c r="AA352">
        <f>IF(Z352&lt;&gt;"",D352&amp;"|"&amp;Z352,"")</f>
      </c>
      <c r="AB352">
        <f>IF(AA352&lt;&gt;"",IF(K352&lt;&gt;"",K352&amp;" ("&amp;M352&amp;")",M352),"")</f>
      </c>
      <c r="AC352">
        <f>IF($B352="","fecha, ","")&amp;IF($C352="","quién lo introduce, ","")&amp;IF($I352="","motivo, ","")&amp;IF($K352="","docente, ","")&amp;IF($L352="","horario, ","")&amp;IF($N352="","duración, ","")&amp;IF($Q352="","estado, ","")&amp;IF(AND($I352="Otros",$J352=""),"detalle del motivo, ","")&amp;IF(AND($O352="Sí",$P352=""),"detalle del refuerzo, ","")&amp;IF(AND(OR($I352="Renuncia (hasta 30 nov)",$I352="Baja (desde 1 dic)",$I352="Renuncia excepcional (art. 25.3)",$I352="Traslado de expediente"),OR($E352="",$F352="",$G352="")),"quién deja la plaza, ","")&amp;IF(AND($Q352="No disponible",$R352=""),"vía de cobertura, ","")&amp;IF(AND(OR($R352="Lista de espera · propio centro",$R352="Traslado de expediente",$R352="Lista de espera · otro centro"),OR($S352="",$T352="",$U352="")),"quién ocupa la plaza, ","")</f>
      </c>
      <c r="AD352" s="24">
        <f>IF($D352="","",IF(AND(LEN($AC352)=0,LEN($AK352)=0),"Completa",IF(LEN($AC352)=0,"Revisar: "&amp;LEFT($AK352,LEN($AK352)-2),"Falta: "&amp;LEFT($AC352,LEN($AC352)-2)&amp;IF(LEN($AK352)&gt;0,"  ·  Revisar: "&amp;LEFT($AK352,LEN($AK352)-2),""))))</f>
      </c>
      <c r="AE352">
        <f>IF(AND($D352&lt;&gt;"",OR($I352="Renuncia (hasta 30 nov)",$I352="Baja (desde 1 dic)",$I352="Renuncia excepcional (art. 25.3)",$I352="Traslado de expediente")),COUNTIF($AE$1:AE351,"&gt;0")+1,"")</f>
      </c>
      <c r="AF352">
        <f>IF($Q352="Disponible",COUNTIF($AF$1:AF351,"&gt;0")+1,"")</f>
      </c>
      <c r="AG352">
        <f>IF($O352="Sí",COUNTIF($AG$1:AG351,"&gt;0")+1,"")</f>
      </c>
      <c r="AH352">
        <f>IF(AND($Q352="Disponible",$O352&lt;&gt;"Sí"),COUNTIF($AH$1:AH351,"&gt;0")+1,"")</f>
      </c>
      <c r="AI352">
        <f>IF(AND($Q352="Disponible",$K352&lt;&gt;""),COUNTIFS($K$2:K352,K352,$Q$2:Q352,"Disponible"),"")</f>
      </c>
      <c r="AJ352">
        <f>IF(AI352&lt;&gt;"",K352&amp;"|"&amp;AI352,"")</f>
      </c>
      <c r="AK352">
        <f>IF(AND($Q352="No disponible",OR($R352="Lista de espera · propio centro",$R352="Traslado de expediente",$R352="Lista de espera · otro centro"),$O352="Sí"),"la plaza ya tiene alumno y sigue marcada como refuerzo, ","")&amp;IF(AND($R352="Reconvertida en refuerzo",$O352&lt;&gt;"Sí"),"reconvertida en refuerzo pero sin marcar «En uso como refuerzo», ","")</f>
      </c>
    </row>
    <row r="353" spans="1:37">
      <c r="A353" s="20">
        <f>IF(D353&lt;&gt;"",ROW()-1,"")</f>
      </c>
      <c r="B353" s="55"/>
      <c r="C353" s="56"/>
      <c r="D353" s="56"/>
      <c r="E353" s="56"/>
      <c r="F353" s="56"/>
      <c r="G353" s="56"/>
      <c r="H353" s="56"/>
      <c r="I353" s="56"/>
      <c r="J353" s="57"/>
      <c r="K353" s="56"/>
      <c r="L353" s="58"/>
      <c r="M353" s="58">
        <f>IF(L353="","",L353)</f>
      </c>
      <c r="N353" s="56"/>
      <c r="O353" s="56"/>
      <c r="P353" s="57"/>
      <c r="Q353" s="56"/>
      <c r="R353" s="56"/>
      <c r="S353" s="56"/>
      <c r="T353" s="56"/>
      <c r="U353" s="56"/>
      <c r="V353" s="57"/>
      <c r="W353">
        <f>IF(Q353="Disponible",COUNTIFS($D$2:D353,D353,$Q$2:Q353,"Disponible"),"")</f>
      </c>
      <c r="X353">
        <f>IF(W353&lt;&gt;"",D353&amp;"|"&amp;W353,"")</f>
      </c>
      <c r="Y353">
        <f>IF(X353&lt;&gt;"",IF(K353&lt;&gt;"",K353&amp;" ("&amp;M353&amp;")",M353),"")</f>
      </c>
      <c r="Z353">
        <f>IF(O353="Sí",COUNTIFS($D$2:D353,D353,$O$2:O353,"Sí"),"")</f>
      </c>
      <c r="AA353">
        <f>IF(Z353&lt;&gt;"",D353&amp;"|"&amp;Z353,"")</f>
      </c>
      <c r="AB353">
        <f>IF(AA353&lt;&gt;"",IF(K353&lt;&gt;"",K353&amp;" ("&amp;M353&amp;")",M353),"")</f>
      </c>
      <c r="AC353">
        <f>IF($B353="","fecha, ","")&amp;IF($C353="","quién lo introduce, ","")&amp;IF($I353="","motivo, ","")&amp;IF($K353="","docente, ","")&amp;IF($L353="","horario, ","")&amp;IF($N353="","duración, ","")&amp;IF($Q353="","estado, ","")&amp;IF(AND($I353="Otros",$J353=""),"detalle del motivo, ","")&amp;IF(AND($O353="Sí",$P353=""),"detalle del refuerzo, ","")&amp;IF(AND(OR($I353="Renuncia (hasta 30 nov)",$I353="Baja (desde 1 dic)",$I353="Renuncia excepcional (art. 25.3)",$I353="Traslado de expediente"),OR($E353="",$F353="",$G353="")),"quién deja la plaza, ","")&amp;IF(AND($Q353="No disponible",$R353=""),"vía de cobertura, ","")&amp;IF(AND(OR($R353="Lista de espera · propio centro",$R353="Traslado de expediente",$R353="Lista de espera · otro centro"),OR($S353="",$T353="",$U353="")),"quién ocupa la plaza, ","")</f>
      </c>
      <c r="AD353" s="24">
        <f>IF($D353="","",IF(AND(LEN($AC353)=0,LEN($AK353)=0),"Completa",IF(LEN($AC353)=0,"Revisar: "&amp;LEFT($AK353,LEN($AK353)-2),"Falta: "&amp;LEFT($AC353,LEN($AC353)-2)&amp;IF(LEN($AK353)&gt;0,"  ·  Revisar: "&amp;LEFT($AK353,LEN($AK353)-2),""))))</f>
      </c>
      <c r="AE353">
        <f>IF(AND($D353&lt;&gt;"",OR($I353="Renuncia (hasta 30 nov)",$I353="Baja (desde 1 dic)",$I353="Renuncia excepcional (art. 25.3)",$I353="Traslado de expediente")),COUNTIF($AE$1:AE352,"&gt;0")+1,"")</f>
      </c>
      <c r="AF353">
        <f>IF($Q353="Disponible",COUNTIF($AF$1:AF352,"&gt;0")+1,"")</f>
      </c>
      <c r="AG353">
        <f>IF($O353="Sí",COUNTIF($AG$1:AG352,"&gt;0")+1,"")</f>
      </c>
      <c r="AH353">
        <f>IF(AND($Q353="Disponible",$O353&lt;&gt;"Sí"),COUNTIF($AH$1:AH352,"&gt;0")+1,"")</f>
      </c>
      <c r="AI353">
        <f>IF(AND($Q353="Disponible",$K353&lt;&gt;""),COUNTIFS($K$2:K353,K353,$Q$2:Q353,"Disponible"),"")</f>
      </c>
      <c r="AJ353">
        <f>IF(AI353&lt;&gt;"",K353&amp;"|"&amp;AI353,"")</f>
      </c>
      <c r="AK353">
        <f>IF(AND($Q353="No disponible",OR($R353="Lista de espera · propio centro",$R353="Traslado de expediente",$R353="Lista de espera · otro centro"),$O353="Sí"),"la plaza ya tiene alumno y sigue marcada como refuerzo, ","")&amp;IF(AND($R353="Reconvertida en refuerzo",$O353&lt;&gt;"Sí"),"reconvertida en refuerzo pero sin marcar «En uso como refuerzo», ","")</f>
      </c>
    </row>
    <row r="354" spans="1:37">
      <c r="A354" s="20">
        <f>IF(D354&lt;&gt;"",ROW()-1,"")</f>
      </c>
      <c r="B354" s="55"/>
      <c r="C354" s="56"/>
      <c r="D354" s="56"/>
      <c r="E354" s="56"/>
      <c r="F354" s="56"/>
      <c r="G354" s="56"/>
      <c r="H354" s="56"/>
      <c r="I354" s="56"/>
      <c r="J354" s="57"/>
      <c r="K354" s="56"/>
      <c r="L354" s="58"/>
      <c r="M354" s="58">
        <f>IF(L354="","",L354)</f>
      </c>
      <c r="N354" s="56"/>
      <c r="O354" s="56"/>
      <c r="P354" s="57"/>
      <c r="Q354" s="56"/>
      <c r="R354" s="56"/>
      <c r="S354" s="56"/>
      <c r="T354" s="56"/>
      <c r="U354" s="56"/>
      <c r="V354" s="57"/>
      <c r="W354">
        <f>IF(Q354="Disponible",COUNTIFS($D$2:D354,D354,$Q$2:Q354,"Disponible"),"")</f>
      </c>
      <c r="X354">
        <f>IF(W354&lt;&gt;"",D354&amp;"|"&amp;W354,"")</f>
      </c>
      <c r="Y354">
        <f>IF(X354&lt;&gt;"",IF(K354&lt;&gt;"",K354&amp;" ("&amp;M354&amp;")",M354),"")</f>
      </c>
      <c r="Z354">
        <f>IF(O354="Sí",COUNTIFS($D$2:D354,D354,$O$2:O354,"Sí"),"")</f>
      </c>
      <c r="AA354">
        <f>IF(Z354&lt;&gt;"",D354&amp;"|"&amp;Z354,"")</f>
      </c>
      <c r="AB354">
        <f>IF(AA354&lt;&gt;"",IF(K354&lt;&gt;"",K354&amp;" ("&amp;M354&amp;")",M354),"")</f>
      </c>
      <c r="AC354">
        <f>IF($B354="","fecha, ","")&amp;IF($C354="","quién lo introduce, ","")&amp;IF($I354="","motivo, ","")&amp;IF($K354="","docente, ","")&amp;IF($L354="","horario, ","")&amp;IF($N354="","duración, ","")&amp;IF($Q354="","estado, ","")&amp;IF(AND($I354="Otros",$J354=""),"detalle del motivo, ","")&amp;IF(AND($O354="Sí",$P354=""),"detalle del refuerzo, ","")&amp;IF(AND(OR($I354="Renuncia (hasta 30 nov)",$I354="Baja (desde 1 dic)",$I354="Renuncia excepcional (art. 25.3)",$I354="Traslado de expediente"),OR($E354="",$F354="",$G354="")),"quién deja la plaza, ","")&amp;IF(AND($Q354="No disponible",$R354=""),"vía de cobertura, ","")&amp;IF(AND(OR($R354="Lista de espera · propio centro",$R354="Traslado de expediente",$R354="Lista de espera · otro centro"),OR($S354="",$T354="",$U354="")),"quién ocupa la plaza, ","")</f>
      </c>
      <c r="AD354" s="24">
        <f>IF($D354="","",IF(AND(LEN($AC354)=0,LEN($AK354)=0),"Completa",IF(LEN($AC354)=0,"Revisar: "&amp;LEFT($AK354,LEN($AK354)-2),"Falta: "&amp;LEFT($AC354,LEN($AC354)-2)&amp;IF(LEN($AK354)&gt;0,"  ·  Revisar: "&amp;LEFT($AK354,LEN($AK354)-2),""))))</f>
      </c>
      <c r="AE354">
        <f>IF(AND($D354&lt;&gt;"",OR($I354="Renuncia (hasta 30 nov)",$I354="Baja (desde 1 dic)",$I354="Renuncia excepcional (art. 25.3)",$I354="Traslado de expediente")),COUNTIF($AE$1:AE353,"&gt;0")+1,"")</f>
      </c>
      <c r="AF354">
        <f>IF($Q354="Disponible",COUNTIF($AF$1:AF353,"&gt;0")+1,"")</f>
      </c>
      <c r="AG354">
        <f>IF($O354="Sí",COUNTIF($AG$1:AG353,"&gt;0")+1,"")</f>
      </c>
      <c r="AH354">
        <f>IF(AND($Q354="Disponible",$O354&lt;&gt;"Sí"),COUNTIF($AH$1:AH353,"&gt;0")+1,"")</f>
      </c>
      <c r="AI354">
        <f>IF(AND($Q354="Disponible",$K354&lt;&gt;""),COUNTIFS($K$2:K354,K354,$Q$2:Q354,"Disponible"),"")</f>
      </c>
      <c r="AJ354">
        <f>IF(AI354&lt;&gt;"",K354&amp;"|"&amp;AI354,"")</f>
      </c>
      <c r="AK354">
        <f>IF(AND($Q354="No disponible",OR($R354="Lista de espera · propio centro",$R354="Traslado de expediente",$R354="Lista de espera · otro centro"),$O354="Sí"),"la plaza ya tiene alumno y sigue marcada como refuerzo, ","")&amp;IF(AND($R354="Reconvertida en refuerzo",$O354&lt;&gt;"Sí"),"reconvertida en refuerzo pero sin marcar «En uso como refuerzo», ","")</f>
      </c>
    </row>
    <row r="355" spans="1:37">
      <c r="A355" s="20">
        <f>IF(D355&lt;&gt;"",ROW()-1,"")</f>
      </c>
      <c r="B355" s="55"/>
      <c r="C355" s="56"/>
      <c r="D355" s="56"/>
      <c r="E355" s="56"/>
      <c r="F355" s="56"/>
      <c r="G355" s="56"/>
      <c r="H355" s="56"/>
      <c r="I355" s="56"/>
      <c r="J355" s="57"/>
      <c r="K355" s="56"/>
      <c r="L355" s="58"/>
      <c r="M355" s="58">
        <f>IF(L355="","",L355)</f>
      </c>
      <c r="N355" s="56"/>
      <c r="O355" s="56"/>
      <c r="P355" s="57"/>
      <c r="Q355" s="56"/>
      <c r="R355" s="56"/>
      <c r="S355" s="56"/>
      <c r="T355" s="56"/>
      <c r="U355" s="56"/>
      <c r="V355" s="57"/>
      <c r="W355">
        <f>IF(Q355="Disponible",COUNTIFS($D$2:D355,D355,$Q$2:Q355,"Disponible"),"")</f>
      </c>
      <c r="X355">
        <f>IF(W355&lt;&gt;"",D355&amp;"|"&amp;W355,"")</f>
      </c>
      <c r="Y355">
        <f>IF(X355&lt;&gt;"",IF(K355&lt;&gt;"",K355&amp;" ("&amp;M355&amp;")",M355),"")</f>
      </c>
      <c r="Z355">
        <f>IF(O355="Sí",COUNTIFS($D$2:D355,D355,$O$2:O355,"Sí"),"")</f>
      </c>
      <c r="AA355">
        <f>IF(Z355&lt;&gt;"",D355&amp;"|"&amp;Z355,"")</f>
      </c>
      <c r="AB355">
        <f>IF(AA355&lt;&gt;"",IF(K355&lt;&gt;"",K355&amp;" ("&amp;M355&amp;")",M355),"")</f>
      </c>
      <c r="AC355">
        <f>IF($B355="","fecha, ","")&amp;IF($C355="","quién lo introduce, ","")&amp;IF($I355="","motivo, ","")&amp;IF($K355="","docente, ","")&amp;IF($L355="","horario, ","")&amp;IF($N355="","duración, ","")&amp;IF($Q355="","estado, ","")&amp;IF(AND($I355="Otros",$J355=""),"detalle del motivo, ","")&amp;IF(AND($O355="Sí",$P355=""),"detalle del refuerzo, ","")&amp;IF(AND(OR($I355="Renuncia (hasta 30 nov)",$I355="Baja (desde 1 dic)",$I355="Renuncia excepcional (art. 25.3)",$I355="Traslado de expediente"),OR($E355="",$F355="",$G355="")),"quién deja la plaza, ","")&amp;IF(AND($Q355="No disponible",$R355=""),"vía de cobertura, ","")&amp;IF(AND(OR($R355="Lista de espera · propio centro",$R355="Traslado de expediente",$R355="Lista de espera · otro centro"),OR($S355="",$T355="",$U355="")),"quién ocupa la plaza, ","")</f>
      </c>
      <c r="AD355" s="24">
        <f>IF($D355="","",IF(AND(LEN($AC355)=0,LEN($AK355)=0),"Completa",IF(LEN($AC355)=0,"Revisar: "&amp;LEFT($AK355,LEN($AK355)-2),"Falta: "&amp;LEFT($AC355,LEN($AC355)-2)&amp;IF(LEN($AK355)&gt;0,"  ·  Revisar: "&amp;LEFT($AK355,LEN($AK355)-2),""))))</f>
      </c>
      <c r="AE355">
        <f>IF(AND($D355&lt;&gt;"",OR($I355="Renuncia (hasta 30 nov)",$I355="Baja (desde 1 dic)",$I355="Renuncia excepcional (art. 25.3)",$I355="Traslado de expediente")),COUNTIF($AE$1:AE354,"&gt;0")+1,"")</f>
      </c>
      <c r="AF355">
        <f>IF($Q355="Disponible",COUNTIF($AF$1:AF354,"&gt;0")+1,"")</f>
      </c>
      <c r="AG355">
        <f>IF($O355="Sí",COUNTIF($AG$1:AG354,"&gt;0")+1,"")</f>
      </c>
      <c r="AH355">
        <f>IF(AND($Q355="Disponible",$O355&lt;&gt;"Sí"),COUNTIF($AH$1:AH354,"&gt;0")+1,"")</f>
      </c>
      <c r="AI355">
        <f>IF(AND($Q355="Disponible",$K355&lt;&gt;""),COUNTIFS($K$2:K355,K355,$Q$2:Q355,"Disponible"),"")</f>
      </c>
      <c r="AJ355">
        <f>IF(AI355&lt;&gt;"",K355&amp;"|"&amp;AI355,"")</f>
      </c>
      <c r="AK355">
        <f>IF(AND($Q355="No disponible",OR($R355="Lista de espera · propio centro",$R355="Traslado de expediente",$R355="Lista de espera · otro centro"),$O355="Sí"),"la plaza ya tiene alumno y sigue marcada como refuerzo, ","")&amp;IF(AND($R355="Reconvertida en refuerzo",$O355&lt;&gt;"Sí"),"reconvertida en refuerzo pero sin marcar «En uso como refuerzo», ","")</f>
      </c>
    </row>
    <row r="356" spans="1:37">
      <c r="A356" s="20">
        <f>IF(D356&lt;&gt;"",ROW()-1,"")</f>
      </c>
      <c r="B356" s="55"/>
      <c r="C356" s="56"/>
      <c r="D356" s="56"/>
      <c r="E356" s="56"/>
      <c r="F356" s="56"/>
      <c r="G356" s="56"/>
      <c r="H356" s="56"/>
      <c r="I356" s="56"/>
      <c r="J356" s="57"/>
      <c r="K356" s="56"/>
      <c r="L356" s="58"/>
      <c r="M356" s="58">
        <f>IF(L356="","",L356)</f>
      </c>
      <c r="N356" s="56"/>
      <c r="O356" s="56"/>
      <c r="P356" s="57"/>
      <c r="Q356" s="56"/>
      <c r="R356" s="56"/>
      <c r="S356" s="56"/>
      <c r="T356" s="56"/>
      <c r="U356" s="56"/>
      <c r="V356" s="57"/>
      <c r="W356">
        <f>IF(Q356="Disponible",COUNTIFS($D$2:D356,D356,$Q$2:Q356,"Disponible"),"")</f>
      </c>
      <c r="X356">
        <f>IF(W356&lt;&gt;"",D356&amp;"|"&amp;W356,"")</f>
      </c>
      <c r="Y356">
        <f>IF(X356&lt;&gt;"",IF(K356&lt;&gt;"",K356&amp;" ("&amp;M356&amp;")",M356),"")</f>
      </c>
      <c r="Z356">
        <f>IF(O356="Sí",COUNTIFS($D$2:D356,D356,$O$2:O356,"Sí"),"")</f>
      </c>
      <c r="AA356">
        <f>IF(Z356&lt;&gt;"",D356&amp;"|"&amp;Z356,"")</f>
      </c>
      <c r="AB356">
        <f>IF(AA356&lt;&gt;"",IF(K356&lt;&gt;"",K356&amp;" ("&amp;M356&amp;")",M356),"")</f>
      </c>
      <c r="AC356">
        <f>IF($B356="","fecha, ","")&amp;IF($C356="","quién lo introduce, ","")&amp;IF($I356="","motivo, ","")&amp;IF($K356="","docente, ","")&amp;IF($L356="","horario, ","")&amp;IF($N356="","duración, ","")&amp;IF($Q356="","estado, ","")&amp;IF(AND($I356="Otros",$J356=""),"detalle del motivo, ","")&amp;IF(AND($O356="Sí",$P356=""),"detalle del refuerzo, ","")&amp;IF(AND(OR($I356="Renuncia (hasta 30 nov)",$I356="Baja (desde 1 dic)",$I356="Renuncia excepcional (art. 25.3)",$I356="Traslado de expediente"),OR($E356="",$F356="",$G356="")),"quién deja la plaza, ","")&amp;IF(AND($Q356="No disponible",$R356=""),"vía de cobertura, ","")&amp;IF(AND(OR($R356="Lista de espera · propio centro",$R356="Traslado de expediente",$R356="Lista de espera · otro centro"),OR($S356="",$T356="",$U356="")),"quién ocupa la plaza, ","")</f>
      </c>
      <c r="AD356" s="24">
        <f>IF($D356="","",IF(AND(LEN($AC356)=0,LEN($AK356)=0),"Completa",IF(LEN($AC356)=0,"Revisar: "&amp;LEFT($AK356,LEN($AK356)-2),"Falta: "&amp;LEFT($AC356,LEN($AC356)-2)&amp;IF(LEN($AK356)&gt;0,"  ·  Revisar: "&amp;LEFT($AK356,LEN($AK356)-2),""))))</f>
      </c>
      <c r="AE356">
        <f>IF(AND($D356&lt;&gt;"",OR($I356="Renuncia (hasta 30 nov)",$I356="Baja (desde 1 dic)",$I356="Renuncia excepcional (art. 25.3)",$I356="Traslado de expediente")),COUNTIF($AE$1:AE355,"&gt;0")+1,"")</f>
      </c>
      <c r="AF356">
        <f>IF($Q356="Disponible",COUNTIF($AF$1:AF355,"&gt;0")+1,"")</f>
      </c>
      <c r="AG356">
        <f>IF($O356="Sí",COUNTIF($AG$1:AG355,"&gt;0")+1,"")</f>
      </c>
      <c r="AH356">
        <f>IF(AND($Q356="Disponible",$O356&lt;&gt;"Sí"),COUNTIF($AH$1:AH355,"&gt;0")+1,"")</f>
      </c>
      <c r="AI356">
        <f>IF(AND($Q356="Disponible",$K356&lt;&gt;""),COUNTIFS($K$2:K356,K356,$Q$2:Q356,"Disponible"),"")</f>
      </c>
      <c r="AJ356">
        <f>IF(AI356&lt;&gt;"",K356&amp;"|"&amp;AI356,"")</f>
      </c>
      <c r="AK356">
        <f>IF(AND($Q356="No disponible",OR($R356="Lista de espera · propio centro",$R356="Traslado de expediente",$R356="Lista de espera · otro centro"),$O356="Sí"),"la plaza ya tiene alumno y sigue marcada como refuerzo, ","")&amp;IF(AND($R356="Reconvertida en refuerzo",$O356&lt;&gt;"Sí"),"reconvertida en refuerzo pero sin marcar «En uso como refuerzo», ","")</f>
      </c>
    </row>
    <row r="357" spans="1:37">
      <c r="A357" s="20">
        <f>IF(D357&lt;&gt;"",ROW()-1,"")</f>
      </c>
      <c r="B357" s="55"/>
      <c r="C357" s="56"/>
      <c r="D357" s="56"/>
      <c r="E357" s="56"/>
      <c r="F357" s="56"/>
      <c r="G357" s="56"/>
      <c r="H357" s="56"/>
      <c r="I357" s="56"/>
      <c r="J357" s="57"/>
      <c r="K357" s="56"/>
      <c r="L357" s="58"/>
      <c r="M357" s="58">
        <f>IF(L357="","",L357)</f>
      </c>
      <c r="N357" s="56"/>
      <c r="O357" s="56"/>
      <c r="P357" s="57"/>
      <c r="Q357" s="56"/>
      <c r="R357" s="56"/>
      <c r="S357" s="56"/>
      <c r="T357" s="56"/>
      <c r="U357" s="56"/>
      <c r="V357" s="57"/>
      <c r="W357">
        <f>IF(Q357="Disponible",COUNTIFS($D$2:D357,D357,$Q$2:Q357,"Disponible"),"")</f>
      </c>
      <c r="X357">
        <f>IF(W357&lt;&gt;"",D357&amp;"|"&amp;W357,"")</f>
      </c>
      <c r="Y357">
        <f>IF(X357&lt;&gt;"",IF(K357&lt;&gt;"",K357&amp;" ("&amp;M357&amp;")",M357),"")</f>
      </c>
      <c r="Z357">
        <f>IF(O357="Sí",COUNTIFS($D$2:D357,D357,$O$2:O357,"Sí"),"")</f>
      </c>
      <c r="AA357">
        <f>IF(Z357&lt;&gt;"",D357&amp;"|"&amp;Z357,"")</f>
      </c>
      <c r="AB357">
        <f>IF(AA357&lt;&gt;"",IF(K357&lt;&gt;"",K357&amp;" ("&amp;M357&amp;")",M357),"")</f>
      </c>
      <c r="AC357">
        <f>IF($B357="","fecha, ","")&amp;IF($C357="","quién lo introduce, ","")&amp;IF($I357="","motivo, ","")&amp;IF($K357="","docente, ","")&amp;IF($L357="","horario, ","")&amp;IF($N357="","duración, ","")&amp;IF($Q357="","estado, ","")&amp;IF(AND($I357="Otros",$J357=""),"detalle del motivo, ","")&amp;IF(AND($O357="Sí",$P357=""),"detalle del refuerzo, ","")&amp;IF(AND(OR($I357="Renuncia (hasta 30 nov)",$I357="Baja (desde 1 dic)",$I357="Renuncia excepcional (art. 25.3)",$I357="Traslado de expediente"),OR($E357="",$F357="",$G357="")),"quién deja la plaza, ","")&amp;IF(AND($Q357="No disponible",$R357=""),"vía de cobertura, ","")&amp;IF(AND(OR($R357="Lista de espera · propio centro",$R357="Traslado de expediente",$R357="Lista de espera · otro centro"),OR($S357="",$T357="",$U357="")),"quién ocupa la plaza, ","")</f>
      </c>
      <c r="AD357" s="24">
        <f>IF($D357="","",IF(AND(LEN($AC357)=0,LEN($AK357)=0),"Completa",IF(LEN($AC357)=0,"Revisar: "&amp;LEFT($AK357,LEN($AK357)-2),"Falta: "&amp;LEFT($AC357,LEN($AC357)-2)&amp;IF(LEN($AK357)&gt;0,"  ·  Revisar: "&amp;LEFT($AK357,LEN($AK357)-2),""))))</f>
      </c>
      <c r="AE357">
        <f>IF(AND($D357&lt;&gt;"",OR($I357="Renuncia (hasta 30 nov)",$I357="Baja (desde 1 dic)",$I357="Renuncia excepcional (art. 25.3)",$I357="Traslado de expediente")),COUNTIF($AE$1:AE356,"&gt;0")+1,"")</f>
      </c>
      <c r="AF357">
        <f>IF($Q357="Disponible",COUNTIF($AF$1:AF356,"&gt;0")+1,"")</f>
      </c>
      <c r="AG357">
        <f>IF($O357="Sí",COUNTIF($AG$1:AG356,"&gt;0")+1,"")</f>
      </c>
      <c r="AH357">
        <f>IF(AND($Q357="Disponible",$O357&lt;&gt;"Sí"),COUNTIF($AH$1:AH356,"&gt;0")+1,"")</f>
      </c>
      <c r="AI357">
        <f>IF(AND($Q357="Disponible",$K357&lt;&gt;""),COUNTIFS($K$2:K357,K357,$Q$2:Q357,"Disponible"),"")</f>
      </c>
      <c r="AJ357">
        <f>IF(AI357&lt;&gt;"",K357&amp;"|"&amp;AI357,"")</f>
      </c>
      <c r="AK357">
        <f>IF(AND($Q357="No disponible",OR($R357="Lista de espera · propio centro",$R357="Traslado de expediente",$R357="Lista de espera · otro centro"),$O357="Sí"),"la plaza ya tiene alumno y sigue marcada como refuerzo, ","")&amp;IF(AND($R357="Reconvertida en refuerzo",$O357&lt;&gt;"Sí"),"reconvertida en refuerzo pero sin marcar «En uso como refuerzo», ","")</f>
      </c>
    </row>
    <row r="358" spans="1:37">
      <c r="A358" s="20">
        <f>IF(D358&lt;&gt;"",ROW()-1,"")</f>
      </c>
      <c r="B358" s="55"/>
      <c r="C358" s="56"/>
      <c r="D358" s="56"/>
      <c r="E358" s="56"/>
      <c r="F358" s="56"/>
      <c r="G358" s="56"/>
      <c r="H358" s="56"/>
      <c r="I358" s="56"/>
      <c r="J358" s="57"/>
      <c r="K358" s="56"/>
      <c r="L358" s="58"/>
      <c r="M358" s="58">
        <f>IF(L358="","",L358)</f>
      </c>
      <c r="N358" s="56"/>
      <c r="O358" s="56"/>
      <c r="P358" s="57"/>
      <c r="Q358" s="56"/>
      <c r="R358" s="56"/>
      <c r="S358" s="56"/>
      <c r="T358" s="56"/>
      <c r="U358" s="56"/>
      <c r="V358" s="57"/>
      <c r="W358">
        <f>IF(Q358="Disponible",COUNTIFS($D$2:D358,D358,$Q$2:Q358,"Disponible"),"")</f>
      </c>
      <c r="X358">
        <f>IF(W358&lt;&gt;"",D358&amp;"|"&amp;W358,"")</f>
      </c>
      <c r="Y358">
        <f>IF(X358&lt;&gt;"",IF(K358&lt;&gt;"",K358&amp;" ("&amp;M358&amp;")",M358),"")</f>
      </c>
      <c r="Z358">
        <f>IF(O358="Sí",COUNTIFS($D$2:D358,D358,$O$2:O358,"Sí"),"")</f>
      </c>
      <c r="AA358">
        <f>IF(Z358&lt;&gt;"",D358&amp;"|"&amp;Z358,"")</f>
      </c>
      <c r="AB358">
        <f>IF(AA358&lt;&gt;"",IF(K358&lt;&gt;"",K358&amp;" ("&amp;M358&amp;")",M358),"")</f>
      </c>
      <c r="AC358">
        <f>IF($B358="","fecha, ","")&amp;IF($C358="","quién lo introduce, ","")&amp;IF($I358="","motivo, ","")&amp;IF($K358="","docente, ","")&amp;IF($L358="","horario, ","")&amp;IF($N358="","duración, ","")&amp;IF($Q358="","estado, ","")&amp;IF(AND($I358="Otros",$J358=""),"detalle del motivo, ","")&amp;IF(AND($O358="Sí",$P358=""),"detalle del refuerzo, ","")&amp;IF(AND(OR($I358="Renuncia (hasta 30 nov)",$I358="Baja (desde 1 dic)",$I358="Renuncia excepcional (art. 25.3)",$I358="Traslado de expediente"),OR($E358="",$F358="",$G358="")),"quién deja la plaza, ","")&amp;IF(AND($Q358="No disponible",$R358=""),"vía de cobertura, ","")&amp;IF(AND(OR($R358="Lista de espera · propio centro",$R358="Traslado de expediente",$R358="Lista de espera · otro centro"),OR($S358="",$T358="",$U358="")),"quién ocupa la plaza, ","")</f>
      </c>
      <c r="AD358" s="24">
        <f>IF($D358="","",IF(AND(LEN($AC358)=0,LEN($AK358)=0),"Completa",IF(LEN($AC358)=0,"Revisar: "&amp;LEFT($AK358,LEN($AK358)-2),"Falta: "&amp;LEFT($AC358,LEN($AC358)-2)&amp;IF(LEN($AK358)&gt;0,"  ·  Revisar: "&amp;LEFT($AK358,LEN($AK358)-2),""))))</f>
      </c>
      <c r="AE358">
        <f>IF(AND($D358&lt;&gt;"",OR($I358="Renuncia (hasta 30 nov)",$I358="Baja (desde 1 dic)",$I358="Renuncia excepcional (art. 25.3)",$I358="Traslado de expediente")),COUNTIF($AE$1:AE357,"&gt;0")+1,"")</f>
      </c>
      <c r="AF358">
        <f>IF($Q358="Disponible",COUNTIF($AF$1:AF357,"&gt;0")+1,"")</f>
      </c>
      <c r="AG358">
        <f>IF($O358="Sí",COUNTIF($AG$1:AG357,"&gt;0")+1,"")</f>
      </c>
      <c r="AH358">
        <f>IF(AND($Q358="Disponible",$O358&lt;&gt;"Sí"),COUNTIF($AH$1:AH357,"&gt;0")+1,"")</f>
      </c>
      <c r="AI358">
        <f>IF(AND($Q358="Disponible",$K358&lt;&gt;""),COUNTIFS($K$2:K358,K358,$Q$2:Q358,"Disponible"),"")</f>
      </c>
      <c r="AJ358">
        <f>IF(AI358&lt;&gt;"",K358&amp;"|"&amp;AI358,"")</f>
      </c>
      <c r="AK358">
        <f>IF(AND($Q358="No disponible",OR($R358="Lista de espera · propio centro",$R358="Traslado de expediente",$R358="Lista de espera · otro centro"),$O358="Sí"),"la plaza ya tiene alumno y sigue marcada como refuerzo, ","")&amp;IF(AND($R358="Reconvertida en refuerzo",$O358&lt;&gt;"Sí"),"reconvertida en refuerzo pero sin marcar «En uso como refuerzo», ","")</f>
      </c>
    </row>
    <row r="359" spans="1:37">
      <c r="A359" s="20">
        <f>IF(D359&lt;&gt;"",ROW()-1,"")</f>
      </c>
      <c r="B359" s="55"/>
      <c r="C359" s="56"/>
      <c r="D359" s="56"/>
      <c r="E359" s="56"/>
      <c r="F359" s="56"/>
      <c r="G359" s="56"/>
      <c r="H359" s="56"/>
      <c r="I359" s="56"/>
      <c r="J359" s="57"/>
      <c r="K359" s="56"/>
      <c r="L359" s="58"/>
      <c r="M359" s="58">
        <f>IF(L359="","",L359)</f>
      </c>
      <c r="N359" s="56"/>
      <c r="O359" s="56"/>
      <c r="P359" s="57"/>
      <c r="Q359" s="56"/>
      <c r="R359" s="56"/>
      <c r="S359" s="56"/>
      <c r="T359" s="56"/>
      <c r="U359" s="56"/>
      <c r="V359" s="57"/>
      <c r="W359">
        <f>IF(Q359="Disponible",COUNTIFS($D$2:D359,D359,$Q$2:Q359,"Disponible"),"")</f>
      </c>
      <c r="X359">
        <f>IF(W359&lt;&gt;"",D359&amp;"|"&amp;W359,"")</f>
      </c>
      <c r="Y359">
        <f>IF(X359&lt;&gt;"",IF(K359&lt;&gt;"",K359&amp;" ("&amp;M359&amp;")",M359),"")</f>
      </c>
      <c r="Z359">
        <f>IF(O359="Sí",COUNTIFS($D$2:D359,D359,$O$2:O359,"Sí"),"")</f>
      </c>
      <c r="AA359">
        <f>IF(Z359&lt;&gt;"",D359&amp;"|"&amp;Z359,"")</f>
      </c>
      <c r="AB359">
        <f>IF(AA359&lt;&gt;"",IF(K359&lt;&gt;"",K359&amp;" ("&amp;M359&amp;")",M359),"")</f>
      </c>
      <c r="AC359">
        <f>IF($B359="","fecha, ","")&amp;IF($C359="","quién lo introduce, ","")&amp;IF($I359="","motivo, ","")&amp;IF($K359="","docente, ","")&amp;IF($L359="","horario, ","")&amp;IF($N359="","duración, ","")&amp;IF($Q359="","estado, ","")&amp;IF(AND($I359="Otros",$J359=""),"detalle del motivo, ","")&amp;IF(AND($O359="Sí",$P359=""),"detalle del refuerzo, ","")&amp;IF(AND(OR($I359="Renuncia (hasta 30 nov)",$I359="Baja (desde 1 dic)",$I359="Renuncia excepcional (art. 25.3)",$I359="Traslado de expediente"),OR($E359="",$F359="",$G359="")),"quién deja la plaza, ","")&amp;IF(AND($Q359="No disponible",$R359=""),"vía de cobertura, ","")&amp;IF(AND(OR($R359="Lista de espera · propio centro",$R359="Traslado de expediente",$R359="Lista de espera · otro centro"),OR($S359="",$T359="",$U359="")),"quién ocupa la plaza, ","")</f>
      </c>
      <c r="AD359" s="24">
        <f>IF($D359="","",IF(AND(LEN($AC359)=0,LEN($AK359)=0),"Completa",IF(LEN($AC359)=0,"Revisar: "&amp;LEFT($AK359,LEN($AK359)-2),"Falta: "&amp;LEFT($AC359,LEN($AC359)-2)&amp;IF(LEN($AK359)&gt;0,"  ·  Revisar: "&amp;LEFT($AK359,LEN($AK359)-2),""))))</f>
      </c>
      <c r="AE359">
        <f>IF(AND($D359&lt;&gt;"",OR($I359="Renuncia (hasta 30 nov)",$I359="Baja (desde 1 dic)",$I359="Renuncia excepcional (art. 25.3)",$I359="Traslado de expediente")),COUNTIF($AE$1:AE358,"&gt;0")+1,"")</f>
      </c>
      <c r="AF359">
        <f>IF($Q359="Disponible",COUNTIF($AF$1:AF358,"&gt;0")+1,"")</f>
      </c>
      <c r="AG359">
        <f>IF($O359="Sí",COUNTIF($AG$1:AG358,"&gt;0")+1,"")</f>
      </c>
      <c r="AH359">
        <f>IF(AND($Q359="Disponible",$O359&lt;&gt;"Sí"),COUNTIF($AH$1:AH358,"&gt;0")+1,"")</f>
      </c>
      <c r="AI359">
        <f>IF(AND($Q359="Disponible",$K359&lt;&gt;""),COUNTIFS($K$2:K359,K359,$Q$2:Q359,"Disponible"),"")</f>
      </c>
      <c r="AJ359">
        <f>IF(AI359&lt;&gt;"",K359&amp;"|"&amp;AI359,"")</f>
      </c>
      <c r="AK359">
        <f>IF(AND($Q359="No disponible",OR($R359="Lista de espera · propio centro",$R359="Traslado de expediente",$R359="Lista de espera · otro centro"),$O359="Sí"),"la plaza ya tiene alumno y sigue marcada como refuerzo, ","")&amp;IF(AND($R359="Reconvertida en refuerzo",$O359&lt;&gt;"Sí"),"reconvertida en refuerzo pero sin marcar «En uso como refuerzo», ","")</f>
      </c>
    </row>
    <row r="360" spans="1:37">
      <c r="A360" s="20">
        <f>IF(D360&lt;&gt;"",ROW()-1,"")</f>
      </c>
      <c r="B360" s="55"/>
      <c r="C360" s="56"/>
      <c r="D360" s="56"/>
      <c r="E360" s="56"/>
      <c r="F360" s="56"/>
      <c r="G360" s="56"/>
      <c r="H360" s="56"/>
      <c r="I360" s="56"/>
      <c r="J360" s="57"/>
      <c r="K360" s="56"/>
      <c r="L360" s="58"/>
      <c r="M360" s="58">
        <f>IF(L360="","",L360)</f>
      </c>
      <c r="N360" s="56"/>
      <c r="O360" s="56"/>
      <c r="P360" s="57"/>
      <c r="Q360" s="56"/>
      <c r="R360" s="56"/>
      <c r="S360" s="56"/>
      <c r="T360" s="56"/>
      <c r="U360" s="56"/>
      <c r="V360" s="57"/>
      <c r="W360">
        <f>IF(Q360="Disponible",COUNTIFS($D$2:D360,D360,$Q$2:Q360,"Disponible"),"")</f>
      </c>
      <c r="X360">
        <f>IF(W360&lt;&gt;"",D360&amp;"|"&amp;W360,"")</f>
      </c>
      <c r="Y360">
        <f>IF(X360&lt;&gt;"",IF(K360&lt;&gt;"",K360&amp;" ("&amp;M360&amp;")",M360),"")</f>
      </c>
      <c r="Z360">
        <f>IF(O360="Sí",COUNTIFS($D$2:D360,D360,$O$2:O360,"Sí"),"")</f>
      </c>
      <c r="AA360">
        <f>IF(Z360&lt;&gt;"",D360&amp;"|"&amp;Z360,"")</f>
      </c>
      <c r="AB360">
        <f>IF(AA360&lt;&gt;"",IF(K360&lt;&gt;"",K360&amp;" ("&amp;M360&amp;")",M360),"")</f>
      </c>
      <c r="AC360">
        <f>IF($B360="","fecha, ","")&amp;IF($C360="","quién lo introduce, ","")&amp;IF($I360="","motivo, ","")&amp;IF($K360="","docente, ","")&amp;IF($L360="","horario, ","")&amp;IF($N360="","duración, ","")&amp;IF($Q360="","estado, ","")&amp;IF(AND($I360="Otros",$J360=""),"detalle del motivo, ","")&amp;IF(AND($O360="Sí",$P360=""),"detalle del refuerzo, ","")&amp;IF(AND(OR($I360="Renuncia (hasta 30 nov)",$I360="Baja (desde 1 dic)",$I360="Renuncia excepcional (art. 25.3)",$I360="Traslado de expediente"),OR($E360="",$F360="",$G360="")),"quién deja la plaza, ","")&amp;IF(AND($Q360="No disponible",$R360=""),"vía de cobertura, ","")&amp;IF(AND(OR($R360="Lista de espera · propio centro",$R360="Traslado de expediente",$R360="Lista de espera · otro centro"),OR($S360="",$T360="",$U360="")),"quién ocupa la plaza, ","")</f>
      </c>
      <c r="AD360" s="24">
        <f>IF($D360="","",IF(AND(LEN($AC360)=0,LEN($AK360)=0),"Completa",IF(LEN($AC360)=0,"Revisar: "&amp;LEFT($AK360,LEN($AK360)-2),"Falta: "&amp;LEFT($AC360,LEN($AC360)-2)&amp;IF(LEN($AK360)&gt;0,"  ·  Revisar: "&amp;LEFT($AK360,LEN($AK360)-2),""))))</f>
      </c>
      <c r="AE360">
        <f>IF(AND($D360&lt;&gt;"",OR($I360="Renuncia (hasta 30 nov)",$I360="Baja (desde 1 dic)",$I360="Renuncia excepcional (art. 25.3)",$I360="Traslado de expediente")),COUNTIF($AE$1:AE359,"&gt;0")+1,"")</f>
      </c>
      <c r="AF360">
        <f>IF($Q360="Disponible",COUNTIF($AF$1:AF359,"&gt;0")+1,"")</f>
      </c>
      <c r="AG360">
        <f>IF($O360="Sí",COUNTIF($AG$1:AG359,"&gt;0")+1,"")</f>
      </c>
      <c r="AH360">
        <f>IF(AND($Q360="Disponible",$O360&lt;&gt;"Sí"),COUNTIF($AH$1:AH359,"&gt;0")+1,"")</f>
      </c>
      <c r="AI360">
        <f>IF(AND($Q360="Disponible",$K360&lt;&gt;""),COUNTIFS($K$2:K360,K360,$Q$2:Q360,"Disponible"),"")</f>
      </c>
      <c r="AJ360">
        <f>IF(AI360&lt;&gt;"",K360&amp;"|"&amp;AI360,"")</f>
      </c>
      <c r="AK360">
        <f>IF(AND($Q360="No disponible",OR($R360="Lista de espera · propio centro",$R360="Traslado de expediente",$R360="Lista de espera · otro centro"),$O360="Sí"),"la plaza ya tiene alumno y sigue marcada como refuerzo, ","")&amp;IF(AND($R360="Reconvertida en refuerzo",$O360&lt;&gt;"Sí"),"reconvertida en refuerzo pero sin marcar «En uso como refuerzo», ","")</f>
      </c>
    </row>
    <row r="361" spans="1:37">
      <c r="A361" s="20">
        <f>IF(D361&lt;&gt;"",ROW()-1,"")</f>
      </c>
      <c r="B361" s="55"/>
      <c r="C361" s="56"/>
      <c r="D361" s="56"/>
      <c r="E361" s="56"/>
      <c r="F361" s="56"/>
      <c r="G361" s="56"/>
      <c r="H361" s="56"/>
      <c r="I361" s="56"/>
      <c r="J361" s="57"/>
      <c r="K361" s="56"/>
      <c r="L361" s="58"/>
      <c r="M361" s="58">
        <f>IF(L361="","",L361)</f>
      </c>
      <c r="N361" s="56"/>
      <c r="O361" s="56"/>
      <c r="P361" s="57"/>
      <c r="Q361" s="56"/>
      <c r="R361" s="56"/>
      <c r="S361" s="56"/>
      <c r="T361" s="56"/>
      <c r="U361" s="56"/>
      <c r="V361" s="57"/>
      <c r="W361">
        <f>IF(Q361="Disponible",COUNTIFS($D$2:D361,D361,$Q$2:Q361,"Disponible"),"")</f>
      </c>
      <c r="X361">
        <f>IF(W361&lt;&gt;"",D361&amp;"|"&amp;W361,"")</f>
      </c>
      <c r="Y361">
        <f>IF(X361&lt;&gt;"",IF(K361&lt;&gt;"",K361&amp;" ("&amp;M361&amp;")",M361),"")</f>
      </c>
      <c r="Z361">
        <f>IF(O361="Sí",COUNTIFS($D$2:D361,D361,$O$2:O361,"Sí"),"")</f>
      </c>
      <c r="AA361">
        <f>IF(Z361&lt;&gt;"",D361&amp;"|"&amp;Z361,"")</f>
      </c>
      <c r="AB361">
        <f>IF(AA361&lt;&gt;"",IF(K361&lt;&gt;"",K361&amp;" ("&amp;M361&amp;")",M361),"")</f>
      </c>
      <c r="AC361">
        <f>IF($B361="","fecha, ","")&amp;IF($C361="","quién lo introduce, ","")&amp;IF($I361="","motivo, ","")&amp;IF($K361="","docente, ","")&amp;IF($L361="","horario, ","")&amp;IF($N361="","duración, ","")&amp;IF($Q361="","estado, ","")&amp;IF(AND($I361="Otros",$J361=""),"detalle del motivo, ","")&amp;IF(AND($O361="Sí",$P361=""),"detalle del refuerzo, ","")&amp;IF(AND(OR($I361="Renuncia (hasta 30 nov)",$I361="Baja (desde 1 dic)",$I361="Renuncia excepcional (art. 25.3)",$I361="Traslado de expediente"),OR($E361="",$F361="",$G361="")),"quién deja la plaza, ","")&amp;IF(AND($Q361="No disponible",$R361=""),"vía de cobertura, ","")&amp;IF(AND(OR($R361="Lista de espera · propio centro",$R361="Traslado de expediente",$R361="Lista de espera · otro centro"),OR($S361="",$T361="",$U361="")),"quién ocupa la plaza, ","")</f>
      </c>
      <c r="AD361" s="24">
        <f>IF($D361="","",IF(AND(LEN($AC361)=0,LEN($AK361)=0),"Completa",IF(LEN($AC361)=0,"Revisar: "&amp;LEFT($AK361,LEN($AK361)-2),"Falta: "&amp;LEFT($AC361,LEN($AC361)-2)&amp;IF(LEN($AK361)&gt;0,"  ·  Revisar: "&amp;LEFT($AK361,LEN($AK361)-2),""))))</f>
      </c>
      <c r="AE361">
        <f>IF(AND($D361&lt;&gt;"",OR($I361="Renuncia (hasta 30 nov)",$I361="Baja (desde 1 dic)",$I361="Renuncia excepcional (art. 25.3)",$I361="Traslado de expediente")),COUNTIF($AE$1:AE360,"&gt;0")+1,"")</f>
      </c>
      <c r="AF361">
        <f>IF($Q361="Disponible",COUNTIF($AF$1:AF360,"&gt;0")+1,"")</f>
      </c>
      <c r="AG361">
        <f>IF($O361="Sí",COUNTIF($AG$1:AG360,"&gt;0")+1,"")</f>
      </c>
      <c r="AH361">
        <f>IF(AND($Q361="Disponible",$O361&lt;&gt;"Sí"),COUNTIF($AH$1:AH360,"&gt;0")+1,"")</f>
      </c>
      <c r="AI361">
        <f>IF(AND($Q361="Disponible",$K361&lt;&gt;""),COUNTIFS($K$2:K361,K361,$Q$2:Q361,"Disponible"),"")</f>
      </c>
      <c r="AJ361">
        <f>IF(AI361&lt;&gt;"",K361&amp;"|"&amp;AI361,"")</f>
      </c>
      <c r="AK361">
        <f>IF(AND($Q361="No disponible",OR($R361="Lista de espera · propio centro",$R361="Traslado de expediente",$R361="Lista de espera · otro centro"),$O361="Sí"),"la plaza ya tiene alumno y sigue marcada como refuerzo, ","")&amp;IF(AND($R361="Reconvertida en refuerzo",$O361&lt;&gt;"Sí"),"reconvertida en refuerzo pero sin marcar «En uso como refuerzo», ","")</f>
      </c>
    </row>
    <row r="362" spans="1:37">
      <c r="A362" s="20">
        <f>IF(D362&lt;&gt;"",ROW()-1,"")</f>
      </c>
      <c r="B362" s="55"/>
      <c r="C362" s="56"/>
      <c r="D362" s="56"/>
      <c r="E362" s="56"/>
      <c r="F362" s="56"/>
      <c r="G362" s="56"/>
      <c r="H362" s="56"/>
      <c r="I362" s="56"/>
      <c r="J362" s="57"/>
      <c r="K362" s="56"/>
      <c r="L362" s="58"/>
      <c r="M362" s="58">
        <f>IF(L362="","",L362)</f>
      </c>
      <c r="N362" s="56"/>
      <c r="O362" s="56"/>
      <c r="P362" s="57"/>
      <c r="Q362" s="56"/>
      <c r="R362" s="56"/>
      <c r="S362" s="56"/>
      <c r="T362" s="56"/>
      <c r="U362" s="56"/>
      <c r="V362" s="57"/>
      <c r="W362">
        <f>IF(Q362="Disponible",COUNTIFS($D$2:D362,D362,$Q$2:Q362,"Disponible"),"")</f>
      </c>
      <c r="X362">
        <f>IF(W362&lt;&gt;"",D362&amp;"|"&amp;W362,"")</f>
      </c>
      <c r="Y362">
        <f>IF(X362&lt;&gt;"",IF(K362&lt;&gt;"",K362&amp;" ("&amp;M362&amp;")",M362),"")</f>
      </c>
      <c r="Z362">
        <f>IF(O362="Sí",COUNTIFS($D$2:D362,D362,$O$2:O362,"Sí"),"")</f>
      </c>
      <c r="AA362">
        <f>IF(Z362&lt;&gt;"",D362&amp;"|"&amp;Z362,"")</f>
      </c>
      <c r="AB362">
        <f>IF(AA362&lt;&gt;"",IF(K362&lt;&gt;"",K362&amp;" ("&amp;M362&amp;")",M362),"")</f>
      </c>
      <c r="AC362">
        <f>IF($B362="","fecha, ","")&amp;IF($C362="","quién lo introduce, ","")&amp;IF($I362="","motivo, ","")&amp;IF($K362="","docente, ","")&amp;IF($L362="","horario, ","")&amp;IF($N362="","duración, ","")&amp;IF($Q362="","estado, ","")&amp;IF(AND($I362="Otros",$J362=""),"detalle del motivo, ","")&amp;IF(AND($O362="Sí",$P362=""),"detalle del refuerzo, ","")&amp;IF(AND(OR($I362="Renuncia (hasta 30 nov)",$I362="Baja (desde 1 dic)",$I362="Renuncia excepcional (art. 25.3)",$I362="Traslado de expediente"),OR($E362="",$F362="",$G362="")),"quién deja la plaza, ","")&amp;IF(AND($Q362="No disponible",$R362=""),"vía de cobertura, ","")&amp;IF(AND(OR($R362="Lista de espera · propio centro",$R362="Traslado de expediente",$R362="Lista de espera · otro centro"),OR($S362="",$T362="",$U362="")),"quién ocupa la plaza, ","")</f>
      </c>
      <c r="AD362" s="24">
        <f>IF($D362="","",IF(AND(LEN($AC362)=0,LEN($AK362)=0),"Completa",IF(LEN($AC362)=0,"Revisar: "&amp;LEFT($AK362,LEN($AK362)-2),"Falta: "&amp;LEFT($AC362,LEN($AC362)-2)&amp;IF(LEN($AK362)&gt;0,"  ·  Revisar: "&amp;LEFT($AK362,LEN($AK362)-2),""))))</f>
      </c>
      <c r="AE362">
        <f>IF(AND($D362&lt;&gt;"",OR($I362="Renuncia (hasta 30 nov)",$I362="Baja (desde 1 dic)",$I362="Renuncia excepcional (art. 25.3)",$I362="Traslado de expediente")),COUNTIF($AE$1:AE361,"&gt;0")+1,"")</f>
      </c>
      <c r="AF362">
        <f>IF($Q362="Disponible",COUNTIF($AF$1:AF361,"&gt;0")+1,"")</f>
      </c>
      <c r="AG362">
        <f>IF($O362="Sí",COUNTIF($AG$1:AG361,"&gt;0")+1,"")</f>
      </c>
      <c r="AH362">
        <f>IF(AND($Q362="Disponible",$O362&lt;&gt;"Sí"),COUNTIF($AH$1:AH361,"&gt;0")+1,"")</f>
      </c>
      <c r="AI362">
        <f>IF(AND($Q362="Disponible",$K362&lt;&gt;""),COUNTIFS($K$2:K362,K362,$Q$2:Q362,"Disponible"),"")</f>
      </c>
      <c r="AJ362">
        <f>IF(AI362&lt;&gt;"",K362&amp;"|"&amp;AI362,"")</f>
      </c>
      <c r="AK362">
        <f>IF(AND($Q362="No disponible",OR($R362="Lista de espera · propio centro",$R362="Traslado de expediente",$R362="Lista de espera · otro centro"),$O362="Sí"),"la plaza ya tiene alumno y sigue marcada como refuerzo, ","")&amp;IF(AND($R362="Reconvertida en refuerzo",$O362&lt;&gt;"Sí"),"reconvertida en refuerzo pero sin marcar «En uso como refuerzo», ","")</f>
      </c>
    </row>
    <row r="363" spans="1:37">
      <c r="A363" s="20">
        <f>IF(D363&lt;&gt;"",ROW()-1,"")</f>
      </c>
      <c r="B363" s="55"/>
      <c r="C363" s="56"/>
      <c r="D363" s="56"/>
      <c r="E363" s="56"/>
      <c r="F363" s="56"/>
      <c r="G363" s="56"/>
      <c r="H363" s="56"/>
      <c r="I363" s="56"/>
      <c r="J363" s="57"/>
      <c r="K363" s="56"/>
      <c r="L363" s="58"/>
      <c r="M363" s="58">
        <f>IF(L363="","",L363)</f>
      </c>
      <c r="N363" s="56"/>
      <c r="O363" s="56"/>
      <c r="P363" s="57"/>
      <c r="Q363" s="56"/>
      <c r="R363" s="56"/>
      <c r="S363" s="56"/>
      <c r="T363" s="56"/>
      <c r="U363" s="56"/>
      <c r="V363" s="57"/>
      <c r="W363">
        <f>IF(Q363="Disponible",COUNTIFS($D$2:D363,D363,$Q$2:Q363,"Disponible"),"")</f>
      </c>
      <c r="X363">
        <f>IF(W363&lt;&gt;"",D363&amp;"|"&amp;W363,"")</f>
      </c>
      <c r="Y363">
        <f>IF(X363&lt;&gt;"",IF(K363&lt;&gt;"",K363&amp;" ("&amp;M363&amp;")",M363),"")</f>
      </c>
      <c r="Z363">
        <f>IF(O363="Sí",COUNTIFS($D$2:D363,D363,$O$2:O363,"Sí"),"")</f>
      </c>
      <c r="AA363">
        <f>IF(Z363&lt;&gt;"",D363&amp;"|"&amp;Z363,"")</f>
      </c>
      <c r="AB363">
        <f>IF(AA363&lt;&gt;"",IF(K363&lt;&gt;"",K363&amp;" ("&amp;M363&amp;")",M363),"")</f>
      </c>
      <c r="AC363">
        <f>IF($B363="","fecha, ","")&amp;IF($C363="","quién lo introduce, ","")&amp;IF($I363="","motivo, ","")&amp;IF($K363="","docente, ","")&amp;IF($L363="","horario, ","")&amp;IF($N363="","duración, ","")&amp;IF($Q363="","estado, ","")&amp;IF(AND($I363="Otros",$J363=""),"detalle del motivo, ","")&amp;IF(AND($O363="Sí",$P363=""),"detalle del refuerzo, ","")&amp;IF(AND(OR($I363="Renuncia (hasta 30 nov)",$I363="Baja (desde 1 dic)",$I363="Renuncia excepcional (art. 25.3)",$I363="Traslado de expediente"),OR($E363="",$F363="",$G363="")),"quién deja la plaza, ","")&amp;IF(AND($Q363="No disponible",$R363=""),"vía de cobertura, ","")&amp;IF(AND(OR($R363="Lista de espera · propio centro",$R363="Traslado de expediente",$R363="Lista de espera · otro centro"),OR($S363="",$T363="",$U363="")),"quién ocupa la plaza, ","")</f>
      </c>
      <c r="AD363" s="24">
        <f>IF($D363="","",IF(AND(LEN($AC363)=0,LEN($AK363)=0),"Completa",IF(LEN($AC363)=0,"Revisar: "&amp;LEFT($AK363,LEN($AK363)-2),"Falta: "&amp;LEFT($AC363,LEN($AC363)-2)&amp;IF(LEN($AK363)&gt;0,"  ·  Revisar: "&amp;LEFT($AK363,LEN($AK363)-2),""))))</f>
      </c>
      <c r="AE363">
        <f>IF(AND($D363&lt;&gt;"",OR($I363="Renuncia (hasta 30 nov)",$I363="Baja (desde 1 dic)",$I363="Renuncia excepcional (art. 25.3)",$I363="Traslado de expediente")),COUNTIF($AE$1:AE362,"&gt;0")+1,"")</f>
      </c>
      <c r="AF363">
        <f>IF($Q363="Disponible",COUNTIF($AF$1:AF362,"&gt;0")+1,"")</f>
      </c>
      <c r="AG363">
        <f>IF($O363="Sí",COUNTIF($AG$1:AG362,"&gt;0")+1,"")</f>
      </c>
      <c r="AH363">
        <f>IF(AND($Q363="Disponible",$O363&lt;&gt;"Sí"),COUNTIF($AH$1:AH362,"&gt;0")+1,"")</f>
      </c>
      <c r="AI363">
        <f>IF(AND($Q363="Disponible",$K363&lt;&gt;""),COUNTIFS($K$2:K363,K363,$Q$2:Q363,"Disponible"),"")</f>
      </c>
      <c r="AJ363">
        <f>IF(AI363&lt;&gt;"",K363&amp;"|"&amp;AI363,"")</f>
      </c>
      <c r="AK363">
        <f>IF(AND($Q363="No disponible",OR($R363="Lista de espera · propio centro",$R363="Traslado de expediente",$R363="Lista de espera · otro centro"),$O363="Sí"),"la plaza ya tiene alumno y sigue marcada como refuerzo, ","")&amp;IF(AND($R363="Reconvertida en refuerzo",$O363&lt;&gt;"Sí"),"reconvertida en refuerzo pero sin marcar «En uso como refuerzo», ","")</f>
      </c>
    </row>
    <row r="364" spans="1:37">
      <c r="A364" s="20">
        <f>IF(D364&lt;&gt;"",ROW()-1,"")</f>
      </c>
      <c r="B364" s="55"/>
      <c r="C364" s="56"/>
      <c r="D364" s="56"/>
      <c r="E364" s="56"/>
      <c r="F364" s="56"/>
      <c r="G364" s="56"/>
      <c r="H364" s="56"/>
      <c r="I364" s="56"/>
      <c r="J364" s="57"/>
      <c r="K364" s="56"/>
      <c r="L364" s="58"/>
      <c r="M364" s="58">
        <f>IF(L364="","",L364)</f>
      </c>
      <c r="N364" s="56"/>
      <c r="O364" s="56"/>
      <c r="P364" s="57"/>
      <c r="Q364" s="56"/>
      <c r="R364" s="56"/>
      <c r="S364" s="56"/>
      <c r="T364" s="56"/>
      <c r="U364" s="56"/>
      <c r="V364" s="57"/>
      <c r="W364">
        <f>IF(Q364="Disponible",COUNTIFS($D$2:D364,D364,$Q$2:Q364,"Disponible"),"")</f>
      </c>
      <c r="X364">
        <f>IF(W364&lt;&gt;"",D364&amp;"|"&amp;W364,"")</f>
      </c>
      <c r="Y364">
        <f>IF(X364&lt;&gt;"",IF(K364&lt;&gt;"",K364&amp;" ("&amp;M364&amp;")",M364),"")</f>
      </c>
      <c r="Z364">
        <f>IF(O364="Sí",COUNTIFS($D$2:D364,D364,$O$2:O364,"Sí"),"")</f>
      </c>
      <c r="AA364">
        <f>IF(Z364&lt;&gt;"",D364&amp;"|"&amp;Z364,"")</f>
      </c>
      <c r="AB364">
        <f>IF(AA364&lt;&gt;"",IF(K364&lt;&gt;"",K364&amp;" ("&amp;M364&amp;")",M364),"")</f>
      </c>
      <c r="AC364">
        <f>IF($B364="","fecha, ","")&amp;IF($C364="","quién lo introduce, ","")&amp;IF($I364="","motivo, ","")&amp;IF($K364="","docente, ","")&amp;IF($L364="","horario, ","")&amp;IF($N364="","duración, ","")&amp;IF($Q364="","estado, ","")&amp;IF(AND($I364="Otros",$J364=""),"detalle del motivo, ","")&amp;IF(AND($O364="Sí",$P364=""),"detalle del refuerzo, ","")&amp;IF(AND(OR($I364="Renuncia (hasta 30 nov)",$I364="Baja (desde 1 dic)",$I364="Renuncia excepcional (art. 25.3)",$I364="Traslado de expediente"),OR($E364="",$F364="",$G364="")),"quién deja la plaza, ","")&amp;IF(AND($Q364="No disponible",$R364=""),"vía de cobertura, ","")&amp;IF(AND(OR($R364="Lista de espera · propio centro",$R364="Traslado de expediente",$R364="Lista de espera · otro centro"),OR($S364="",$T364="",$U364="")),"quién ocupa la plaza, ","")</f>
      </c>
      <c r="AD364" s="24">
        <f>IF($D364="","",IF(AND(LEN($AC364)=0,LEN($AK364)=0),"Completa",IF(LEN($AC364)=0,"Revisar: "&amp;LEFT($AK364,LEN($AK364)-2),"Falta: "&amp;LEFT($AC364,LEN($AC364)-2)&amp;IF(LEN($AK364)&gt;0,"  ·  Revisar: "&amp;LEFT($AK364,LEN($AK364)-2),""))))</f>
      </c>
      <c r="AE364">
        <f>IF(AND($D364&lt;&gt;"",OR($I364="Renuncia (hasta 30 nov)",$I364="Baja (desde 1 dic)",$I364="Renuncia excepcional (art. 25.3)",$I364="Traslado de expediente")),COUNTIF($AE$1:AE363,"&gt;0")+1,"")</f>
      </c>
      <c r="AF364">
        <f>IF($Q364="Disponible",COUNTIF($AF$1:AF363,"&gt;0")+1,"")</f>
      </c>
      <c r="AG364">
        <f>IF($O364="Sí",COUNTIF($AG$1:AG363,"&gt;0")+1,"")</f>
      </c>
      <c r="AH364">
        <f>IF(AND($Q364="Disponible",$O364&lt;&gt;"Sí"),COUNTIF($AH$1:AH363,"&gt;0")+1,"")</f>
      </c>
      <c r="AI364">
        <f>IF(AND($Q364="Disponible",$K364&lt;&gt;""),COUNTIFS($K$2:K364,K364,$Q$2:Q364,"Disponible"),"")</f>
      </c>
      <c r="AJ364">
        <f>IF(AI364&lt;&gt;"",K364&amp;"|"&amp;AI364,"")</f>
      </c>
      <c r="AK364">
        <f>IF(AND($Q364="No disponible",OR($R364="Lista de espera · propio centro",$R364="Traslado de expediente",$R364="Lista de espera · otro centro"),$O364="Sí"),"la plaza ya tiene alumno y sigue marcada como refuerzo, ","")&amp;IF(AND($R364="Reconvertida en refuerzo",$O364&lt;&gt;"Sí"),"reconvertida en refuerzo pero sin marcar «En uso como refuerzo», ","")</f>
      </c>
    </row>
    <row r="365" spans="1:37">
      <c r="A365" s="20">
        <f>IF(D365&lt;&gt;"",ROW()-1,"")</f>
      </c>
      <c r="B365" s="55"/>
      <c r="C365" s="56"/>
      <c r="D365" s="56"/>
      <c r="E365" s="56"/>
      <c r="F365" s="56"/>
      <c r="G365" s="56"/>
      <c r="H365" s="56"/>
      <c r="I365" s="56"/>
      <c r="J365" s="57"/>
      <c r="K365" s="56"/>
      <c r="L365" s="58"/>
      <c r="M365" s="58">
        <f>IF(L365="","",L365)</f>
      </c>
      <c r="N365" s="56"/>
      <c r="O365" s="56"/>
      <c r="P365" s="57"/>
      <c r="Q365" s="56"/>
      <c r="R365" s="56"/>
      <c r="S365" s="56"/>
      <c r="T365" s="56"/>
      <c r="U365" s="56"/>
      <c r="V365" s="57"/>
      <c r="W365">
        <f>IF(Q365="Disponible",COUNTIFS($D$2:D365,D365,$Q$2:Q365,"Disponible"),"")</f>
      </c>
      <c r="X365">
        <f>IF(W365&lt;&gt;"",D365&amp;"|"&amp;W365,"")</f>
      </c>
      <c r="Y365">
        <f>IF(X365&lt;&gt;"",IF(K365&lt;&gt;"",K365&amp;" ("&amp;M365&amp;")",M365),"")</f>
      </c>
      <c r="Z365">
        <f>IF(O365="Sí",COUNTIFS($D$2:D365,D365,$O$2:O365,"Sí"),"")</f>
      </c>
      <c r="AA365">
        <f>IF(Z365&lt;&gt;"",D365&amp;"|"&amp;Z365,"")</f>
      </c>
      <c r="AB365">
        <f>IF(AA365&lt;&gt;"",IF(K365&lt;&gt;"",K365&amp;" ("&amp;M365&amp;")",M365),"")</f>
      </c>
      <c r="AC365">
        <f>IF($B365="","fecha, ","")&amp;IF($C365="","quién lo introduce, ","")&amp;IF($I365="","motivo, ","")&amp;IF($K365="","docente, ","")&amp;IF($L365="","horario, ","")&amp;IF($N365="","duración, ","")&amp;IF($Q365="","estado, ","")&amp;IF(AND($I365="Otros",$J365=""),"detalle del motivo, ","")&amp;IF(AND($O365="Sí",$P365=""),"detalle del refuerzo, ","")&amp;IF(AND(OR($I365="Renuncia (hasta 30 nov)",$I365="Baja (desde 1 dic)",$I365="Renuncia excepcional (art. 25.3)",$I365="Traslado de expediente"),OR($E365="",$F365="",$G365="")),"quién deja la plaza, ","")&amp;IF(AND($Q365="No disponible",$R365=""),"vía de cobertura, ","")&amp;IF(AND(OR($R365="Lista de espera · propio centro",$R365="Traslado de expediente",$R365="Lista de espera · otro centro"),OR($S365="",$T365="",$U365="")),"quién ocupa la plaza, ","")</f>
      </c>
      <c r="AD365" s="24">
        <f>IF($D365="","",IF(AND(LEN($AC365)=0,LEN($AK365)=0),"Completa",IF(LEN($AC365)=0,"Revisar: "&amp;LEFT($AK365,LEN($AK365)-2),"Falta: "&amp;LEFT($AC365,LEN($AC365)-2)&amp;IF(LEN($AK365)&gt;0,"  ·  Revisar: "&amp;LEFT($AK365,LEN($AK365)-2),""))))</f>
      </c>
      <c r="AE365">
        <f>IF(AND($D365&lt;&gt;"",OR($I365="Renuncia (hasta 30 nov)",$I365="Baja (desde 1 dic)",$I365="Renuncia excepcional (art. 25.3)",$I365="Traslado de expediente")),COUNTIF($AE$1:AE364,"&gt;0")+1,"")</f>
      </c>
      <c r="AF365">
        <f>IF($Q365="Disponible",COUNTIF($AF$1:AF364,"&gt;0")+1,"")</f>
      </c>
      <c r="AG365">
        <f>IF($O365="Sí",COUNTIF($AG$1:AG364,"&gt;0")+1,"")</f>
      </c>
      <c r="AH365">
        <f>IF(AND($Q365="Disponible",$O365&lt;&gt;"Sí"),COUNTIF($AH$1:AH364,"&gt;0")+1,"")</f>
      </c>
      <c r="AI365">
        <f>IF(AND($Q365="Disponible",$K365&lt;&gt;""),COUNTIFS($K$2:K365,K365,$Q$2:Q365,"Disponible"),"")</f>
      </c>
      <c r="AJ365">
        <f>IF(AI365&lt;&gt;"",K365&amp;"|"&amp;AI365,"")</f>
      </c>
      <c r="AK365">
        <f>IF(AND($Q365="No disponible",OR($R365="Lista de espera · propio centro",$R365="Traslado de expediente",$R365="Lista de espera · otro centro"),$O365="Sí"),"la plaza ya tiene alumno y sigue marcada como refuerzo, ","")&amp;IF(AND($R365="Reconvertida en refuerzo",$O365&lt;&gt;"Sí"),"reconvertida en refuerzo pero sin marcar «En uso como refuerzo», ","")</f>
      </c>
    </row>
    <row r="366" spans="1:37">
      <c r="A366" s="20">
        <f>IF(D366&lt;&gt;"",ROW()-1,"")</f>
      </c>
      <c r="B366" s="55"/>
      <c r="C366" s="56"/>
      <c r="D366" s="56"/>
      <c r="E366" s="56"/>
      <c r="F366" s="56"/>
      <c r="G366" s="56"/>
      <c r="H366" s="56"/>
      <c r="I366" s="56"/>
      <c r="J366" s="57"/>
      <c r="K366" s="56"/>
      <c r="L366" s="58"/>
      <c r="M366" s="58">
        <f>IF(L366="","",L366)</f>
      </c>
      <c r="N366" s="56"/>
      <c r="O366" s="56"/>
      <c r="P366" s="57"/>
      <c r="Q366" s="56"/>
      <c r="R366" s="56"/>
      <c r="S366" s="56"/>
      <c r="T366" s="56"/>
      <c r="U366" s="56"/>
      <c r="V366" s="57"/>
      <c r="W366">
        <f>IF(Q366="Disponible",COUNTIFS($D$2:D366,D366,$Q$2:Q366,"Disponible"),"")</f>
      </c>
      <c r="X366">
        <f>IF(W366&lt;&gt;"",D366&amp;"|"&amp;W366,"")</f>
      </c>
      <c r="Y366">
        <f>IF(X366&lt;&gt;"",IF(K366&lt;&gt;"",K366&amp;" ("&amp;M366&amp;")",M366),"")</f>
      </c>
      <c r="Z366">
        <f>IF(O366="Sí",COUNTIFS($D$2:D366,D366,$O$2:O366,"Sí"),"")</f>
      </c>
      <c r="AA366">
        <f>IF(Z366&lt;&gt;"",D366&amp;"|"&amp;Z366,"")</f>
      </c>
      <c r="AB366">
        <f>IF(AA366&lt;&gt;"",IF(K366&lt;&gt;"",K366&amp;" ("&amp;M366&amp;")",M366),"")</f>
      </c>
      <c r="AC366">
        <f>IF($B366="","fecha, ","")&amp;IF($C366="","quién lo introduce, ","")&amp;IF($I366="","motivo, ","")&amp;IF($K366="","docente, ","")&amp;IF($L366="","horario, ","")&amp;IF($N366="","duración, ","")&amp;IF($Q366="","estado, ","")&amp;IF(AND($I366="Otros",$J366=""),"detalle del motivo, ","")&amp;IF(AND($O366="Sí",$P366=""),"detalle del refuerzo, ","")&amp;IF(AND(OR($I366="Renuncia (hasta 30 nov)",$I366="Baja (desde 1 dic)",$I366="Renuncia excepcional (art. 25.3)",$I366="Traslado de expediente"),OR($E366="",$F366="",$G366="")),"quién deja la plaza, ","")&amp;IF(AND($Q366="No disponible",$R366=""),"vía de cobertura, ","")&amp;IF(AND(OR($R366="Lista de espera · propio centro",$R366="Traslado de expediente",$R366="Lista de espera · otro centro"),OR($S366="",$T366="",$U366="")),"quién ocupa la plaza, ","")</f>
      </c>
      <c r="AD366" s="24">
        <f>IF($D366="","",IF(AND(LEN($AC366)=0,LEN($AK366)=0),"Completa",IF(LEN($AC366)=0,"Revisar: "&amp;LEFT($AK366,LEN($AK366)-2),"Falta: "&amp;LEFT($AC366,LEN($AC366)-2)&amp;IF(LEN($AK366)&gt;0,"  ·  Revisar: "&amp;LEFT($AK366,LEN($AK366)-2),""))))</f>
      </c>
      <c r="AE366">
        <f>IF(AND($D366&lt;&gt;"",OR($I366="Renuncia (hasta 30 nov)",$I366="Baja (desde 1 dic)",$I366="Renuncia excepcional (art. 25.3)",$I366="Traslado de expediente")),COUNTIF($AE$1:AE365,"&gt;0")+1,"")</f>
      </c>
      <c r="AF366">
        <f>IF($Q366="Disponible",COUNTIF($AF$1:AF365,"&gt;0")+1,"")</f>
      </c>
      <c r="AG366">
        <f>IF($O366="Sí",COUNTIF($AG$1:AG365,"&gt;0")+1,"")</f>
      </c>
      <c r="AH366">
        <f>IF(AND($Q366="Disponible",$O366&lt;&gt;"Sí"),COUNTIF($AH$1:AH365,"&gt;0")+1,"")</f>
      </c>
      <c r="AI366">
        <f>IF(AND($Q366="Disponible",$K366&lt;&gt;""),COUNTIFS($K$2:K366,K366,$Q$2:Q366,"Disponible"),"")</f>
      </c>
      <c r="AJ366">
        <f>IF(AI366&lt;&gt;"",K366&amp;"|"&amp;AI366,"")</f>
      </c>
      <c r="AK366">
        <f>IF(AND($Q366="No disponible",OR($R366="Lista de espera · propio centro",$R366="Traslado de expediente",$R366="Lista de espera · otro centro"),$O366="Sí"),"la plaza ya tiene alumno y sigue marcada como refuerzo, ","")&amp;IF(AND($R366="Reconvertida en refuerzo",$O366&lt;&gt;"Sí"),"reconvertida en refuerzo pero sin marcar «En uso como refuerzo», ","")</f>
      </c>
    </row>
    <row r="367" spans="1:37">
      <c r="A367" s="20">
        <f>IF(D367&lt;&gt;"",ROW()-1,"")</f>
      </c>
      <c r="B367" s="55"/>
      <c r="C367" s="56"/>
      <c r="D367" s="56"/>
      <c r="E367" s="56"/>
      <c r="F367" s="56"/>
      <c r="G367" s="56"/>
      <c r="H367" s="56"/>
      <c r="I367" s="56"/>
      <c r="J367" s="57"/>
      <c r="K367" s="56"/>
      <c r="L367" s="58"/>
      <c r="M367" s="58">
        <f>IF(L367="","",L367)</f>
      </c>
      <c r="N367" s="56"/>
      <c r="O367" s="56"/>
      <c r="P367" s="57"/>
      <c r="Q367" s="56"/>
      <c r="R367" s="56"/>
      <c r="S367" s="56"/>
      <c r="T367" s="56"/>
      <c r="U367" s="56"/>
      <c r="V367" s="57"/>
      <c r="W367">
        <f>IF(Q367="Disponible",COUNTIFS($D$2:D367,D367,$Q$2:Q367,"Disponible"),"")</f>
      </c>
      <c r="X367">
        <f>IF(W367&lt;&gt;"",D367&amp;"|"&amp;W367,"")</f>
      </c>
      <c r="Y367">
        <f>IF(X367&lt;&gt;"",IF(K367&lt;&gt;"",K367&amp;" ("&amp;M367&amp;")",M367),"")</f>
      </c>
      <c r="Z367">
        <f>IF(O367="Sí",COUNTIFS($D$2:D367,D367,$O$2:O367,"Sí"),"")</f>
      </c>
      <c r="AA367">
        <f>IF(Z367&lt;&gt;"",D367&amp;"|"&amp;Z367,"")</f>
      </c>
      <c r="AB367">
        <f>IF(AA367&lt;&gt;"",IF(K367&lt;&gt;"",K367&amp;" ("&amp;M367&amp;")",M367),"")</f>
      </c>
      <c r="AC367">
        <f>IF($B367="","fecha, ","")&amp;IF($C367="","quién lo introduce, ","")&amp;IF($I367="","motivo, ","")&amp;IF($K367="","docente, ","")&amp;IF($L367="","horario, ","")&amp;IF($N367="","duración, ","")&amp;IF($Q367="","estado, ","")&amp;IF(AND($I367="Otros",$J367=""),"detalle del motivo, ","")&amp;IF(AND($O367="Sí",$P367=""),"detalle del refuerzo, ","")&amp;IF(AND(OR($I367="Renuncia (hasta 30 nov)",$I367="Baja (desde 1 dic)",$I367="Renuncia excepcional (art. 25.3)",$I367="Traslado de expediente"),OR($E367="",$F367="",$G367="")),"quién deja la plaza, ","")&amp;IF(AND($Q367="No disponible",$R367=""),"vía de cobertura, ","")&amp;IF(AND(OR($R367="Lista de espera · propio centro",$R367="Traslado de expediente",$R367="Lista de espera · otro centro"),OR($S367="",$T367="",$U367="")),"quién ocupa la plaza, ","")</f>
      </c>
      <c r="AD367" s="24">
        <f>IF($D367="","",IF(AND(LEN($AC367)=0,LEN($AK367)=0),"Completa",IF(LEN($AC367)=0,"Revisar: "&amp;LEFT($AK367,LEN($AK367)-2),"Falta: "&amp;LEFT($AC367,LEN($AC367)-2)&amp;IF(LEN($AK367)&gt;0,"  ·  Revisar: "&amp;LEFT($AK367,LEN($AK367)-2),""))))</f>
      </c>
      <c r="AE367">
        <f>IF(AND($D367&lt;&gt;"",OR($I367="Renuncia (hasta 30 nov)",$I367="Baja (desde 1 dic)",$I367="Renuncia excepcional (art. 25.3)",$I367="Traslado de expediente")),COUNTIF($AE$1:AE366,"&gt;0")+1,"")</f>
      </c>
      <c r="AF367">
        <f>IF($Q367="Disponible",COUNTIF($AF$1:AF366,"&gt;0")+1,"")</f>
      </c>
      <c r="AG367">
        <f>IF($O367="Sí",COUNTIF($AG$1:AG366,"&gt;0")+1,"")</f>
      </c>
      <c r="AH367">
        <f>IF(AND($Q367="Disponible",$O367&lt;&gt;"Sí"),COUNTIF($AH$1:AH366,"&gt;0")+1,"")</f>
      </c>
      <c r="AI367">
        <f>IF(AND($Q367="Disponible",$K367&lt;&gt;""),COUNTIFS($K$2:K367,K367,$Q$2:Q367,"Disponible"),"")</f>
      </c>
      <c r="AJ367">
        <f>IF(AI367&lt;&gt;"",K367&amp;"|"&amp;AI367,"")</f>
      </c>
      <c r="AK367">
        <f>IF(AND($Q367="No disponible",OR($R367="Lista de espera · propio centro",$R367="Traslado de expediente",$R367="Lista de espera · otro centro"),$O367="Sí"),"la plaza ya tiene alumno y sigue marcada como refuerzo, ","")&amp;IF(AND($R367="Reconvertida en refuerzo",$O367&lt;&gt;"Sí"),"reconvertida en refuerzo pero sin marcar «En uso como refuerzo», ","")</f>
      </c>
    </row>
    <row r="368" spans="1:37">
      <c r="A368" s="20">
        <f>IF(D368&lt;&gt;"",ROW()-1,"")</f>
      </c>
      <c r="B368" s="55"/>
      <c r="C368" s="56"/>
      <c r="D368" s="56"/>
      <c r="E368" s="56"/>
      <c r="F368" s="56"/>
      <c r="G368" s="56"/>
      <c r="H368" s="56"/>
      <c r="I368" s="56"/>
      <c r="J368" s="57"/>
      <c r="K368" s="56"/>
      <c r="L368" s="58"/>
      <c r="M368" s="58">
        <f>IF(L368="","",L368)</f>
      </c>
      <c r="N368" s="56"/>
      <c r="O368" s="56"/>
      <c r="P368" s="57"/>
      <c r="Q368" s="56"/>
      <c r="R368" s="56"/>
      <c r="S368" s="56"/>
      <c r="T368" s="56"/>
      <c r="U368" s="56"/>
      <c r="V368" s="57"/>
      <c r="W368">
        <f>IF(Q368="Disponible",COUNTIFS($D$2:D368,D368,$Q$2:Q368,"Disponible"),"")</f>
      </c>
      <c r="X368">
        <f>IF(W368&lt;&gt;"",D368&amp;"|"&amp;W368,"")</f>
      </c>
      <c r="Y368">
        <f>IF(X368&lt;&gt;"",IF(K368&lt;&gt;"",K368&amp;" ("&amp;M368&amp;")",M368),"")</f>
      </c>
      <c r="Z368">
        <f>IF(O368="Sí",COUNTIFS($D$2:D368,D368,$O$2:O368,"Sí"),"")</f>
      </c>
      <c r="AA368">
        <f>IF(Z368&lt;&gt;"",D368&amp;"|"&amp;Z368,"")</f>
      </c>
      <c r="AB368">
        <f>IF(AA368&lt;&gt;"",IF(K368&lt;&gt;"",K368&amp;" ("&amp;M368&amp;")",M368),"")</f>
      </c>
      <c r="AC368">
        <f>IF($B368="","fecha, ","")&amp;IF($C368="","quién lo introduce, ","")&amp;IF($I368="","motivo, ","")&amp;IF($K368="","docente, ","")&amp;IF($L368="","horario, ","")&amp;IF($N368="","duración, ","")&amp;IF($Q368="","estado, ","")&amp;IF(AND($I368="Otros",$J368=""),"detalle del motivo, ","")&amp;IF(AND($O368="Sí",$P368=""),"detalle del refuerzo, ","")&amp;IF(AND(OR($I368="Renuncia (hasta 30 nov)",$I368="Baja (desde 1 dic)",$I368="Renuncia excepcional (art. 25.3)",$I368="Traslado de expediente"),OR($E368="",$F368="",$G368="")),"quién deja la plaza, ","")&amp;IF(AND($Q368="No disponible",$R368=""),"vía de cobertura, ","")&amp;IF(AND(OR($R368="Lista de espera · propio centro",$R368="Traslado de expediente",$R368="Lista de espera · otro centro"),OR($S368="",$T368="",$U368="")),"quién ocupa la plaza, ","")</f>
      </c>
      <c r="AD368" s="24">
        <f>IF($D368="","",IF(AND(LEN($AC368)=0,LEN($AK368)=0),"Completa",IF(LEN($AC368)=0,"Revisar: "&amp;LEFT($AK368,LEN($AK368)-2),"Falta: "&amp;LEFT($AC368,LEN($AC368)-2)&amp;IF(LEN($AK368)&gt;0,"  ·  Revisar: "&amp;LEFT($AK368,LEN($AK368)-2),""))))</f>
      </c>
      <c r="AE368">
        <f>IF(AND($D368&lt;&gt;"",OR($I368="Renuncia (hasta 30 nov)",$I368="Baja (desde 1 dic)",$I368="Renuncia excepcional (art. 25.3)",$I368="Traslado de expediente")),COUNTIF($AE$1:AE367,"&gt;0")+1,"")</f>
      </c>
      <c r="AF368">
        <f>IF($Q368="Disponible",COUNTIF($AF$1:AF367,"&gt;0")+1,"")</f>
      </c>
      <c r="AG368">
        <f>IF($O368="Sí",COUNTIF($AG$1:AG367,"&gt;0")+1,"")</f>
      </c>
      <c r="AH368">
        <f>IF(AND($Q368="Disponible",$O368&lt;&gt;"Sí"),COUNTIF($AH$1:AH367,"&gt;0")+1,"")</f>
      </c>
      <c r="AI368">
        <f>IF(AND($Q368="Disponible",$K368&lt;&gt;""),COUNTIFS($K$2:K368,K368,$Q$2:Q368,"Disponible"),"")</f>
      </c>
      <c r="AJ368">
        <f>IF(AI368&lt;&gt;"",K368&amp;"|"&amp;AI368,"")</f>
      </c>
      <c r="AK368">
        <f>IF(AND($Q368="No disponible",OR($R368="Lista de espera · propio centro",$R368="Traslado de expediente",$R368="Lista de espera · otro centro"),$O368="Sí"),"la plaza ya tiene alumno y sigue marcada como refuerzo, ","")&amp;IF(AND($R368="Reconvertida en refuerzo",$O368&lt;&gt;"Sí"),"reconvertida en refuerzo pero sin marcar «En uso como refuerzo», ","")</f>
      </c>
    </row>
    <row r="369" spans="1:37">
      <c r="A369" s="20">
        <f>IF(D369&lt;&gt;"",ROW()-1,"")</f>
      </c>
      <c r="B369" s="55"/>
      <c r="C369" s="56"/>
      <c r="D369" s="56"/>
      <c r="E369" s="56"/>
      <c r="F369" s="56"/>
      <c r="G369" s="56"/>
      <c r="H369" s="56"/>
      <c r="I369" s="56"/>
      <c r="J369" s="57"/>
      <c r="K369" s="56"/>
      <c r="L369" s="58"/>
      <c r="M369" s="58">
        <f>IF(L369="","",L369)</f>
      </c>
      <c r="N369" s="56"/>
      <c r="O369" s="56"/>
      <c r="P369" s="57"/>
      <c r="Q369" s="56"/>
      <c r="R369" s="56"/>
      <c r="S369" s="56"/>
      <c r="T369" s="56"/>
      <c r="U369" s="56"/>
      <c r="V369" s="57"/>
      <c r="W369">
        <f>IF(Q369="Disponible",COUNTIFS($D$2:D369,D369,$Q$2:Q369,"Disponible"),"")</f>
      </c>
      <c r="X369">
        <f>IF(W369&lt;&gt;"",D369&amp;"|"&amp;W369,"")</f>
      </c>
      <c r="Y369">
        <f>IF(X369&lt;&gt;"",IF(K369&lt;&gt;"",K369&amp;" ("&amp;M369&amp;")",M369),"")</f>
      </c>
      <c r="Z369">
        <f>IF(O369="Sí",COUNTIFS($D$2:D369,D369,$O$2:O369,"Sí"),"")</f>
      </c>
      <c r="AA369">
        <f>IF(Z369&lt;&gt;"",D369&amp;"|"&amp;Z369,"")</f>
      </c>
      <c r="AB369">
        <f>IF(AA369&lt;&gt;"",IF(K369&lt;&gt;"",K369&amp;" ("&amp;M369&amp;")",M369),"")</f>
      </c>
      <c r="AC369">
        <f>IF($B369="","fecha, ","")&amp;IF($C369="","quién lo introduce, ","")&amp;IF($I369="","motivo, ","")&amp;IF($K369="","docente, ","")&amp;IF($L369="","horario, ","")&amp;IF($N369="","duración, ","")&amp;IF($Q369="","estado, ","")&amp;IF(AND($I369="Otros",$J369=""),"detalle del motivo, ","")&amp;IF(AND($O369="Sí",$P369=""),"detalle del refuerzo, ","")&amp;IF(AND(OR($I369="Renuncia (hasta 30 nov)",$I369="Baja (desde 1 dic)",$I369="Renuncia excepcional (art. 25.3)",$I369="Traslado de expediente"),OR($E369="",$F369="",$G369="")),"quién deja la plaza, ","")&amp;IF(AND($Q369="No disponible",$R369=""),"vía de cobertura, ","")&amp;IF(AND(OR($R369="Lista de espera · propio centro",$R369="Traslado de expediente",$R369="Lista de espera · otro centro"),OR($S369="",$T369="",$U369="")),"quién ocupa la plaza, ","")</f>
      </c>
      <c r="AD369" s="24">
        <f>IF($D369="","",IF(AND(LEN($AC369)=0,LEN($AK369)=0),"Completa",IF(LEN($AC369)=0,"Revisar: "&amp;LEFT($AK369,LEN($AK369)-2),"Falta: "&amp;LEFT($AC369,LEN($AC369)-2)&amp;IF(LEN($AK369)&gt;0,"  ·  Revisar: "&amp;LEFT($AK369,LEN($AK369)-2),""))))</f>
      </c>
      <c r="AE369">
        <f>IF(AND($D369&lt;&gt;"",OR($I369="Renuncia (hasta 30 nov)",$I369="Baja (desde 1 dic)",$I369="Renuncia excepcional (art. 25.3)",$I369="Traslado de expediente")),COUNTIF($AE$1:AE368,"&gt;0")+1,"")</f>
      </c>
      <c r="AF369">
        <f>IF($Q369="Disponible",COUNTIF($AF$1:AF368,"&gt;0")+1,"")</f>
      </c>
      <c r="AG369">
        <f>IF($O369="Sí",COUNTIF($AG$1:AG368,"&gt;0")+1,"")</f>
      </c>
      <c r="AH369">
        <f>IF(AND($Q369="Disponible",$O369&lt;&gt;"Sí"),COUNTIF($AH$1:AH368,"&gt;0")+1,"")</f>
      </c>
      <c r="AI369">
        <f>IF(AND($Q369="Disponible",$K369&lt;&gt;""),COUNTIFS($K$2:K369,K369,$Q$2:Q369,"Disponible"),"")</f>
      </c>
      <c r="AJ369">
        <f>IF(AI369&lt;&gt;"",K369&amp;"|"&amp;AI369,"")</f>
      </c>
      <c r="AK369">
        <f>IF(AND($Q369="No disponible",OR($R369="Lista de espera · propio centro",$R369="Traslado de expediente",$R369="Lista de espera · otro centro"),$O369="Sí"),"la plaza ya tiene alumno y sigue marcada como refuerzo, ","")&amp;IF(AND($R369="Reconvertida en refuerzo",$O369&lt;&gt;"Sí"),"reconvertida en refuerzo pero sin marcar «En uso como refuerzo», ","")</f>
      </c>
    </row>
    <row r="370" spans="1:37">
      <c r="A370" s="20">
        <f>IF(D370&lt;&gt;"",ROW()-1,"")</f>
      </c>
      <c r="B370" s="55"/>
      <c r="C370" s="56"/>
      <c r="D370" s="56"/>
      <c r="E370" s="56"/>
      <c r="F370" s="56"/>
      <c r="G370" s="56"/>
      <c r="H370" s="56"/>
      <c r="I370" s="56"/>
      <c r="J370" s="57"/>
      <c r="K370" s="56"/>
      <c r="L370" s="58"/>
      <c r="M370" s="58">
        <f>IF(L370="","",L370)</f>
      </c>
      <c r="N370" s="56"/>
      <c r="O370" s="56"/>
      <c r="P370" s="57"/>
      <c r="Q370" s="56"/>
      <c r="R370" s="56"/>
      <c r="S370" s="56"/>
      <c r="T370" s="56"/>
      <c r="U370" s="56"/>
      <c r="V370" s="57"/>
      <c r="W370">
        <f>IF(Q370="Disponible",COUNTIFS($D$2:D370,D370,$Q$2:Q370,"Disponible"),"")</f>
      </c>
      <c r="X370">
        <f>IF(W370&lt;&gt;"",D370&amp;"|"&amp;W370,"")</f>
      </c>
      <c r="Y370">
        <f>IF(X370&lt;&gt;"",IF(K370&lt;&gt;"",K370&amp;" ("&amp;M370&amp;")",M370),"")</f>
      </c>
      <c r="Z370">
        <f>IF(O370="Sí",COUNTIFS($D$2:D370,D370,$O$2:O370,"Sí"),"")</f>
      </c>
      <c r="AA370">
        <f>IF(Z370&lt;&gt;"",D370&amp;"|"&amp;Z370,"")</f>
      </c>
      <c r="AB370">
        <f>IF(AA370&lt;&gt;"",IF(K370&lt;&gt;"",K370&amp;" ("&amp;M370&amp;")",M370),"")</f>
      </c>
      <c r="AC370">
        <f>IF($B370="","fecha, ","")&amp;IF($C370="","quién lo introduce, ","")&amp;IF($I370="","motivo, ","")&amp;IF($K370="","docente, ","")&amp;IF($L370="","horario, ","")&amp;IF($N370="","duración, ","")&amp;IF($Q370="","estado, ","")&amp;IF(AND($I370="Otros",$J370=""),"detalle del motivo, ","")&amp;IF(AND($O370="Sí",$P370=""),"detalle del refuerzo, ","")&amp;IF(AND(OR($I370="Renuncia (hasta 30 nov)",$I370="Baja (desde 1 dic)",$I370="Renuncia excepcional (art. 25.3)",$I370="Traslado de expediente"),OR($E370="",$F370="",$G370="")),"quién deja la plaza, ","")&amp;IF(AND($Q370="No disponible",$R370=""),"vía de cobertura, ","")&amp;IF(AND(OR($R370="Lista de espera · propio centro",$R370="Traslado de expediente",$R370="Lista de espera · otro centro"),OR($S370="",$T370="",$U370="")),"quién ocupa la plaza, ","")</f>
      </c>
      <c r="AD370" s="24">
        <f>IF($D370="","",IF(AND(LEN($AC370)=0,LEN($AK370)=0),"Completa",IF(LEN($AC370)=0,"Revisar: "&amp;LEFT($AK370,LEN($AK370)-2),"Falta: "&amp;LEFT($AC370,LEN($AC370)-2)&amp;IF(LEN($AK370)&gt;0,"  ·  Revisar: "&amp;LEFT($AK370,LEN($AK370)-2),""))))</f>
      </c>
      <c r="AE370">
        <f>IF(AND($D370&lt;&gt;"",OR($I370="Renuncia (hasta 30 nov)",$I370="Baja (desde 1 dic)",$I370="Renuncia excepcional (art. 25.3)",$I370="Traslado de expediente")),COUNTIF($AE$1:AE369,"&gt;0")+1,"")</f>
      </c>
      <c r="AF370">
        <f>IF($Q370="Disponible",COUNTIF($AF$1:AF369,"&gt;0")+1,"")</f>
      </c>
      <c r="AG370">
        <f>IF($O370="Sí",COUNTIF($AG$1:AG369,"&gt;0")+1,"")</f>
      </c>
      <c r="AH370">
        <f>IF(AND($Q370="Disponible",$O370&lt;&gt;"Sí"),COUNTIF($AH$1:AH369,"&gt;0")+1,"")</f>
      </c>
      <c r="AI370">
        <f>IF(AND($Q370="Disponible",$K370&lt;&gt;""),COUNTIFS($K$2:K370,K370,$Q$2:Q370,"Disponible"),"")</f>
      </c>
      <c r="AJ370">
        <f>IF(AI370&lt;&gt;"",K370&amp;"|"&amp;AI370,"")</f>
      </c>
      <c r="AK370">
        <f>IF(AND($Q370="No disponible",OR($R370="Lista de espera · propio centro",$R370="Traslado de expediente",$R370="Lista de espera · otro centro"),$O370="Sí"),"la plaza ya tiene alumno y sigue marcada como refuerzo, ","")&amp;IF(AND($R370="Reconvertida en refuerzo",$O370&lt;&gt;"Sí"),"reconvertida en refuerzo pero sin marcar «En uso como refuerzo», ","")</f>
      </c>
    </row>
    <row r="371" spans="1:37">
      <c r="A371" s="20">
        <f>IF(D371&lt;&gt;"",ROW()-1,"")</f>
      </c>
      <c r="B371" s="55"/>
      <c r="C371" s="56"/>
      <c r="D371" s="56"/>
      <c r="E371" s="56"/>
      <c r="F371" s="56"/>
      <c r="G371" s="56"/>
      <c r="H371" s="56"/>
      <c r="I371" s="56"/>
      <c r="J371" s="57"/>
      <c r="K371" s="56"/>
      <c r="L371" s="58"/>
      <c r="M371" s="58">
        <f>IF(L371="","",L371)</f>
      </c>
      <c r="N371" s="56"/>
      <c r="O371" s="56"/>
      <c r="P371" s="57"/>
      <c r="Q371" s="56"/>
      <c r="R371" s="56"/>
      <c r="S371" s="56"/>
      <c r="T371" s="56"/>
      <c r="U371" s="56"/>
      <c r="V371" s="57"/>
      <c r="W371">
        <f>IF(Q371="Disponible",COUNTIFS($D$2:D371,D371,$Q$2:Q371,"Disponible"),"")</f>
      </c>
      <c r="X371">
        <f>IF(W371&lt;&gt;"",D371&amp;"|"&amp;W371,"")</f>
      </c>
      <c r="Y371">
        <f>IF(X371&lt;&gt;"",IF(K371&lt;&gt;"",K371&amp;" ("&amp;M371&amp;")",M371),"")</f>
      </c>
      <c r="Z371">
        <f>IF(O371="Sí",COUNTIFS($D$2:D371,D371,$O$2:O371,"Sí"),"")</f>
      </c>
      <c r="AA371">
        <f>IF(Z371&lt;&gt;"",D371&amp;"|"&amp;Z371,"")</f>
      </c>
      <c r="AB371">
        <f>IF(AA371&lt;&gt;"",IF(K371&lt;&gt;"",K371&amp;" ("&amp;M371&amp;")",M371),"")</f>
      </c>
      <c r="AC371">
        <f>IF($B371="","fecha, ","")&amp;IF($C371="","quién lo introduce, ","")&amp;IF($I371="","motivo, ","")&amp;IF($K371="","docente, ","")&amp;IF($L371="","horario, ","")&amp;IF($N371="","duración, ","")&amp;IF($Q371="","estado, ","")&amp;IF(AND($I371="Otros",$J371=""),"detalle del motivo, ","")&amp;IF(AND($O371="Sí",$P371=""),"detalle del refuerzo, ","")&amp;IF(AND(OR($I371="Renuncia (hasta 30 nov)",$I371="Baja (desde 1 dic)",$I371="Renuncia excepcional (art. 25.3)",$I371="Traslado de expediente"),OR($E371="",$F371="",$G371="")),"quién deja la plaza, ","")&amp;IF(AND($Q371="No disponible",$R371=""),"vía de cobertura, ","")&amp;IF(AND(OR($R371="Lista de espera · propio centro",$R371="Traslado de expediente",$R371="Lista de espera · otro centro"),OR($S371="",$T371="",$U371="")),"quién ocupa la plaza, ","")</f>
      </c>
      <c r="AD371" s="24">
        <f>IF($D371="","",IF(AND(LEN($AC371)=0,LEN($AK371)=0),"Completa",IF(LEN($AC371)=0,"Revisar: "&amp;LEFT($AK371,LEN($AK371)-2),"Falta: "&amp;LEFT($AC371,LEN($AC371)-2)&amp;IF(LEN($AK371)&gt;0,"  ·  Revisar: "&amp;LEFT($AK371,LEN($AK371)-2),""))))</f>
      </c>
      <c r="AE371">
        <f>IF(AND($D371&lt;&gt;"",OR($I371="Renuncia (hasta 30 nov)",$I371="Baja (desde 1 dic)",$I371="Renuncia excepcional (art. 25.3)",$I371="Traslado de expediente")),COUNTIF($AE$1:AE370,"&gt;0")+1,"")</f>
      </c>
      <c r="AF371">
        <f>IF($Q371="Disponible",COUNTIF($AF$1:AF370,"&gt;0")+1,"")</f>
      </c>
      <c r="AG371">
        <f>IF($O371="Sí",COUNTIF($AG$1:AG370,"&gt;0")+1,"")</f>
      </c>
      <c r="AH371">
        <f>IF(AND($Q371="Disponible",$O371&lt;&gt;"Sí"),COUNTIF($AH$1:AH370,"&gt;0")+1,"")</f>
      </c>
      <c r="AI371">
        <f>IF(AND($Q371="Disponible",$K371&lt;&gt;""),COUNTIFS($K$2:K371,K371,$Q$2:Q371,"Disponible"),"")</f>
      </c>
      <c r="AJ371">
        <f>IF(AI371&lt;&gt;"",K371&amp;"|"&amp;AI371,"")</f>
      </c>
      <c r="AK371">
        <f>IF(AND($Q371="No disponible",OR($R371="Lista de espera · propio centro",$R371="Traslado de expediente",$R371="Lista de espera · otro centro"),$O371="Sí"),"la plaza ya tiene alumno y sigue marcada como refuerzo, ","")&amp;IF(AND($R371="Reconvertida en refuerzo",$O371&lt;&gt;"Sí"),"reconvertida en refuerzo pero sin marcar «En uso como refuerzo», ","")</f>
      </c>
    </row>
    <row r="372" spans="1:37">
      <c r="A372" s="20">
        <f>IF(D372&lt;&gt;"",ROW()-1,"")</f>
      </c>
      <c r="B372" s="55"/>
      <c r="C372" s="56"/>
      <c r="D372" s="56"/>
      <c r="E372" s="56"/>
      <c r="F372" s="56"/>
      <c r="G372" s="56"/>
      <c r="H372" s="56"/>
      <c r="I372" s="56"/>
      <c r="J372" s="57"/>
      <c r="K372" s="56"/>
      <c r="L372" s="58"/>
      <c r="M372" s="58">
        <f>IF(L372="","",L372)</f>
      </c>
      <c r="N372" s="56"/>
      <c r="O372" s="56"/>
      <c r="P372" s="57"/>
      <c r="Q372" s="56"/>
      <c r="R372" s="56"/>
      <c r="S372" s="56"/>
      <c r="T372" s="56"/>
      <c r="U372" s="56"/>
      <c r="V372" s="57"/>
      <c r="W372">
        <f>IF(Q372="Disponible",COUNTIFS($D$2:D372,D372,$Q$2:Q372,"Disponible"),"")</f>
      </c>
      <c r="X372">
        <f>IF(W372&lt;&gt;"",D372&amp;"|"&amp;W372,"")</f>
      </c>
      <c r="Y372">
        <f>IF(X372&lt;&gt;"",IF(K372&lt;&gt;"",K372&amp;" ("&amp;M372&amp;")",M372),"")</f>
      </c>
      <c r="Z372">
        <f>IF(O372="Sí",COUNTIFS($D$2:D372,D372,$O$2:O372,"Sí"),"")</f>
      </c>
      <c r="AA372">
        <f>IF(Z372&lt;&gt;"",D372&amp;"|"&amp;Z372,"")</f>
      </c>
      <c r="AB372">
        <f>IF(AA372&lt;&gt;"",IF(K372&lt;&gt;"",K372&amp;" ("&amp;M372&amp;")",M372),"")</f>
      </c>
      <c r="AC372">
        <f>IF($B372="","fecha, ","")&amp;IF($C372="","quién lo introduce, ","")&amp;IF($I372="","motivo, ","")&amp;IF($K372="","docente, ","")&amp;IF($L372="","horario, ","")&amp;IF($N372="","duración, ","")&amp;IF($Q372="","estado, ","")&amp;IF(AND($I372="Otros",$J372=""),"detalle del motivo, ","")&amp;IF(AND($O372="Sí",$P372=""),"detalle del refuerzo, ","")&amp;IF(AND(OR($I372="Renuncia (hasta 30 nov)",$I372="Baja (desde 1 dic)",$I372="Renuncia excepcional (art. 25.3)",$I372="Traslado de expediente"),OR($E372="",$F372="",$G372="")),"quién deja la plaza, ","")&amp;IF(AND($Q372="No disponible",$R372=""),"vía de cobertura, ","")&amp;IF(AND(OR($R372="Lista de espera · propio centro",$R372="Traslado de expediente",$R372="Lista de espera · otro centro"),OR($S372="",$T372="",$U372="")),"quién ocupa la plaza, ","")</f>
      </c>
      <c r="AD372" s="24">
        <f>IF($D372="","",IF(AND(LEN($AC372)=0,LEN($AK372)=0),"Completa",IF(LEN($AC372)=0,"Revisar: "&amp;LEFT($AK372,LEN($AK372)-2),"Falta: "&amp;LEFT($AC372,LEN($AC372)-2)&amp;IF(LEN($AK372)&gt;0,"  ·  Revisar: "&amp;LEFT($AK372,LEN($AK372)-2),""))))</f>
      </c>
      <c r="AE372">
        <f>IF(AND($D372&lt;&gt;"",OR($I372="Renuncia (hasta 30 nov)",$I372="Baja (desde 1 dic)",$I372="Renuncia excepcional (art. 25.3)",$I372="Traslado de expediente")),COUNTIF($AE$1:AE371,"&gt;0")+1,"")</f>
      </c>
      <c r="AF372">
        <f>IF($Q372="Disponible",COUNTIF($AF$1:AF371,"&gt;0")+1,"")</f>
      </c>
      <c r="AG372">
        <f>IF($O372="Sí",COUNTIF($AG$1:AG371,"&gt;0")+1,"")</f>
      </c>
      <c r="AH372">
        <f>IF(AND($Q372="Disponible",$O372&lt;&gt;"Sí"),COUNTIF($AH$1:AH371,"&gt;0")+1,"")</f>
      </c>
      <c r="AI372">
        <f>IF(AND($Q372="Disponible",$K372&lt;&gt;""),COUNTIFS($K$2:K372,K372,$Q$2:Q372,"Disponible"),"")</f>
      </c>
      <c r="AJ372">
        <f>IF(AI372&lt;&gt;"",K372&amp;"|"&amp;AI372,"")</f>
      </c>
      <c r="AK372">
        <f>IF(AND($Q372="No disponible",OR($R372="Lista de espera · propio centro",$R372="Traslado de expediente",$R372="Lista de espera · otro centro"),$O372="Sí"),"la plaza ya tiene alumno y sigue marcada como refuerzo, ","")&amp;IF(AND($R372="Reconvertida en refuerzo",$O372&lt;&gt;"Sí"),"reconvertida en refuerzo pero sin marcar «En uso como refuerzo», ","")</f>
      </c>
    </row>
    <row r="373" spans="1:37">
      <c r="A373" s="20">
        <f>IF(D373&lt;&gt;"",ROW()-1,"")</f>
      </c>
      <c r="B373" s="55"/>
      <c r="C373" s="56"/>
      <c r="D373" s="56"/>
      <c r="E373" s="56"/>
      <c r="F373" s="56"/>
      <c r="G373" s="56"/>
      <c r="H373" s="56"/>
      <c r="I373" s="56"/>
      <c r="J373" s="57"/>
      <c r="K373" s="56"/>
      <c r="L373" s="58"/>
      <c r="M373" s="58">
        <f>IF(L373="","",L373)</f>
      </c>
      <c r="N373" s="56"/>
      <c r="O373" s="56"/>
      <c r="P373" s="57"/>
      <c r="Q373" s="56"/>
      <c r="R373" s="56"/>
      <c r="S373" s="56"/>
      <c r="T373" s="56"/>
      <c r="U373" s="56"/>
      <c r="V373" s="57"/>
      <c r="W373">
        <f>IF(Q373="Disponible",COUNTIFS($D$2:D373,D373,$Q$2:Q373,"Disponible"),"")</f>
      </c>
      <c r="X373">
        <f>IF(W373&lt;&gt;"",D373&amp;"|"&amp;W373,"")</f>
      </c>
      <c r="Y373">
        <f>IF(X373&lt;&gt;"",IF(K373&lt;&gt;"",K373&amp;" ("&amp;M373&amp;")",M373),"")</f>
      </c>
      <c r="Z373">
        <f>IF(O373="Sí",COUNTIFS($D$2:D373,D373,$O$2:O373,"Sí"),"")</f>
      </c>
      <c r="AA373">
        <f>IF(Z373&lt;&gt;"",D373&amp;"|"&amp;Z373,"")</f>
      </c>
      <c r="AB373">
        <f>IF(AA373&lt;&gt;"",IF(K373&lt;&gt;"",K373&amp;" ("&amp;M373&amp;")",M373),"")</f>
      </c>
      <c r="AC373">
        <f>IF($B373="","fecha, ","")&amp;IF($C373="","quién lo introduce, ","")&amp;IF($I373="","motivo, ","")&amp;IF($K373="","docente, ","")&amp;IF($L373="","horario, ","")&amp;IF($N373="","duración, ","")&amp;IF($Q373="","estado, ","")&amp;IF(AND($I373="Otros",$J373=""),"detalle del motivo, ","")&amp;IF(AND($O373="Sí",$P373=""),"detalle del refuerzo, ","")&amp;IF(AND(OR($I373="Renuncia (hasta 30 nov)",$I373="Baja (desde 1 dic)",$I373="Renuncia excepcional (art. 25.3)",$I373="Traslado de expediente"),OR($E373="",$F373="",$G373="")),"quién deja la plaza, ","")&amp;IF(AND($Q373="No disponible",$R373=""),"vía de cobertura, ","")&amp;IF(AND(OR($R373="Lista de espera · propio centro",$R373="Traslado de expediente",$R373="Lista de espera · otro centro"),OR($S373="",$T373="",$U373="")),"quién ocupa la plaza, ","")</f>
      </c>
      <c r="AD373" s="24">
        <f>IF($D373="","",IF(AND(LEN($AC373)=0,LEN($AK373)=0),"Completa",IF(LEN($AC373)=0,"Revisar: "&amp;LEFT($AK373,LEN($AK373)-2),"Falta: "&amp;LEFT($AC373,LEN($AC373)-2)&amp;IF(LEN($AK373)&gt;0,"  ·  Revisar: "&amp;LEFT($AK373,LEN($AK373)-2),""))))</f>
      </c>
      <c r="AE373">
        <f>IF(AND($D373&lt;&gt;"",OR($I373="Renuncia (hasta 30 nov)",$I373="Baja (desde 1 dic)",$I373="Renuncia excepcional (art. 25.3)",$I373="Traslado de expediente")),COUNTIF($AE$1:AE372,"&gt;0")+1,"")</f>
      </c>
      <c r="AF373">
        <f>IF($Q373="Disponible",COUNTIF($AF$1:AF372,"&gt;0")+1,"")</f>
      </c>
      <c r="AG373">
        <f>IF($O373="Sí",COUNTIF($AG$1:AG372,"&gt;0")+1,"")</f>
      </c>
      <c r="AH373">
        <f>IF(AND($Q373="Disponible",$O373&lt;&gt;"Sí"),COUNTIF($AH$1:AH372,"&gt;0")+1,"")</f>
      </c>
      <c r="AI373">
        <f>IF(AND($Q373="Disponible",$K373&lt;&gt;""),COUNTIFS($K$2:K373,K373,$Q$2:Q373,"Disponible"),"")</f>
      </c>
      <c r="AJ373">
        <f>IF(AI373&lt;&gt;"",K373&amp;"|"&amp;AI373,"")</f>
      </c>
      <c r="AK373">
        <f>IF(AND($Q373="No disponible",OR($R373="Lista de espera · propio centro",$R373="Traslado de expediente",$R373="Lista de espera · otro centro"),$O373="Sí"),"la plaza ya tiene alumno y sigue marcada como refuerzo, ","")&amp;IF(AND($R373="Reconvertida en refuerzo",$O373&lt;&gt;"Sí"),"reconvertida en refuerzo pero sin marcar «En uso como refuerzo», ","")</f>
      </c>
    </row>
    <row r="374" spans="1:37">
      <c r="A374" s="20">
        <f>IF(D374&lt;&gt;"",ROW()-1,"")</f>
      </c>
      <c r="B374" s="55"/>
      <c r="C374" s="56"/>
      <c r="D374" s="56"/>
      <c r="E374" s="56"/>
      <c r="F374" s="56"/>
      <c r="G374" s="56"/>
      <c r="H374" s="56"/>
      <c r="I374" s="56"/>
      <c r="J374" s="57"/>
      <c r="K374" s="56"/>
      <c r="L374" s="58"/>
      <c r="M374" s="58">
        <f>IF(L374="","",L374)</f>
      </c>
      <c r="N374" s="56"/>
      <c r="O374" s="56"/>
      <c r="P374" s="57"/>
      <c r="Q374" s="56"/>
      <c r="R374" s="56"/>
      <c r="S374" s="56"/>
      <c r="T374" s="56"/>
      <c r="U374" s="56"/>
      <c r="V374" s="57"/>
      <c r="W374">
        <f>IF(Q374="Disponible",COUNTIFS($D$2:D374,D374,$Q$2:Q374,"Disponible"),"")</f>
      </c>
      <c r="X374">
        <f>IF(W374&lt;&gt;"",D374&amp;"|"&amp;W374,"")</f>
      </c>
      <c r="Y374">
        <f>IF(X374&lt;&gt;"",IF(K374&lt;&gt;"",K374&amp;" ("&amp;M374&amp;")",M374),"")</f>
      </c>
      <c r="Z374">
        <f>IF(O374="Sí",COUNTIFS($D$2:D374,D374,$O$2:O374,"Sí"),"")</f>
      </c>
      <c r="AA374">
        <f>IF(Z374&lt;&gt;"",D374&amp;"|"&amp;Z374,"")</f>
      </c>
      <c r="AB374">
        <f>IF(AA374&lt;&gt;"",IF(K374&lt;&gt;"",K374&amp;" ("&amp;M374&amp;")",M374),"")</f>
      </c>
      <c r="AC374">
        <f>IF($B374="","fecha, ","")&amp;IF($C374="","quién lo introduce, ","")&amp;IF($I374="","motivo, ","")&amp;IF($K374="","docente, ","")&amp;IF($L374="","horario, ","")&amp;IF($N374="","duración, ","")&amp;IF($Q374="","estado, ","")&amp;IF(AND($I374="Otros",$J374=""),"detalle del motivo, ","")&amp;IF(AND($O374="Sí",$P374=""),"detalle del refuerzo, ","")&amp;IF(AND(OR($I374="Renuncia (hasta 30 nov)",$I374="Baja (desde 1 dic)",$I374="Renuncia excepcional (art. 25.3)",$I374="Traslado de expediente"),OR($E374="",$F374="",$G374="")),"quién deja la plaza, ","")&amp;IF(AND($Q374="No disponible",$R374=""),"vía de cobertura, ","")&amp;IF(AND(OR($R374="Lista de espera · propio centro",$R374="Traslado de expediente",$R374="Lista de espera · otro centro"),OR($S374="",$T374="",$U374="")),"quién ocupa la plaza, ","")</f>
      </c>
      <c r="AD374" s="24">
        <f>IF($D374="","",IF(AND(LEN($AC374)=0,LEN($AK374)=0),"Completa",IF(LEN($AC374)=0,"Revisar: "&amp;LEFT($AK374,LEN($AK374)-2),"Falta: "&amp;LEFT($AC374,LEN($AC374)-2)&amp;IF(LEN($AK374)&gt;0,"  ·  Revisar: "&amp;LEFT($AK374,LEN($AK374)-2),""))))</f>
      </c>
      <c r="AE374">
        <f>IF(AND($D374&lt;&gt;"",OR($I374="Renuncia (hasta 30 nov)",$I374="Baja (desde 1 dic)",$I374="Renuncia excepcional (art. 25.3)",$I374="Traslado de expediente")),COUNTIF($AE$1:AE373,"&gt;0")+1,"")</f>
      </c>
      <c r="AF374">
        <f>IF($Q374="Disponible",COUNTIF($AF$1:AF373,"&gt;0")+1,"")</f>
      </c>
      <c r="AG374">
        <f>IF($O374="Sí",COUNTIF($AG$1:AG373,"&gt;0")+1,"")</f>
      </c>
      <c r="AH374">
        <f>IF(AND($Q374="Disponible",$O374&lt;&gt;"Sí"),COUNTIF($AH$1:AH373,"&gt;0")+1,"")</f>
      </c>
      <c r="AI374">
        <f>IF(AND($Q374="Disponible",$K374&lt;&gt;""),COUNTIFS($K$2:K374,K374,$Q$2:Q374,"Disponible"),"")</f>
      </c>
      <c r="AJ374">
        <f>IF(AI374&lt;&gt;"",K374&amp;"|"&amp;AI374,"")</f>
      </c>
      <c r="AK374">
        <f>IF(AND($Q374="No disponible",OR($R374="Lista de espera · propio centro",$R374="Traslado de expediente",$R374="Lista de espera · otro centro"),$O374="Sí"),"la plaza ya tiene alumno y sigue marcada como refuerzo, ","")&amp;IF(AND($R374="Reconvertida en refuerzo",$O374&lt;&gt;"Sí"),"reconvertida en refuerzo pero sin marcar «En uso como refuerzo», ","")</f>
      </c>
    </row>
    <row r="375" spans="1:37">
      <c r="A375" s="20">
        <f>IF(D375&lt;&gt;"",ROW()-1,"")</f>
      </c>
      <c r="B375" s="55"/>
      <c r="C375" s="56"/>
      <c r="D375" s="56"/>
      <c r="E375" s="56"/>
      <c r="F375" s="56"/>
      <c r="G375" s="56"/>
      <c r="H375" s="56"/>
      <c r="I375" s="56"/>
      <c r="J375" s="57"/>
      <c r="K375" s="56"/>
      <c r="L375" s="58"/>
      <c r="M375" s="58">
        <f>IF(L375="","",L375)</f>
      </c>
      <c r="N375" s="56"/>
      <c r="O375" s="56"/>
      <c r="P375" s="57"/>
      <c r="Q375" s="56"/>
      <c r="R375" s="56"/>
      <c r="S375" s="56"/>
      <c r="T375" s="56"/>
      <c r="U375" s="56"/>
      <c r="V375" s="57"/>
      <c r="W375">
        <f>IF(Q375="Disponible",COUNTIFS($D$2:D375,D375,$Q$2:Q375,"Disponible"),"")</f>
      </c>
      <c r="X375">
        <f>IF(W375&lt;&gt;"",D375&amp;"|"&amp;W375,"")</f>
      </c>
      <c r="Y375">
        <f>IF(X375&lt;&gt;"",IF(K375&lt;&gt;"",K375&amp;" ("&amp;M375&amp;")",M375),"")</f>
      </c>
      <c r="Z375">
        <f>IF(O375="Sí",COUNTIFS($D$2:D375,D375,$O$2:O375,"Sí"),"")</f>
      </c>
      <c r="AA375">
        <f>IF(Z375&lt;&gt;"",D375&amp;"|"&amp;Z375,"")</f>
      </c>
      <c r="AB375">
        <f>IF(AA375&lt;&gt;"",IF(K375&lt;&gt;"",K375&amp;" ("&amp;M375&amp;")",M375),"")</f>
      </c>
      <c r="AC375">
        <f>IF($B375="","fecha, ","")&amp;IF($C375="","quién lo introduce, ","")&amp;IF($I375="","motivo, ","")&amp;IF($K375="","docente, ","")&amp;IF($L375="","horario, ","")&amp;IF($N375="","duración, ","")&amp;IF($Q375="","estado, ","")&amp;IF(AND($I375="Otros",$J375=""),"detalle del motivo, ","")&amp;IF(AND($O375="Sí",$P375=""),"detalle del refuerzo, ","")&amp;IF(AND(OR($I375="Renuncia (hasta 30 nov)",$I375="Baja (desde 1 dic)",$I375="Renuncia excepcional (art. 25.3)",$I375="Traslado de expediente"),OR($E375="",$F375="",$G375="")),"quién deja la plaza, ","")&amp;IF(AND($Q375="No disponible",$R375=""),"vía de cobertura, ","")&amp;IF(AND(OR($R375="Lista de espera · propio centro",$R375="Traslado de expediente",$R375="Lista de espera · otro centro"),OR($S375="",$T375="",$U375="")),"quién ocupa la plaza, ","")</f>
      </c>
      <c r="AD375" s="24">
        <f>IF($D375="","",IF(AND(LEN($AC375)=0,LEN($AK375)=0),"Completa",IF(LEN($AC375)=0,"Revisar: "&amp;LEFT($AK375,LEN($AK375)-2),"Falta: "&amp;LEFT($AC375,LEN($AC375)-2)&amp;IF(LEN($AK375)&gt;0,"  ·  Revisar: "&amp;LEFT($AK375,LEN($AK375)-2),""))))</f>
      </c>
      <c r="AE375">
        <f>IF(AND($D375&lt;&gt;"",OR($I375="Renuncia (hasta 30 nov)",$I375="Baja (desde 1 dic)",$I375="Renuncia excepcional (art. 25.3)",$I375="Traslado de expediente")),COUNTIF($AE$1:AE374,"&gt;0")+1,"")</f>
      </c>
      <c r="AF375">
        <f>IF($Q375="Disponible",COUNTIF($AF$1:AF374,"&gt;0")+1,"")</f>
      </c>
      <c r="AG375">
        <f>IF($O375="Sí",COUNTIF($AG$1:AG374,"&gt;0")+1,"")</f>
      </c>
      <c r="AH375">
        <f>IF(AND($Q375="Disponible",$O375&lt;&gt;"Sí"),COUNTIF($AH$1:AH374,"&gt;0")+1,"")</f>
      </c>
      <c r="AI375">
        <f>IF(AND($Q375="Disponible",$K375&lt;&gt;""),COUNTIFS($K$2:K375,K375,$Q$2:Q375,"Disponible"),"")</f>
      </c>
      <c r="AJ375">
        <f>IF(AI375&lt;&gt;"",K375&amp;"|"&amp;AI375,"")</f>
      </c>
      <c r="AK375">
        <f>IF(AND($Q375="No disponible",OR($R375="Lista de espera · propio centro",$R375="Traslado de expediente",$R375="Lista de espera · otro centro"),$O375="Sí"),"la plaza ya tiene alumno y sigue marcada como refuerzo, ","")&amp;IF(AND($R375="Reconvertida en refuerzo",$O375&lt;&gt;"Sí"),"reconvertida en refuerzo pero sin marcar «En uso como refuerzo», ","")</f>
      </c>
    </row>
    <row r="376" spans="1:37">
      <c r="A376" s="20">
        <f>IF(D376&lt;&gt;"",ROW()-1,"")</f>
      </c>
      <c r="B376" s="55"/>
      <c r="C376" s="56"/>
      <c r="D376" s="56"/>
      <c r="E376" s="56"/>
      <c r="F376" s="56"/>
      <c r="G376" s="56"/>
      <c r="H376" s="56"/>
      <c r="I376" s="56"/>
      <c r="J376" s="57"/>
      <c r="K376" s="56"/>
      <c r="L376" s="58"/>
      <c r="M376" s="58">
        <f>IF(L376="","",L376)</f>
      </c>
      <c r="N376" s="56"/>
      <c r="O376" s="56"/>
      <c r="P376" s="57"/>
      <c r="Q376" s="56"/>
      <c r="R376" s="56"/>
      <c r="S376" s="56"/>
      <c r="T376" s="56"/>
      <c r="U376" s="56"/>
      <c r="V376" s="57"/>
      <c r="W376">
        <f>IF(Q376="Disponible",COUNTIFS($D$2:D376,D376,$Q$2:Q376,"Disponible"),"")</f>
      </c>
      <c r="X376">
        <f>IF(W376&lt;&gt;"",D376&amp;"|"&amp;W376,"")</f>
      </c>
      <c r="Y376">
        <f>IF(X376&lt;&gt;"",IF(K376&lt;&gt;"",K376&amp;" ("&amp;M376&amp;")",M376),"")</f>
      </c>
      <c r="Z376">
        <f>IF(O376="Sí",COUNTIFS($D$2:D376,D376,$O$2:O376,"Sí"),"")</f>
      </c>
      <c r="AA376">
        <f>IF(Z376&lt;&gt;"",D376&amp;"|"&amp;Z376,"")</f>
      </c>
      <c r="AB376">
        <f>IF(AA376&lt;&gt;"",IF(K376&lt;&gt;"",K376&amp;" ("&amp;M376&amp;")",M376),"")</f>
      </c>
      <c r="AC376">
        <f>IF($B376="","fecha, ","")&amp;IF($C376="","quién lo introduce, ","")&amp;IF($I376="","motivo, ","")&amp;IF($K376="","docente, ","")&amp;IF($L376="","horario, ","")&amp;IF($N376="","duración, ","")&amp;IF($Q376="","estado, ","")&amp;IF(AND($I376="Otros",$J376=""),"detalle del motivo, ","")&amp;IF(AND($O376="Sí",$P376=""),"detalle del refuerzo, ","")&amp;IF(AND(OR($I376="Renuncia (hasta 30 nov)",$I376="Baja (desde 1 dic)",$I376="Renuncia excepcional (art. 25.3)",$I376="Traslado de expediente"),OR($E376="",$F376="",$G376="")),"quién deja la plaza, ","")&amp;IF(AND($Q376="No disponible",$R376=""),"vía de cobertura, ","")&amp;IF(AND(OR($R376="Lista de espera · propio centro",$R376="Traslado de expediente",$R376="Lista de espera · otro centro"),OR($S376="",$T376="",$U376="")),"quién ocupa la plaza, ","")</f>
      </c>
      <c r="AD376" s="24">
        <f>IF($D376="","",IF(AND(LEN($AC376)=0,LEN($AK376)=0),"Completa",IF(LEN($AC376)=0,"Revisar: "&amp;LEFT($AK376,LEN($AK376)-2),"Falta: "&amp;LEFT($AC376,LEN($AC376)-2)&amp;IF(LEN($AK376)&gt;0,"  ·  Revisar: "&amp;LEFT($AK376,LEN($AK376)-2),""))))</f>
      </c>
      <c r="AE376">
        <f>IF(AND($D376&lt;&gt;"",OR($I376="Renuncia (hasta 30 nov)",$I376="Baja (desde 1 dic)",$I376="Renuncia excepcional (art. 25.3)",$I376="Traslado de expediente")),COUNTIF($AE$1:AE375,"&gt;0")+1,"")</f>
      </c>
      <c r="AF376">
        <f>IF($Q376="Disponible",COUNTIF($AF$1:AF375,"&gt;0")+1,"")</f>
      </c>
      <c r="AG376">
        <f>IF($O376="Sí",COUNTIF($AG$1:AG375,"&gt;0")+1,"")</f>
      </c>
      <c r="AH376">
        <f>IF(AND($Q376="Disponible",$O376&lt;&gt;"Sí"),COUNTIF($AH$1:AH375,"&gt;0")+1,"")</f>
      </c>
      <c r="AI376">
        <f>IF(AND($Q376="Disponible",$K376&lt;&gt;""),COUNTIFS($K$2:K376,K376,$Q$2:Q376,"Disponible"),"")</f>
      </c>
      <c r="AJ376">
        <f>IF(AI376&lt;&gt;"",K376&amp;"|"&amp;AI376,"")</f>
      </c>
      <c r="AK376">
        <f>IF(AND($Q376="No disponible",OR($R376="Lista de espera · propio centro",$R376="Traslado de expediente",$R376="Lista de espera · otro centro"),$O376="Sí"),"la plaza ya tiene alumno y sigue marcada como refuerzo, ","")&amp;IF(AND($R376="Reconvertida en refuerzo",$O376&lt;&gt;"Sí"),"reconvertida en refuerzo pero sin marcar «En uso como refuerzo», ","")</f>
      </c>
    </row>
    <row r="377" spans="1:37">
      <c r="A377" s="20">
        <f>IF(D377&lt;&gt;"",ROW()-1,"")</f>
      </c>
      <c r="B377" s="55"/>
      <c r="C377" s="56"/>
      <c r="D377" s="56"/>
      <c r="E377" s="56"/>
      <c r="F377" s="56"/>
      <c r="G377" s="56"/>
      <c r="H377" s="56"/>
      <c r="I377" s="56"/>
      <c r="J377" s="57"/>
      <c r="K377" s="56"/>
      <c r="L377" s="58"/>
      <c r="M377" s="58">
        <f>IF(L377="","",L377)</f>
      </c>
      <c r="N377" s="56"/>
      <c r="O377" s="56"/>
      <c r="P377" s="57"/>
      <c r="Q377" s="56"/>
      <c r="R377" s="56"/>
      <c r="S377" s="56"/>
      <c r="T377" s="56"/>
      <c r="U377" s="56"/>
      <c r="V377" s="57"/>
      <c r="W377">
        <f>IF(Q377="Disponible",COUNTIFS($D$2:D377,D377,$Q$2:Q377,"Disponible"),"")</f>
      </c>
      <c r="X377">
        <f>IF(W377&lt;&gt;"",D377&amp;"|"&amp;W377,"")</f>
      </c>
      <c r="Y377">
        <f>IF(X377&lt;&gt;"",IF(K377&lt;&gt;"",K377&amp;" ("&amp;M377&amp;")",M377),"")</f>
      </c>
      <c r="Z377">
        <f>IF(O377="Sí",COUNTIFS($D$2:D377,D377,$O$2:O377,"Sí"),"")</f>
      </c>
      <c r="AA377">
        <f>IF(Z377&lt;&gt;"",D377&amp;"|"&amp;Z377,"")</f>
      </c>
      <c r="AB377">
        <f>IF(AA377&lt;&gt;"",IF(K377&lt;&gt;"",K377&amp;" ("&amp;M377&amp;")",M377),"")</f>
      </c>
      <c r="AC377">
        <f>IF($B377="","fecha, ","")&amp;IF($C377="","quién lo introduce, ","")&amp;IF($I377="","motivo, ","")&amp;IF($K377="","docente, ","")&amp;IF($L377="","horario, ","")&amp;IF($N377="","duración, ","")&amp;IF($Q377="","estado, ","")&amp;IF(AND($I377="Otros",$J377=""),"detalle del motivo, ","")&amp;IF(AND($O377="Sí",$P377=""),"detalle del refuerzo, ","")&amp;IF(AND(OR($I377="Renuncia (hasta 30 nov)",$I377="Baja (desde 1 dic)",$I377="Renuncia excepcional (art. 25.3)",$I377="Traslado de expediente"),OR($E377="",$F377="",$G377="")),"quién deja la plaza, ","")&amp;IF(AND($Q377="No disponible",$R377=""),"vía de cobertura, ","")&amp;IF(AND(OR($R377="Lista de espera · propio centro",$R377="Traslado de expediente",$R377="Lista de espera · otro centro"),OR($S377="",$T377="",$U377="")),"quién ocupa la plaza, ","")</f>
      </c>
      <c r="AD377" s="24">
        <f>IF($D377="","",IF(AND(LEN($AC377)=0,LEN($AK377)=0),"Completa",IF(LEN($AC377)=0,"Revisar: "&amp;LEFT($AK377,LEN($AK377)-2),"Falta: "&amp;LEFT($AC377,LEN($AC377)-2)&amp;IF(LEN($AK377)&gt;0,"  ·  Revisar: "&amp;LEFT($AK377,LEN($AK377)-2),""))))</f>
      </c>
      <c r="AE377">
        <f>IF(AND($D377&lt;&gt;"",OR($I377="Renuncia (hasta 30 nov)",$I377="Baja (desde 1 dic)",$I377="Renuncia excepcional (art. 25.3)",$I377="Traslado de expediente")),COUNTIF($AE$1:AE376,"&gt;0")+1,"")</f>
      </c>
      <c r="AF377">
        <f>IF($Q377="Disponible",COUNTIF($AF$1:AF376,"&gt;0")+1,"")</f>
      </c>
      <c r="AG377">
        <f>IF($O377="Sí",COUNTIF($AG$1:AG376,"&gt;0")+1,"")</f>
      </c>
      <c r="AH377">
        <f>IF(AND($Q377="Disponible",$O377&lt;&gt;"Sí"),COUNTIF($AH$1:AH376,"&gt;0")+1,"")</f>
      </c>
      <c r="AI377">
        <f>IF(AND($Q377="Disponible",$K377&lt;&gt;""),COUNTIFS($K$2:K377,K377,$Q$2:Q377,"Disponible"),"")</f>
      </c>
      <c r="AJ377">
        <f>IF(AI377&lt;&gt;"",K377&amp;"|"&amp;AI377,"")</f>
      </c>
      <c r="AK377">
        <f>IF(AND($Q377="No disponible",OR($R377="Lista de espera · propio centro",$R377="Traslado de expediente",$R377="Lista de espera · otro centro"),$O377="Sí"),"la plaza ya tiene alumno y sigue marcada como refuerzo, ","")&amp;IF(AND($R377="Reconvertida en refuerzo",$O377&lt;&gt;"Sí"),"reconvertida en refuerzo pero sin marcar «En uso como refuerzo», ","")</f>
      </c>
    </row>
    <row r="378" spans="1:37">
      <c r="A378" s="20">
        <f>IF(D378&lt;&gt;"",ROW()-1,"")</f>
      </c>
      <c r="B378" s="55"/>
      <c r="C378" s="56"/>
      <c r="D378" s="56"/>
      <c r="E378" s="56"/>
      <c r="F378" s="56"/>
      <c r="G378" s="56"/>
      <c r="H378" s="56"/>
      <c r="I378" s="56"/>
      <c r="J378" s="57"/>
      <c r="K378" s="56"/>
      <c r="L378" s="58"/>
      <c r="M378" s="58">
        <f>IF(L378="","",L378)</f>
      </c>
      <c r="N378" s="56"/>
      <c r="O378" s="56"/>
      <c r="P378" s="57"/>
      <c r="Q378" s="56"/>
      <c r="R378" s="56"/>
      <c r="S378" s="56"/>
      <c r="T378" s="56"/>
      <c r="U378" s="56"/>
      <c r="V378" s="57"/>
      <c r="W378">
        <f>IF(Q378="Disponible",COUNTIFS($D$2:D378,D378,$Q$2:Q378,"Disponible"),"")</f>
      </c>
      <c r="X378">
        <f>IF(W378&lt;&gt;"",D378&amp;"|"&amp;W378,"")</f>
      </c>
      <c r="Y378">
        <f>IF(X378&lt;&gt;"",IF(K378&lt;&gt;"",K378&amp;" ("&amp;M378&amp;")",M378),"")</f>
      </c>
      <c r="Z378">
        <f>IF(O378="Sí",COUNTIFS($D$2:D378,D378,$O$2:O378,"Sí"),"")</f>
      </c>
      <c r="AA378">
        <f>IF(Z378&lt;&gt;"",D378&amp;"|"&amp;Z378,"")</f>
      </c>
      <c r="AB378">
        <f>IF(AA378&lt;&gt;"",IF(K378&lt;&gt;"",K378&amp;" ("&amp;M378&amp;")",M378),"")</f>
      </c>
      <c r="AC378">
        <f>IF($B378="","fecha, ","")&amp;IF($C378="","quién lo introduce, ","")&amp;IF($I378="","motivo, ","")&amp;IF($K378="","docente, ","")&amp;IF($L378="","horario, ","")&amp;IF($N378="","duración, ","")&amp;IF($Q378="","estado, ","")&amp;IF(AND($I378="Otros",$J378=""),"detalle del motivo, ","")&amp;IF(AND($O378="Sí",$P378=""),"detalle del refuerzo, ","")&amp;IF(AND(OR($I378="Renuncia (hasta 30 nov)",$I378="Baja (desde 1 dic)",$I378="Renuncia excepcional (art. 25.3)",$I378="Traslado de expediente"),OR($E378="",$F378="",$G378="")),"quién deja la plaza, ","")&amp;IF(AND($Q378="No disponible",$R378=""),"vía de cobertura, ","")&amp;IF(AND(OR($R378="Lista de espera · propio centro",$R378="Traslado de expediente",$R378="Lista de espera · otro centro"),OR($S378="",$T378="",$U378="")),"quién ocupa la plaza, ","")</f>
      </c>
      <c r="AD378" s="24">
        <f>IF($D378="","",IF(AND(LEN($AC378)=0,LEN($AK378)=0),"Completa",IF(LEN($AC378)=0,"Revisar: "&amp;LEFT($AK378,LEN($AK378)-2),"Falta: "&amp;LEFT($AC378,LEN($AC378)-2)&amp;IF(LEN($AK378)&gt;0,"  ·  Revisar: "&amp;LEFT($AK378,LEN($AK378)-2),""))))</f>
      </c>
      <c r="AE378">
        <f>IF(AND($D378&lt;&gt;"",OR($I378="Renuncia (hasta 30 nov)",$I378="Baja (desde 1 dic)",$I378="Renuncia excepcional (art. 25.3)",$I378="Traslado de expediente")),COUNTIF($AE$1:AE377,"&gt;0")+1,"")</f>
      </c>
      <c r="AF378">
        <f>IF($Q378="Disponible",COUNTIF($AF$1:AF377,"&gt;0")+1,"")</f>
      </c>
      <c r="AG378">
        <f>IF($O378="Sí",COUNTIF($AG$1:AG377,"&gt;0")+1,"")</f>
      </c>
      <c r="AH378">
        <f>IF(AND($Q378="Disponible",$O378&lt;&gt;"Sí"),COUNTIF($AH$1:AH377,"&gt;0")+1,"")</f>
      </c>
      <c r="AI378">
        <f>IF(AND($Q378="Disponible",$K378&lt;&gt;""),COUNTIFS($K$2:K378,K378,$Q$2:Q378,"Disponible"),"")</f>
      </c>
      <c r="AJ378">
        <f>IF(AI378&lt;&gt;"",K378&amp;"|"&amp;AI378,"")</f>
      </c>
      <c r="AK378">
        <f>IF(AND($Q378="No disponible",OR($R378="Lista de espera · propio centro",$R378="Traslado de expediente",$R378="Lista de espera · otro centro"),$O378="Sí"),"la plaza ya tiene alumno y sigue marcada como refuerzo, ","")&amp;IF(AND($R378="Reconvertida en refuerzo",$O378&lt;&gt;"Sí"),"reconvertida en refuerzo pero sin marcar «En uso como refuerzo», ","")</f>
      </c>
    </row>
    <row r="379" spans="1:37">
      <c r="A379" s="20">
        <f>IF(D379&lt;&gt;"",ROW()-1,"")</f>
      </c>
      <c r="B379" s="55"/>
      <c r="C379" s="56"/>
      <c r="D379" s="56"/>
      <c r="E379" s="56"/>
      <c r="F379" s="56"/>
      <c r="G379" s="56"/>
      <c r="H379" s="56"/>
      <c r="I379" s="56"/>
      <c r="J379" s="57"/>
      <c r="K379" s="56"/>
      <c r="L379" s="58"/>
      <c r="M379" s="58">
        <f>IF(L379="","",L379)</f>
      </c>
      <c r="N379" s="56"/>
      <c r="O379" s="56"/>
      <c r="P379" s="57"/>
      <c r="Q379" s="56"/>
      <c r="R379" s="56"/>
      <c r="S379" s="56"/>
      <c r="T379" s="56"/>
      <c r="U379" s="56"/>
      <c r="V379" s="57"/>
      <c r="W379">
        <f>IF(Q379="Disponible",COUNTIFS($D$2:D379,D379,$Q$2:Q379,"Disponible"),"")</f>
      </c>
      <c r="X379">
        <f>IF(W379&lt;&gt;"",D379&amp;"|"&amp;W379,"")</f>
      </c>
      <c r="Y379">
        <f>IF(X379&lt;&gt;"",IF(K379&lt;&gt;"",K379&amp;" ("&amp;M379&amp;")",M379),"")</f>
      </c>
      <c r="Z379">
        <f>IF(O379="Sí",COUNTIFS($D$2:D379,D379,$O$2:O379,"Sí"),"")</f>
      </c>
      <c r="AA379">
        <f>IF(Z379&lt;&gt;"",D379&amp;"|"&amp;Z379,"")</f>
      </c>
      <c r="AB379">
        <f>IF(AA379&lt;&gt;"",IF(K379&lt;&gt;"",K379&amp;" ("&amp;M379&amp;")",M379),"")</f>
      </c>
      <c r="AC379">
        <f>IF($B379="","fecha, ","")&amp;IF($C379="","quién lo introduce, ","")&amp;IF($I379="","motivo, ","")&amp;IF($K379="","docente, ","")&amp;IF($L379="","horario, ","")&amp;IF($N379="","duración, ","")&amp;IF($Q379="","estado, ","")&amp;IF(AND($I379="Otros",$J379=""),"detalle del motivo, ","")&amp;IF(AND($O379="Sí",$P379=""),"detalle del refuerzo, ","")&amp;IF(AND(OR($I379="Renuncia (hasta 30 nov)",$I379="Baja (desde 1 dic)",$I379="Renuncia excepcional (art. 25.3)",$I379="Traslado de expediente"),OR($E379="",$F379="",$G379="")),"quién deja la plaza, ","")&amp;IF(AND($Q379="No disponible",$R379=""),"vía de cobertura, ","")&amp;IF(AND(OR($R379="Lista de espera · propio centro",$R379="Traslado de expediente",$R379="Lista de espera · otro centro"),OR($S379="",$T379="",$U379="")),"quién ocupa la plaza, ","")</f>
      </c>
      <c r="AD379" s="24">
        <f>IF($D379="","",IF(AND(LEN($AC379)=0,LEN($AK379)=0),"Completa",IF(LEN($AC379)=0,"Revisar: "&amp;LEFT($AK379,LEN($AK379)-2),"Falta: "&amp;LEFT($AC379,LEN($AC379)-2)&amp;IF(LEN($AK379)&gt;0,"  ·  Revisar: "&amp;LEFT($AK379,LEN($AK379)-2),""))))</f>
      </c>
      <c r="AE379">
        <f>IF(AND($D379&lt;&gt;"",OR($I379="Renuncia (hasta 30 nov)",$I379="Baja (desde 1 dic)",$I379="Renuncia excepcional (art. 25.3)",$I379="Traslado de expediente")),COUNTIF($AE$1:AE378,"&gt;0")+1,"")</f>
      </c>
      <c r="AF379">
        <f>IF($Q379="Disponible",COUNTIF($AF$1:AF378,"&gt;0")+1,"")</f>
      </c>
      <c r="AG379">
        <f>IF($O379="Sí",COUNTIF($AG$1:AG378,"&gt;0")+1,"")</f>
      </c>
      <c r="AH379">
        <f>IF(AND($Q379="Disponible",$O379&lt;&gt;"Sí"),COUNTIF($AH$1:AH378,"&gt;0")+1,"")</f>
      </c>
      <c r="AI379">
        <f>IF(AND($Q379="Disponible",$K379&lt;&gt;""),COUNTIFS($K$2:K379,K379,$Q$2:Q379,"Disponible"),"")</f>
      </c>
      <c r="AJ379">
        <f>IF(AI379&lt;&gt;"",K379&amp;"|"&amp;AI379,"")</f>
      </c>
      <c r="AK379">
        <f>IF(AND($Q379="No disponible",OR($R379="Lista de espera · propio centro",$R379="Traslado de expediente",$R379="Lista de espera · otro centro"),$O379="Sí"),"la plaza ya tiene alumno y sigue marcada como refuerzo, ","")&amp;IF(AND($R379="Reconvertida en refuerzo",$O379&lt;&gt;"Sí"),"reconvertida en refuerzo pero sin marcar «En uso como refuerzo», ","")</f>
      </c>
    </row>
    <row r="380" spans="1:37">
      <c r="A380" s="20">
        <f>IF(D380&lt;&gt;"",ROW()-1,"")</f>
      </c>
      <c r="B380" s="55"/>
      <c r="C380" s="56"/>
      <c r="D380" s="56"/>
      <c r="E380" s="56"/>
      <c r="F380" s="56"/>
      <c r="G380" s="56"/>
      <c r="H380" s="56"/>
      <c r="I380" s="56"/>
      <c r="J380" s="57"/>
      <c r="K380" s="56"/>
      <c r="L380" s="58"/>
      <c r="M380" s="58">
        <f>IF(L380="","",L380)</f>
      </c>
      <c r="N380" s="56"/>
      <c r="O380" s="56"/>
      <c r="P380" s="57"/>
      <c r="Q380" s="56"/>
      <c r="R380" s="56"/>
      <c r="S380" s="56"/>
      <c r="T380" s="56"/>
      <c r="U380" s="56"/>
      <c r="V380" s="57"/>
      <c r="W380">
        <f>IF(Q380="Disponible",COUNTIFS($D$2:D380,D380,$Q$2:Q380,"Disponible"),"")</f>
      </c>
      <c r="X380">
        <f>IF(W380&lt;&gt;"",D380&amp;"|"&amp;W380,"")</f>
      </c>
      <c r="Y380">
        <f>IF(X380&lt;&gt;"",IF(K380&lt;&gt;"",K380&amp;" ("&amp;M380&amp;")",M380),"")</f>
      </c>
      <c r="Z380">
        <f>IF(O380="Sí",COUNTIFS($D$2:D380,D380,$O$2:O380,"Sí"),"")</f>
      </c>
      <c r="AA380">
        <f>IF(Z380&lt;&gt;"",D380&amp;"|"&amp;Z380,"")</f>
      </c>
      <c r="AB380">
        <f>IF(AA380&lt;&gt;"",IF(K380&lt;&gt;"",K380&amp;" ("&amp;M380&amp;")",M380),"")</f>
      </c>
      <c r="AC380">
        <f>IF($B380="","fecha, ","")&amp;IF($C380="","quién lo introduce, ","")&amp;IF($I380="","motivo, ","")&amp;IF($K380="","docente, ","")&amp;IF($L380="","horario, ","")&amp;IF($N380="","duración, ","")&amp;IF($Q380="","estado, ","")&amp;IF(AND($I380="Otros",$J380=""),"detalle del motivo, ","")&amp;IF(AND($O380="Sí",$P380=""),"detalle del refuerzo, ","")&amp;IF(AND(OR($I380="Renuncia (hasta 30 nov)",$I380="Baja (desde 1 dic)",$I380="Renuncia excepcional (art. 25.3)",$I380="Traslado de expediente"),OR($E380="",$F380="",$G380="")),"quién deja la plaza, ","")&amp;IF(AND($Q380="No disponible",$R380=""),"vía de cobertura, ","")&amp;IF(AND(OR($R380="Lista de espera · propio centro",$R380="Traslado de expediente",$R380="Lista de espera · otro centro"),OR($S380="",$T380="",$U380="")),"quién ocupa la plaza, ","")</f>
      </c>
      <c r="AD380" s="24">
        <f>IF($D380="","",IF(AND(LEN($AC380)=0,LEN($AK380)=0),"Completa",IF(LEN($AC380)=0,"Revisar: "&amp;LEFT($AK380,LEN($AK380)-2),"Falta: "&amp;LEFT($AC380,LEN($AC380)-2)&amp;IF(LEN($AK380)&gt;0,"  ·  Revisar: "&amp;LEFT($AK380,LEN($AK380)-2),""))))</f>
      </c>
      <c r="AE380">
        <f>IF(AND($D380&lt;&gt;"",OR($I380="Renuncia (hasta 30 nov)",$I380="Baja (desde 1 dic)",$I380="Renuncia excepcional (art. 25.3)",$I380="Traslado de expediente")),COUNTIF($AE$1:AE379,"&gt;0")+1,"")</f>
      </c>
      <c r="AF380">
        <f>IF($Q380="Disponible",COUNTIF($AF$1:AF379,"&gt;0")+1,"")</f>
      </c>
      <c r="AG380">
        <f>IF($O380="Sí",COUNTIF($AG$1:AG379,"&gt;0")+1,"")</f>
      </c>
      <c r="AH380">
        <f>IF(AND($Q380="Disponible",$O380&lt;&gt;"Sí"),COUNTIF($AH$1:AH379,"&gt;0")+1,"")</f>
      </c>
      <c r="AI380">
        <f>IF(AND($Q380="Disponible",$K380&lt;&gt;""),COUNTIFS($K$2:K380,K380,$Q$2:Q380,"Disponible"),"")</f>
      </c>
      <c r="AJ380">
        <f>IF(AI380&lt;&gt;"",K380&amp;"|"&amp;AI380,"")</f>
      </c>
      <c r="AK380">
        <f>IF(AND($Q380="No disponible",OR($R380="Lista de espera · propio centro",$R380="Traslado de expediente",$R380="Lista de espera · otro centro"),$O380="Sí"),"la plaza ya tiene alumno y sigue marcada como refuerzo, ","")&amp;IF(AND($R380="Reconvertida en refuerzo",$O380&lt;&gt;"Sí"),"reconvertida en refuerzo pero sin marcar «En uso como refuerzo», ","")</f>
      </c>
    </row>
    <row r="381" spans="1:37">
      <c r="A381" s="20">
        <f>IF(D381&lt;&gt;"",ROW()-1,"")</f>
      </c>
      <c r="B381" s="55"/>
      <c r="C381" s="56"/>
      <c r="D381" s="56"/>
      <c r="E381" s="56"/>
      <c r="F381" s="56"/>
      <c r="G381" s="56"/>
      <c r="H381" s="56"/>
      <c r="I381" s="56"/>
      <c r="J381" s="57"/>
      <c r="K381" s="56"/>
      <c r="L381" s="58"/>
      <c r="M381" s="58">
        <f>IF(L381="","",L381)</f>
      </c>
      <c r="N381" s="56"/>
      <c r="O381" s="56"/>
      <c r="P381" s="57"/>
      <c r="Q381" s="56"/>
      <c r="R381" s="56"/>
      <c r="S381" s="56"/>
      <c r="T381" s="56"/>
      <c r="U381" s="56"/>
      <c r="V381" s="57"/>
      <c r="W381">
        <f>IF(Q381="Disponible",COUNTIFS($D$2:D381,D381,$Q$2:Q381,"Disponible"),"")</f>
      </c>
      <c r="X381">
        <f>IF(W381&lt;&gt;"",D381&amp;"|"&amp;W381,"")</f>
      </c>
      <c r="Y381">
        <f>IF(X381&lt;&gt;"",IF(K381&lt;&gt;"",K381&amp;" ("&amp;M381&amp;")",M381),"")</f>
      </c>
      <c r="Z381">
        <f>IF(O381="Sí",COUNTIFS($D$2:D381,D381,$O$2:O381,"Sí"),"")</f>
      </c>
      <c r="AA381">
        <f>IF(Z381&lt;&gt;"",D381&amp;"|"&amp;Z381,"")</f>
      </c>
      <c r="AB381">
        <f>IF(AA381&lt;&gt;"",IF(K381&lt;&gt;"",K381&amp;" ("&amp;M381&amp;")",M381),"")</f>
      </c>
      <c r="AC381">
        <f>IF($B381="","fecha, ","")&amp;IF($C381="","quién lo introduce, ","")&amp;IF($I381="","motivo, ","")&amp;IF($K381="","docente, ","")&amp;IF($L381="","horario, ","")&amp;IF($N381="","duración, ","")&amp;IF($Q381="","estado, ","")&amp;IF(AND($I381="Otros",$J381=""),"detalle del motivo, ","")&amp;IF(AND($O381="Sí",$P381=""),"detalle del refuerzo, ","")&amp;IF(AND(OR($I381="Renuncia (hasta 30 nov)",$I381="Baja (desde 1 dic)",$I381="Renuncia excepcional (art. 25.3)",$I381="Traslado de expediente"),OR($E381="",$F381="",$G381="")),"quién deja la plaza, ","")&amp;IF(AND($Q381="No disponible",$R381=""),"vía de cobertura, ","")&amp;IF(AND(OR($R381="Lista de espera · propio centro",$R381="Traslado de expediente",$R381="Lista de espera · otro centro"),OR($S381="",$T381="",$U381="")),"quién ocupa la plaza, ","")</f>
      </c>
      <c r="AD381" s="24">
        <f>IF($D381="","",IF(AND(LEN($AC381)=0,LEN($AK381)=0),"Completa",IF(LEN($AC381)=0,"Revisar: "&amp;LEFT($AK381,LEN($AK381)-2),"Falta: "&amp;LEFT($AC381,LEN($AC381)-2)&amp;IF(LEN($AK381)&gt;0,"  ·  Revisar: "&amp;LEFT($AK381,LEN($AK381)-2),""))))</f>
      </c>
      <c r="AE381">
        <f>IF(AND($D381&lt;&gt;"",OR($I381="Renuncia (hasta 30 nov)",$I381="Baja (desde 1 dic)",$I381="Renuncia excepcional (art. 25.3)",$I381="Traslado de expediente")),COUNTIF($AE$1:AE380,"&gt;0")+1,"")</f>
      </c>
      <c r="AF381">
        <f>IF($Q381="Disponible",COUNTIF($AF$1:AF380,"&gt;0")+1,"")</f>
      </c>
      <c r="AG381">
        <f>IF($O381="Sí",COUNTIF($AG$1:AG380,"&gt;0")+1,"")</f>
      </c>
      <c r="AH381">
        <f>IF(AND($Q381="Disponible",$O381&lt;&gt;"Sí"),COUNTIF($AH$1:AH380,"&gt;0")+1,"")</f>
      </c>
      <c r="AI381">
        <f>IF(AND($Q381="Disponible",$K381&lt;&gt;""),COUNTIFS($K$2:K381,K381,$Q$2:Q381,"Disponible"),"")</f>
      </c>
      <c r="AJ381">
        <f>IF(AI381&lt;&gt;"",K381&amp;"|"&amp;AI381,"")</f>
      </c>
      <c r="AK381">
        <f>IF(AND($Q381="No disponible",OR($R381="Lista de espera · propio centro",$R381="Traslado de expediente",$R381="Lista de espera · otro centro"),$O381="Sí"),"la plaza ya tiene alumno y sigue marcada como refuerzo, ","")&amp;IF(AND($R381="Reconvertida en refuerzo",$O381&lt;&gt;"Sí"),"reconvertida en refuerzo pero sin marcar «En uso como refuerzo», ","")</f>
      </c>
    </row>
    <row r="382" spans="1:37">
      <c r="A382" s="20">
        <f>IF(D382&lt;&gt;"",ROW()-1,"")</f>
      </c>
      <c r="B382" s="55"/>
      <c r="C382" s="56"/>
      <c r="D382" s="56"/>
      <c r="E382" s="56"/>
      <c r="F382" s="56"/>
      <c r="G382" s="56"/>
      <c r="H382" s="56"/>
      <c r="I382" s="56"/>
      <c r="J382" s="57"/>
      <c r="K382" s="56"/>
      <c r="L382" s="58"/>
      <c r="M382" s="58">
        <f>IF(L382="","",L382)</f>
      </c>
      <c r="N382" s="56"/>
      <c r="O382" s="56"/>
      <c r="P382" s="57"/>
      <c r="Q382" s="56"/>
      <c r="R382" s="56"/>
      <c r="S382" s="56"/>
      <c r="T382" s="56"/>
      <c r="U382" s="56"/>
      <c r="V382" s="57"/>
      <c r="W382">
        <f>IF(Q382="Disponible",COUNTIFS($D$2:D382,D382,$Q$2:Q382,"Disponible"),"")</f>
      </c>
      <c r="X382">
        <f>IF(W382&lt;&gt;"",D382&amp;"|"&amp;W382,"")</f>
      </c>
      <c r="Y382">
        <f>IF(X382&lt;&gt;"",IF(K382&lt;&gt;"",K382&amp;" ("&amp;M382&amp;")",M382),"")</f>
      </c>
      <c r="Z382">
        <f>IF(O382="Sí",COUNTIFS($D$2:D382,D382,$O$2:O382,"Sí"),"")</f>
      </c>
      <c r="AA382">
        <f>IF(Z382&lt;&gt;"",D382&amp;"|"&amp;Z382,"")</f>
      </c>
      <c r="AB382">
        <f>IF(AA382&lt;&gt;"",IF(K382&lt;&gt;"",K382&amp;" ("&amp;M382&amp;")",M382),"")</f>
      </c>
      <c r="AC382">
        <f>IF($B382="","fecha, ","")&amp;IF($C382="","quién lo introduce, ","")&amp;IF($I382="","motivo, ","")&amp;IF($K382="","docente, ","")&amp;IF($L382="","horario, ","")&amp;IF($N382="","duración, ","")&amp;IF($Q382="","estado, ","")&amp;IF(AND($I382="Otros",$J382=""),"detalle del motivo, ","")&amp;IF(AND($O382="Sí",$P382=""),"detalle del refuerzo, ","")&amp;IF(AND(OR($I382="Renuncia (hasta 30 nov)",$I382="Baja (desde 1 dic)",$I382="Renuncia excepcional (art. 25.3)",$I382="Traslado de expediente"),OR($E382="",$F382="",$G382="")),"quién deja la plaza, ","")&amp;IF(AND($Q382="No disponible",$R382=""),"vía de cobertura, ","")&amp;IF(AND(OR($R382="Lista de espera · propio centro",$R382="Traslado de expediente",$R382="Lista de espera · otro centro"),OR($S382="",$T382="",$U382="")),"quién ocupa la plaza, ","")</f>
      </c>
      <c r="AD382" s="24">
        <f>IF($D382="","",IF(AND(LEN($AC382)=0,LEN($AK382)=0),"Completa",IF(LEN($AC382)=0,"Revisar: "&amp;LEFT($AK382,LEN($AK382)-2),"Falta: "&amp;LEFT($AC382,LEN($AC382)-2)&amp;IF(LEN($AK382)&gt;0,"  ·  Revisar: "&amp;LEFT($AK382,LEN($AK382)-2),""))))</f>
      </c>
      <c r="AE382">
        <f>IF(AND($D382&lt;&gt;"",OR($I382="Renuncia (hasta 30 nov)",$I382="Baja (desde 1 dic)",$I382="Renuncia excepcional (art. 25.3)",$I382="Traslado de expediente")),COUNTIF($AE$1:AE381,"&gt;0")+1,"")</f>
      </c>
      <c r="AF382">
        <f>IF($Q382="Disponible",COUNTIF($AF$1:AF381,"&gt;0")+1,"")</f>
      </c>
      <c r="AG382">
        <f>IF($O382="Sí",COUNTIF($AG$1:AG381,"&gt;0")+1,"")</f>
      </c>
      <c r="AH382">
        <f>IF(AND($Q382="Disponible",$O382&lt;&gt;"Sí"),COUNTIF($AH$1:AH381,"&gt;0")+1,"")</f>
      </c>
      <c r="AI382">
        <f>IF(AND($Q382="Disponible",$K382&lt;&gt;""),COUNTIFS($K$2:K382,K382,$Q$2:Q382,"Disponible"),"")</f>
      </c>
      <c r="AJ382">
        <f>IF(AI382&lt;&gt;"",K382&amp;"|"&amp;AI382,"")</f>
      </c>
      <c r="AK382">
        <f>IF(AND($Q382="No disponible",OR($R382="Lista de espera · propio centro",$R382="Traslado de expediente",$R382="Lista de espera · otro centro"),$O382="Sí"),"la plaza ya tiene alumno y sigue marcada como refuerzo, ","")&amp;IF(AND($R382="Reconvertida en refuerzo",$O382&lt;&gt;"Sí"),"reconvertida en refuerzo pero sin marcar «En uso como refuerzo», ","")</f>
      </c>
    </row>
    <row r="383" spans="1:37">
      <c r="A383" s="20">
        <f>IF(D383&lt;&gt;"",ROW()-1,"")</f>
      </c>
      <c r="B383" s="55"/>
      <c r="C383" s="56"/>
      <c r="D383" s="56"/>
      <c r="E383" s="56"/>
      <c r="F383" s="56"/>
      <c r="G383" s="56"/>
      <c r="H383" s="56"/>
      <c r="I383" s="56"/>
      <c r="J383" s="57"/>
      <c r="K383" s="56"/>
      <c r="L383" s="58"/>
      <c r="M383" s="58">
        <f>IF(L383="","",L383)</f>
      </c>
      <c r="N383" s="56"/>
      <c r="O383" s="56"/>
      <c r="P383" s="57"/>
      <c r="Q383" s="56"/>
      <c r="R383" s="56"/>
      <c r="S383" s="56"/>
      <c r="T383" s="56"/>
      <c r="U383" s="56"/>
      <c r="V383" s="57"/>
      <c r="W383">
        <f>IF(Q383="Disponible",COUNTIFS($D$2:D383,D383,$Q$2:Q383,"Disponible"),"")</f>
      </c>
      <c r="X383">
        <f>IF(W383&lt;&gt;"",D383&amp;"|"&amp;W383,"")</f>
      </c>
      <c r="Y383">
        <f>IF(X383&lt;&gt;"",IF(K383&lt;&gt;"",K383&amp;" ("&amp;M383&amp;")",M383),"")</f>
      </c>
      <c r="Z383">
        <f>IF(O383="Sí",COUNTIFS($D$2:D383,D383,$O$2:O383,"Sí"),"")</f>
      </c>
      <c r="AA383">
        <f>IF(Z383&lt;&gt;"",D383&amp;"|"&amp;Z383,"")</f>
      </c>
      <c r="AB383">
        <f>IF(AA383&lt;&gt;"",IF(K383&lt;&gt;"",K383&amp;" ("&amp;M383&amp;")",M383),"")</f>
      </c>
      <c r="AC383">
        <f>IF($B383="","fecha, ","")&amp;IF($C383="","quién lo introduce, ","")&amp;IF($I383="","motivo, ","")&amp;IF($K383="","docente, ","")&amp;IF($L383="","horario, ","")&amp;IF($N383="","duración, ","")&amp;IF($Q383="","estado, ","")&amp;IF(AND($I383="Otros",$J383=""),"detalle del motivo, ","")&amp;IF(AND($O383="Sí",$P383=""),"detalle del refuerzo, ","")&amp;IF(AND(OR($I383="Renuncia (hasta 30 nov)",$I383="Baja (desde 1 dic)",$I383="Renuncia excepcional (art. 25.3)",$I383="Traslado de expediente"),OR($E383="",$F383="",$G383="")),"quién deja la plaza, ","")&amp;IF(AND($Q383="No disponible",$R383=""),"vía de cobertura, ","")&amp;IF(AND(OR($R383="Lista de espera · propio centro",$R383="Traslado de expediente",$R383="Lista de espera · otro centro"),OR($S383="",$T383="",$U383="")),"quién ocupa la plaza, ","")</f>
      </c>
      <c r="AD383" s="24">
        <f>IF($D383="","",IF(AND(LEN($AC383)=0,LEN($AK383)=0),"Completa",IF(LEN($AC383)=0,"Revisar: "&amp;LEFT($AK383,LEN($AK383)-2),"Falta: "&amp;LEFT($AC383,LEN($AC383)-2)&amp;IF(LEN($AK383)&gt;0,"  ·  Revisar: "&amp;LEFT($AK383,LEN($AK383)-2),""))))</f>
      </c>
      <c r="AE383">
        <f>IF(AND($D383&lt;&gt;"",OR($I383="Renuncia (hasta 30 nov)",$I383="Baja (desde 1 dic)",$I383="Renuncia excepcional (art. 25.3)",$I383="Traslado de expediente")),COUNTIF($AE$1:AE382,"&gt;0")+1,"")</f>
      </c>
      <c r="AF383">
        <f>IF($Q383="Disponible",COUNTIF($AF$1:AF382,"&gt;0")+1,"")</f>
      </c>
      <c r="AG383">
        <f>IF($O383="Sí",COUNTIF($AG$1:AG382,"&gt;0")+1,"")</f>
      </c>
      <c r="AH383">
        <f>IF(AND($Q383="Disponible",$O383&lt;&gt;"Sí"),COUNTIF($AH$1:AH382,"&gt;0")+1,"")</f>
      </c>
      <c r="AI383">
        <f>IF(AND($Q383="Disponible",$K383&lt;&gt;""),COUNTIFS($K$2:K383,K383,$Q$2:Q383,"Disponible"),"")</f>
      </c>
      <c r="AJ383">
        <f>IF(AI383&lt;&gt;"",K383&amp;"|"&amp;AI383,"")</f>
      </c>
      <c r="AK383">
        <f>IF(AND($Q383="No disponible",OR($R383="Lista de espera · propio centro",$R383="Traslado de expediente",$R383="Lista de espera · otro centro"),$O383="Sí"),"la plaza ya tiene alumno y sigue marcada como refuerzo, ","")&amp;IF(AND($R383="Reconvertida en refuerzo",$O383&lt;&gt;"Sí"),"reconvertida en refuerzo pero sin marcar «En uso como refuerzo», ","")</f>
      </c>
    </row>
    <row r="384" spans="1:37">
      <c r="A384" s="20">
        <f>IF(D384&lt;&gt;"",ROW()-1,"")</f>
      </c>
      <c r="B384" s="55"/>
      <c r="C384" s="56"/>
      <c r="D384" s="56"/>
      <c r="E384" s="56"/>
      <c r="F384" s="56"/>
      <c r="G384" s="56"/>
      <c r="H384" s="56"/>
      <c r="I384" s="56"/>
      <c r="J384" s="57"/>
      <c r="K384" s="56"/>
      <c r="L384" s="58"/>
      <c r="M384" s="58">
        <f>IF(L384="","",L384)</f>
      </c>
      <c r="N384" s="56"/>
      <c r="O384" s="56"/>
      <c r="P384" s="57"/>
      <c r="Q384" s="56"/>
      <c r="R384" s="56"/>
      <c r="S384" s="56"/>
      <c r="T384" s="56"/>
      <c r="U384" s="56"/>
      <c r="V384" s="57"/>
      <c r="W384">
        <f>IF(Q384="Disponible",COUNTIFS($D$2:D384,D384,$Q$2:Q384,"Disponible"),"")</f>
      </c>
      <c r="X384">
        <f>IF(W384&lt;&gt;"",D384&amp;"|"&amp;W384,"")</f>
      </c>
      <c r="Y384">
        <f>IF(X384&lt;&gt;"",IF(K384&lt;&gt;"",K384&amp;" ("&amp;M384&amp;")",M384),"")</f>
      </c>
      <c r="Z384">
        <f>IF(O384="Sí",COUNTIFS($D$2:D384,D384,$O$2:O384,"Sí"),"")</f>
      </c>
      <c r="AA384">
        <f>IF(Z384&lt;&gt;"",D384&amp;"|"&amp;Z384,"")</f>
      </c>
      <c r="AB384">
        <f>IF(AA384&lt;&gt;"",IF(K384&lt;&gt;"",K384&amp;" ("&amp;M384&amp;")",M384),"")</f>
      </c>
      <c r="AC384">
        <f>IF($B384="","fecha, ","")&amp;IF($C384="","quién lo introduce, ","")&amp;IF($I384="","motivo, ","")&amp;IF($K384="","docente, ","")&amp;IF($L384="","horario, ","")&amp;IF($N384="","duración, ","")&amp;IF($Q384="","estado, ","")&amp;IF(AND($I384="Otros",$J384=""),"detalle del motivo, ","")&amp;IF(AND($O384="Sí",$P384=""),"detalle del refuerzo, ","")&amp;IF(AND(OR($I384="Renuncia (hasta 30 nov)",$I384="Baja (desde 1 dic)",$I384="Renuncia excepcional (art. 25.3)",$I384="Traslado de expediente"),OR($E384="",$F384="",$G384="")),"quién deja la plaza, ","")&amp;IF(AND($Q384="No disponible",$R384=""),"vía de cobertura, ","")&amp;IF(AND(OR($R384="Lista de espera · propio centro",$R384="Traslado de expediente",$R384="Lista de espera · otro centro"),OR($S384="",$T384="",$U384="")),"quién ocupa la plaza, ","")</f>
      </c>
      <c r="AD384" s="24">
        <f>IF($D384="","",IF(AND(LEN($AC384)=0,LEN($AK384)=0),"Completa",IF(LEN($AC384)=0,"Revisar: "&amp;LEFT($AK384,LEN($AK384)-2),"Falta: "&amp;LEFT($AC384,LEN($AC384)-2)&amp;IF(LEN($AK384)&gt;0,"  ·  Revisar: "&amp;LEFT($AK384,LEN($AK384)-2),""))))</f>
      </c>
      <c r="AE384">
        <f>IF(AND($D384&lt;&gt;"",OR($I384="Renuncia (hasta 30 nov)",$I384="Baja (desde 1 dic)",$I384="Renuncia excepcional (art. 25.3)",$I384="Traslado de expediente")),COUNTIF($AE$1:AE383,"&gt;0")+1,"")</f>
      </c>
      <c r="AF384">
        <f>IF($Q384="Disponible",COUNTIF($AF$1:AF383,"&gt;0")+1,"")</f>
      </c>
      <c r="AG384">
        <f>IF($O384="Sí",COUNTIF($AG$1:AG383,"&gt;0")+1,"")</f>
      </c>
      <c r="AH384">
        <f>IF(AND($Q384="Disponible",$O384&lt;&gt;"Sí"),COUNTIF($AH$1:AH383,"&gt;0")+1,"")</f>
      </c>
      <c r="AI384">
        <f>IF(AND($Q384="Disponible",$K384&lt;&gt;""),COUNTIFS($K$2:K384,K384,$Q$2:Q384,"Disponible"),"")</f>
      </c>
      <c r="AJ384">
        <f>IF(AI384&lt;&gt;"",K384&amp;"|"&amp;AI384,"")</f>
      </c>
      <c r="AK384">
        <f>IF(AND($Q384="No disponible",OR($R384="Lista de espera · propio centro",$R384="Traslado de expediente",$R384="Lista de espera · otro centro"),$O384="Sí"),"la plaza ya tiene alumno y sigue marcada como refuerzo, ","")&amp;IF(AND($R384="Reconvertida en refuerzo",$O384&lt;&gt;"Sí"),"reconvertida en refuerzo pero sin marcar «En uso como refuerzo», ","")</f>
      </c>
    </row>
    <row r="385" spans="1:37">
      <c r="A385" s="20">
        <f>IF(D385&lt;&gt;"",ROW()-1,"")</f>
      </c>
      <c r="B385" s="55"/>
      <c r="C385" s="56"/>
      <c r="D385" s="56"/>
      <c r="E385" s="56"/>
      <c r="F385" s="56"/>
      <c r="G385" s="56"/>
      <c r="H385" s="56"/>
      <c r="I385" s="56"/>
      <c r="J385" s="57"/>
      <c r="K385" s="56"/>
      <c r="L385" s="58"/>
      <c r="M385" s="58">
        <f>IF(L385="","",L385)</f>
      </c>
      <c r="N385" s="56"/>
      <c r="O385" s="56"/>
      <c r="P385" s="57"/>
      <c r="Q385" s="56"/>
      <c r="R385" s="56"/>
      <c r="S385" s="56"/>
      <c r="T385" s="56"/>
      <c r="U385" s="56"/>
      <c r="V385" s="57"/>
      <c r="W385">
        <f>IF(Q385="Disponible",COUNTIFS($D$2:D385,D385,$Q$2:Q385,"Disponible"),"")</f>
      </c>
      <c r="X385">
        <f>IF(W385&lt;&gt;"",D385&amp;"|"&amp;W385,"")</f>
      </c>
      <c r="Y385">
        <f>IF(X385&lt;&gt;"",IF(K385&lt;&gt;"",K385&amp;" ("&amp;M385&amp;")",M385),"")</f>
      </c>
      <c r="Z385">
        <f>IF(O385="Sí",COUNTIFS($D$2:D385,D385,$O$2:O385,"Sí"),"")</f>
      </c>
      <c r="AA385">
        <f>IF(Z385&lt;&gt;"",D385&amp;"|"&amp;Z385,"")</f>
      </c>
      <c r="AB385">
        <f>IF(AA385&lt;&gt;"",IF(K385&lt;&gt;"",K385&amp;" ("&amp;M385&amp;")",M385),"")</f>
      </c>
      <c r="AC385">
        <f>IF($B385="","fecha, ","")&amp;IF($C385="","quién lo introduce, ","")&amp;IF($I385="","motivo, ","")&amp;IF($K385="","docente, ","")&amp;IF($L385="","horario, ","")&amp;IF($N385="","duración, ","")&amp;IF($Q385="","estado, ","")&amp;IF(AND($I385="Otros",$J385=""),"detalle del motivo, ","")&amp;IF(AND($O385="Sí",$P385=""),"detalle del refuerzo, ","")&amp;IF(AND(OR($I385="Renuncia (hasta 30 nov)",$I385="Baja (desde 1 dic)",$I385="Renuncia excepcional (art. 25.3)",$I385="Traslado de expediente"),OR($E385="",$F385="",$G385="")),"quién deja la plaza, ","")&amp;IF(AND($Q385="No disponible",$R385=""),"vía de cobertura, ","")&amp;IF(AND(OR($R385="Lista de espera · propio centro",$R385="Traslado de expediente",$R385="Lista de espera · otro centro"),OR($S385="",$T385="",$U385="")),"quién ocupa la plaza, ","")</f>
      </c>
      <c r="AD385" s="24">
        <f>IF($D385="","",IF(AND(LEN($AC385)=0,LEN($AK385)=0),"Completa",IF(LEN($AC385)=0,"Revisar: "&amp;LEFT($AK385,LEN($AK385)-2),"Falta: "&amp;LEFT($AC385,LEN($AC385)-2)&amp;IF(LEN($AK385)&gt;0,"  ·  Revisar: "&amp;LEFT($AK385,LEN($AK385)-2),""))))</f>
      </c>
      <c r="AE385">
        <f>IF(AND($D385&lt;&gt;"",OR($I385="Renuncia (hasta 30 nov)",$I385="Baja (desde 1 dic)",$I385="Renuncia excepcional (art. 25.3)",$I385="Traslado de expediente")),COUNTIF($AE$1:AE384,"&gt;0")+1,"")</f>
      </c>
      <c r="AF385">
        <f>IF($Q385="Disponible",COUNTIF($AF$1:AF384,"&gt;0")+1,"")</f>
      </c>
      <c r="AG385">
        <f>IF($O385="Sí",COUNTIF($AG$1:AG384,"&gt;0")+1,"")</f>
      </c>
      <c r="AH385">
        <f>IF(AND($Q385="Disponible",$O385&lt;&gt;"Sí"),COUNTIF($AH$1:AH384,"&gt;0")+1,"")</f>
      </c>
      <c r="AI385">
        <f>IF(AND($Q385="Disponible",$K385&lt;&gt;""),COUNTIFS($K$2:K385,K385,$Q$2:Q385,"Disponible"),"")</f>
      </c>
      <c r="AJ385">
        <f>IF(AI385&lt;&gt;"",K385&amp;"|"&amp;AI385,"")</f>
      </c>
      <c r="AK385">
        <f>IF(AND($Q385="No disponible",OR($R385="Lista de espera · propio centro",$R385="Traslado de expediente",$R385="Lista de espera · otro centro"),$O385="Sí"),"la plaza ya tiene alumno y sigue marcada como refuerzo, ","")&amp;IF(AND($R385="Reconvertida en refuerzo",$O385&lt;&gt;"Sí"),"reconvertida en refuerzo pero sin marcar «En uso como refuerzo», ","")</f>
      </c>
    </row>
    <row r="386" spans="1:37">
      <c r="A386" s="20">
        <f>IF(D386&lt;&gt;"",ROW()-1,"")</f>
      </c>
      <c r="B386" s="55"/>
      <c r="C386" s="56"/>
      <c r="D386" s="56"/>
      <c r="E386" s="56"/>
      <c r="F386" s="56"/>
      <c r="G386" s="56"/>
      <c r="H386" s="56"/>
      <c r="I386" s="56"/>
      <c r="J386" s="57"/>
      <c r="K386" s="56"/>
      <c r="L386" s="58"/>
      <c r="M386" s="58">
        <f>IF(L386="","",L386)</f>
      </c>
      <c r="N386" s="56"/>
      <c r="O386" s="56"/>
      <c r="P386" s="57"/>
      <c r="Q386" s="56"/>
      <c r="R386" s="56"/>
      <c r="S386" s="56"/>
      <c r="T386" s="56"/>
      <c r="U386" s="56"/>
      <c r="V386" s="57"/>
      <c r="W386">
        <f>IF(Q386="Disponible",COUNTIFS($D$2:D386,D386,$Q$2:Q386,"Disponible"),"")</f>
      </c>
      <c r="X386">
        <f>IF(W386&lt;&gt;"",D386&amp;"|"&amp;W386,"")</f>
      </c>
      <c r="Y386">
        <f>IF(X386&lt;&gt;"",IF(K386&lt;&gt;"",K386&amp;" ("&amp;M386&amp;")",M386),"")</f>
      </c>
      <c r="Z386">
        <f>IF(O386="Sí",COUNTIFS($D$2:D386,D386,$O$2:O386,"Sí"),"")</f>
      </c>
      <c r="AA386">
        <f>IF(Z386&lt;&gt;"",D386&amp;"|"&amp;Z386,"")</f>
      </c>
      <c r="AB386">
        <f>IF(AA386&lt;&gt;"",IF(K386&lt;&gt;"",K386&amp;" ("&amp;M386&amp;")",M386),"")</f>
      </c>
      <c r="AC386">
        <f>IF($B386="","fecha, ","")&amp;IF($C386="","quién lo introduce, ","")&amp;IF($I386="","motivo, ","")&amp;IF($K386="","docente, ","")&amp;IF($L386="","horario, ","")&amp;IF($N386="","duración, ","")&amp;IF($Q386="","estado, ","")&amp;IF(AND($I386="Otros",$J386=""),"detalle del motivo, ","")&amp;IF(AND($O386="Sí",$P386=""),"detalle del refuerzo, ","")&amp;IF(AND(OR($I386="Renuncia (hasta 30 nov)",$I386="Baja (desde 1 dic)",$I386="Renuncia excepcional (art. 25.3)",$I386="Traslado de expediente"),OR($E386="",$F386="",$G386="")),"quién deja la plaza, ","")&amp;IF(AND($Q386="No disponible",$R386=""),"vía de cobertura, ","")&amp;IF(AND(OR($R386="Lista de espera · propio centro",$R386="Traslado de expediente",$R386="Lista de espera · otro centro"),OR($S386="",$T386="",$U386="")),"quién ocupa la plaza, ","")</f>
      </c>
      <c r="AD386" s="24">
        <f>IF($D386="","",IF(AND(LEN($AC386)=0,LEN($AK386)=0),"Completa",IF(LEN($AC386)=0,"Revisar: "&amp;LEFT($AK386,LEN($AK386)-2),"Falta: "&amp;LEFT($AC386,LEN($AC386)-2)&amp;IF(LEN($AK386)&gt;0,"  ·  Revisar: "&amp;LEFT($AK386,LEN($AK386)-2),""))))</f>
      </c>
      <c r="AE386">
        <f>IF(AND($D386&lt;&gt;"",OR($I386="Renuncia (hasta 30 nov)",$I386="Baja (desde 1 dic)",$I386="Renuncia excepcional (art. 25.3)",$I386="Traslado de expediente")),COUNTIF($AE$1:AE385,"&gt;0")+1,"")</f>
      </c>
      <c r="AF386">
        <f>IF($Q386="Disponible",COUNTIF($AF$1:AF385,"&gt;0")+1,"")</f>
      </c>
      <c r="AG386">
        <f>IF($O386="Sí",COUNTIF($AG$1:AG385,"&gt;0")+1,"")</f>
      </c>
      <c r="AH386">
        <f>IF(AND($Q386="Disponible",$O386&lt;&gt;"Sí"),COUNTIF($AH$1:AH385,"&gt;0")+1,"")</f>
      </c>
      <c r="AI386">
        <f>IF(AND($Q386="Disponible",$K386&lt;&gt;""),COUNTIFS($K$2:K386,K386,$Q$2:Q386,"Disponible"),"")</f>
      </c>
      <c r="AJ386">
        <f>IF(AI386&lt;&gt;"",K386&amp;"|"&amp;AI386,"")</f>
      </c>
      <c r="AK386">
        <f>IF(AND($Q386="No disponible",OR($R386="Lista de espera · propio centro",$R386="Traslado de expediente",$R386="Lista de espera · otro centro"),$O386="Sí"),"la plaza ya tiene alumno y sigue marcada como refuerzo, ","")&amp;IF(AND($R386="Reconvertida en refuerzo",$O386&lt;&gt;"Sí"),"reconvertida en refuerzo pero sin marcar «En uso como refuerzo», ","")</f>
      </c>
    </row>
    <row r="387" spans="1:37">
      <c r="A387" s="20">
        <f>IF(D387&lt;&gt;"",ROW()-1,"")</f>
      </c>
      <c r="B387" s="55"/>
      <c r="C387" s="56"/>
      <c r="D387" s="56"/>
      <c r="E387" s="56"/>
      <c r="F387" s="56"/>
      <c r="G387" s="56"/>
      <c r="H387" s="56"/>
      <c r="I387" s="56"/>
      <c r="J387" s="57"/>
      <c r="K387" s="56"/>
      <c r="L387" s="58"/>
      <c r="M387" s="58">
        <f>IF(L387="","",L387)</f>
      </c>
      <c r="N387" s="56"/>
      <c r="O387" s="56"/>
      <c r="P387" s="57"/>
      <c r="Q387" s="56"/>
      <c r="R387" s="56"/>
      <c r="S387" s="56"/>
      <c r="T387" s="56"/>
      <c r="U387" s="56"/>
      <c r="V387" s="57"/>
      <c r="W387">
        <f>IF(Q387="Disponible",COUNTIFS($D$2:D387,D387,$Q$2:Q387,"Disponible"),"")</f>
      </c>
      <c r="X387">
        <f>IF(W387&lt;&gt;"",D387&amp;"|"&amp;W387,"")</f>
      </c>
      <c r="Y387">
        <f>IF(X387&lt;&gt;"",IF(K387&lt;&gt;"",K387&amp;" ("&amp;M387&amp;")",M387),"")</f>
      </c>
      <c r="Z387">
        <f>IF(O387="Sí",COUNTIFS($D$2:D387,D387,$O$2:O387,"Sí"),"")</f>
      </c>
      <c r="AA387">
        <f>IF(Z387&lt;&gt;"",D387&amp;"|"&amp;Z387,"")</f>
      </c>
      <c r="AB387">
        <f>IF(AA387&lt;&gt;"",IF(K387&lt;&gt;"",K387&amp;" ("&amp;M387&amp;")",M387),"")</f>
      </c>
      <c r="AC387">
        <f>IF($B387="","fecha, ","")&amp;IF($C387="","quién lo introduce, ","")&amp;IF($I387="","motivo, ","")&amp;IF($K387="","docente, ","")&amp;IF($L387="","horario, ","")&amp;IF($N387="","duración, ","")&amp;IF($Q387="","estado, ","")&amp;IF(AND($I387="Otros",$J387=""),"detalle del motivo, ","")&amp;IF(AND($O387="Sí",$P387=""),"detalle del refuerzo, ","")&amp;IF(AND(OR($I387="Renuncia (hasta 30 nov)",$I387="Baja (desde 1 dic)",$I387="Renuncia excepcional (art. 25.3)",$I387="Traslado de expediente"),OR($E387="",$F387="",$G387="")),"quién deja la plaza, ","")&amp;IF(AND($Q387="No disponible",$R387=""),"vía de cobertura, ","")&amp;IF(AND(OR($R387="Lista de espera · propio centro",$R387="Traslado de expediente",$R387="Lista de espera · otro centro"),OR($S387="",$T387="",$U387="")),"quién ocupa la plaza, ","")</f>
      </c>
      <c r="AD387" s="24">
        <f>IF($D387="","",IF(AND(LEN($AC387)=0,LEN($AK387)=0),"Completa",IF(LEN($AC387)=0,"Revisar: "&amp;LEFT($AK387,LEN($AK387)-2),"Falta: "&amp;LEFT($AC387,LEN($AC387)-2)&amp;IF(LEN($AK387)&gt;0,"  ·  Revisar: "&amp;LEFT($AK387,LEN($AK387)-2),""))))</f>
      </c>
      <c r="AE387">
        <f>IF(AND($D387&lt;&gt;"",OR($I387="Renuncia (hasta 30 nov)",$I387="Baja (desde 1 dic)",$I387="Renuncia excepcional (art. 25.3)",$I387="Traslado de expediente")),COUNTIF($AE$1:AE386,"&gt;0")+1,"")</f>
      </c>
      <c r="AF387">
        <f>IF($Q387="Disponible",COUNTIF($AF$1:AF386,"&gt;0")+1,"")</f>
      </c>
      <c r="AG387">
        <f>IF($O387="Sí",COUNTIF($AG$1:AG386,"&gt;0")+1,"")</f>
      </c>
      <c r="AH387">
        <f>IF(AND($Q387="Disponible",$O387&lt;&gt;"Sí"),COUNTIF($AH$1:AH386,"&gt;0")+1,"")</f>
      </c>
      <c r="AI387">
        <f>IF(AND($Q387="Disponible",$K387&lt;&gt;""),COUNTIFS($K$2:K387,K387,$Q$2:Q387,"Disponible"),"")</f>
      </c>
      <c r="AJ387">
        <f>IF(AI387&lt;&gt;"",K387&amp;"|"&amp;AI387,"")</f>
      </c>
      <c r="AK387">
        <f>IF(AND($Q387="No disponible",OR($R387="Lista de espera · propio centro",$R387="Traslado de expediente",$R387="Lista de espera · otro centro"),$O387="Sí"),"la plaza ya tiene alumno y sigue marcada como refuerzo, ","")&amp;IF(AND($R387="Reconvertida en refuerzo",$O387&lt;&gt;"Sí"),"reconvertida en refuerzo pero sin marcar «En uso como refuerzo», ","")</f>
      </c>
    </row>
    <row r="388" spans="1:37">
      <c r="A388" s="20">
        <f>IF(D388&lt;&gt;"",ROW()-1,"")</f>
      </c>
      <c r="B388" s="55"/>
      <c r="C388" s="56"/>
      <c r="D388" s="56"/>
      <c r="E388" s="56"/>
      <c r="F388" s="56"/>
      <c r="G388" s="56"/>
      <c r="H388" s="56"/>
      <c r="I388" s="56"/>
      <c r="J388" s="57"/>
      <c r="K388" s="56"/>
      <c r="L388" s="58"/>
      <c r="M388" s="58">
        <f>IF(L388="","",L388)</f>
      </c>
      <c r="N388" s="56"/>
      <c r="O388" s="56"/>
      <c r="P388" s="57"/>
      <c r="Q388" s="56"/>
      <c r="R388" s="56"/>
      <c r="S388" s="56"/>
      <c r="T388" s="56"/>
      <c r="U388" s="56"/>
      <c r="V388" s="57"/>
      <c r="W388">
        <f>IF(Q388="Disponible",COUNTIFS($D$2:D388,D388,$Q$2:Q388,"Disponible"),"")</f>
      </c>
      <c r="X388">
        <f>IF(W388&lt;&gt;"",D388&amp;"|"&amp;W388,"")</f>
      </c>
      <c r="Y388">
        <f>IF(X388&lt;&gt;"",IF(K388&lt;&gt;"",K388&amp;" ("&amp;M388&amp;")",M388),"")</f>
      </c>
      <c r="Z388">
        <f>IF(O388="Sí",COUNTIFS($D$2:D388,D388,$O$2:O388,"Sí"),"")</f>
      </c>
      <c r="AA388">
        <f>IF(Z388&lt;&gt;"",D388&amp;"|"&amp;Z388,"")</f>
      </c>
      <c r="AB388">
        <f>IF(AA388&lt;&gt;"",IF(K388&lt;&gt;"",K388&amp;" ("&amp;M388&amp;")",M388),"")</f>
      </c>
      <c r="AC388">
        <f>IF($B388="","fecha, ","")&amp;IF($C388="","quién lo introduce, ","")&amp;IF($I388="","motivo, ","")&amp;IF($K388="","docente, ","")&amp;IF($L388="","horario, ","")&amp;IF($N388="","duración, ","")&amp;IF($Q388="","estado, ","")&amp;IF(AND($I388="Otros",$J388=""),"detalle del motivo, ","")&amp;IF(AND($O388="Sí",$P388=""),"detalle del refuerzo, ","")&amp;IF(AND(OR($I388="Renuncia (hasta 30 nov)",$I388="Baja (desde 1 dic)",$I388="Renuncia excepcional (art. 25.3)",$I388="Traslado de expediente"),OR($E388="",$F388="",$G388="")),"quién deja la plaza, ","")&amp;IF(AND($Q388="No disponible",$R388=""),"vía de cobertura, ","")&amp;IF(AND(OR($R388="Lista de espera · propio centro",$R388="Traslado de expediente",$R388="Lista de espera · otro centro"),OR($S388="",$T388="",$U388="")),"quién ocupa la plaza, ","")</f>
      </c>
      <c r="AD388" s="24">
        <f>IF($D388="","",IF(AND(LEN($AC388)=0,LEN($AK388)=0),"Completa",IF(LEN($AC388)=0,"Revisar: "&amp;LEFT($AK388,LEN($AK388)-2),"Falta: "&amp;LEFT($AC388,LEN($AC388)-2)&amp;IF(LEN($AK388)&gt;0,"  ·  Revisar: "&amp;LEFT($AK388,LEN($AK388)-2),""))))</f>
      </c>
      <c r="AE388">
        <f>IF(AND($D388&lt;&gt;"",OR($I388="Renuncia (hasta 30 nov)",$I388="Baja (desde 1 dic)",$I388="Renuncia excepcional (art. 25.3)",$I388="Traslado de expediente")),COUNTIF($AE$1:AE387,"&gt;0")+1,"")</f>
      </c>
      <c r="AF388">
        <f>IF($Q388="Disponible",COUNTIF($AF$1:AF387,"&gt;0")+1,"")</f>
      </c>
      <c r="AG388">
        <f>IF($O388="Sí",COUNTIF($AG$1:AG387,"&gt;0")+1,"")</f>
      </c>
      <c r="AH388">
        <f>IF(AND($Q388="Disponible",$O388&lt;&gt;"Sí"),COUNTIF($AH$1:AH387,"&gt;0")+1,"")</f>
      </c>
      <c r="AI388">
        <f>IF(AND($Q388="Disponible",$K388&lt;&gt;""),COUNTIFS($K$2:K388,K388,$Q$2:Q388,"Disponible"),"")</f>
      </c>
      <c r="AJ388">
        <f>IF(AI388&lt;&gt;"",K388&amp;"|"&amp;AI388,"")</f>
      </c>
      <c r="AK388">
        <f>IF(AND($Q388="No disponible",OR($R388="Lista de espera · propio centro",$R388="Traslado de expediente",$R388="Lista de espera · otro centro"),$O388="Sí"),"la plaza ya tiene alumno y sigue marcada como refuerzo, ","")&amp;IF(AND($R388="Reconvertida en refuerzo",$O388&lt;&gt;"Sí"),"reconvertida en refuerzo pero sin marcar «En uso como refuerzo», ","")</f>
      </c>
    </row>
    <row r="389" spans="1:37">
      <c r="A389" s="20">
        <f>IF(D389&lt;&gt;"",ROW()-1,"")</f>
      </c>
      <c r="B389" s="55"/>
      <c r="C389" s="56"/>
      <c r="D389" s="56"/>
      <c r="E389" s="56"/>
      <c r="F389" s="56"/>
      <c r="G389" s="56"/>
      <c r="H389" s="56"/>
      <c r="I389" s="56"/>
      <c r="J389" s="57"/>
      <c r="K389" s="56"/>
      <c r="L389" s="58"/>
      <c r="M389" s="58">
        <f>IF(L389="","",L389)</f>
      </c>
      <c r="N389" s="56"/>
      <c r="O389" s="56"/>
      <c r="P389" s="57"/>
      <c r="Q389" s="56"/>
      <c r="R389" s="56"/>
      <c r="S389" s="56"/>
      <c r="T389" s="56"/>
      <c r="U389" s="56"/>
      <c r="V389" s="57"/>
      <c r="W389">
        <f>IF(Q389="Disponible",COUNTIFS($D$2:D389,D389,$Q$2:Q389,"Disponible"),"")</f>
      </c>
      <c r="X389">
        <f>IF(W389&lt;&gt;"",D389&amp;"|"&amp;W389,"")</f>
      </c>
      <c r="Y389">
        <f>IF(X389&lt;&gt;"",IF(K389&lt;&gt;"",K389&amp;" ("&amp;M389&amp;")",M389),"")</f>
      </c>
      <c r="Z389">
        <f>IF(O389="Sí",COUNTIFS($D$2:D389,D389,$O$2:O389,"Sí"),"")</f>
      </c>
      <c r="AA389">
        <f>IF(Z389&lt;&gt;"",D389&amp;"|"&amp;Z389,"")</f>
      </c>
      <c r="AB389">
        <f>IF(AA389&lt;&gt;"",IF(K389&lt;&gt;"",K389&amp;" ("&amp;M389&amp;")",M389),"")</f>
      </c>
      <c r="AC389">
        <f>IF($B389="","fecha, ","")&amp;IF($C389="","quién lo introduce, ","")&amp;IF($I389="","motivo, ","")&amp;IF($K389="","docente, ","")&amp;IF($L389="","horario, ","")&amp;IF($N389="","duración, ","")&amp;IF($Q389="","estado, ","")&amp;IF(AND($I389="Otros",$J389=""),"detalle del motivo, ","")&amp;IF(AND($O389="Sí",$P389=""),"detalle del refuerzo, ","")&amp;IF(AND(OR($I389="Renuncia (hasta 30 nov)",$I389="Baja (desde 1 dic)",$I389="Renuncia excepcional (art. 25.3)",$I389="Traslado de expediente"),OR($E389="",$F389="",$G389="")),"quién deja la plaza, ","")&amp;IF(AND($Q389="No disponible",$R389=""),"vía de cobertura, ","")&amp;IF(AND(OR($R389="Lista de espera · propio centro",$R389="Traslado de expediente",$R389="Lista de espera · otro centro"),OR($S389="",$T389="",$U389="")),"quién ocupa la plaza, ","")</f>
      </c>
      <c r="AD389" s="24">
        <f>IF($D389="","",IF(AND(LEN($AC389)=0,LEN($AK389)=0),"Completa",IF(LEN($AC389)=0,"Revisar: "&amp;LEFT($AK389,LEN($AK389)-2),"Falta: "&amp;LEFT($AC389,LEN($AC389)-2)&amp;IF(LEN($AK389)&gt;0,"  ·  Revisar: "&amp;LEFT($AK389,LEN($AK389)-2),""))))</f>
      </c>
      <c r="AE389">
        <f>IF(AND($D389&lt;&gt;"",OR($I389="Renuncia (hasta 30 nov)",$I389="Baja (desde 1 dic)",$I389="Renuncia excepcional (art. 25.3)",$I389="Traslado de expediente")),COUNTIF($AE$1:AE388,"&gt;0")+1,"")</f>
      </c>
      <c r="AF389">
        <f>IF($Q389="Disponible",COUNTIF($AF$1:AF388,"&gt;0")+1,"")</f>
      </c>
      <c r="AG389">
        <f>IF($O389="Sí",COUNTIF($AG$1:AG388,"&gt;0")+1,"")</f>
      </c>
      <c r="AH389">
        <f>IF(AND($Q389="Disponible",$O389&lt;&gt;"Sí"),COUNTIF($AH$1:AH388,"&gt;0")+1,"")</f>
      </c>
      <c r="AI389">
        <f>IF(AND($Q389="Disponible",$K389&lt;&gt;""),COUNTIFS($K$2:K389,K389,$Q$2:Q389,"Disponible"),"")</f>
      </c>
      <c r="AJ389">
        <f>IF(AI389&lt;&gt;"",K389&amp;"|"&amp;AI389,"")</f>
      </c>
      <c r="AK389">
        <f>IF(AND($Q389="No disponible",OR($R389="Lista de espera · propio centro",$R389="Traslado de expediente",$R389="Lista de espera · otro centro"),$O389="Sí"),"la plaza ya tiene alumno y sigue marcada como refuerzo, ","")&amp;IF(AND($R389="Reconvertida en refuerzo",$O389&lt;&gt;"Sí"),"reconvertida en refuerzo pero sin marcar «En uso como refuerzo», ","")</f>
      </c>
    </row>
    <row r="390" spans="1:37">
      <c r="A390" s="20">
        <f>IF(D390&lt;&gt;"",ROW()-1,"")</f>
      </c>
      <c r="B390" s="55"/>
      <c r="C390" s="56"/>
      <c r="D390" s="56"/>
      <c r="E390" s="56"/>
      <c r="F390" s="56"/>
      <c r="G390" s="56"/>
      <c r="H390" s="56"/>
      <c r="I390" s="56"/>
      <c r="J390" s="57"/>
      <c r="K390" s="56"/>
      <c r="L390" s="58"/>
      <c r="M390" s="58">
        <f>IF(L390="","",L390)</f>
      </c>
      <c r="N390" s="56"/>
      <c r="O390" s="56"/>
      <c r="P390" s="57"/>
      <c r="Q390" s="56"/>
      <c r="R390" s="56"/>
      <c r="S390" s="56"/>
      <c r="T390" s="56"/>
      <c r="U390" s="56"/>
      <c r="V390" s="57"/>
      <c r="W390">
        <f>IF(Q390="Disponible",COUNTIFS($D$2:D390,D390,$Q$2:Q390,"Disponible"),"")</f>
      </c>
      <c r="X390">
        <f>IF(W390&lt;&gt;"",D390&amp;"|"&amp;W390,"")</f>
      </c>
      <c r="Y390">
        <f>IF(X390&lt;&gt;"",IF(K390&lt;&gt;"",K390&amp;" ("&amp;M390&amp;")",M390),"")</f>
      </c>
      <c r="Z390">
        <f>IF(O390="Sí",COUNTIFS($D$2:D390,D390,$O$2:O390,"Sí"),"")</f>
      </c>
      <c r="AA390">
        <f>IF(Z390&lt;&gt;"",D390&amp;"|"&amp;Z390,"")</f>
      </c>
      <c r="AB390">
        <f>IF(AA390&lt;&gt;"",IF(K390&lt;&gt;"",K390&amp;" ("&amp;M390&amp;")",M390),"")</f>
      </c>
      <c r="AC390">
        <f>IF($B390="","fecha, ","")&amp;IF($C390="","quién lo introduce, ","")&amp;IF($I390="","motivo, ","")&amp;IF($K390="","docente, ","")&amp;IF($L390="","horario, ","")&amp;IF($N390="","duración, ","")&amp;IF($Q390="","estado, ","")&amp;IF(AND($I390="Otros",$J390=""),"detalle del motivo, ","")&amp;IF(AND($O390="Sí",$P390=""),"detalle del refuerzo, ","")&amp;IF(AND(OR($I390="Renuncia (hasta 30 nov)",$I390="Baja (desde 1 dic)",$I390="Renuncia excepcional (art. 25.3)",$I390="Traslado de expediente"),OR($E390="",$F390="",$G390="")),"quién deja la plaza, ","")&amp;IF(AND($Q390="No disponible",$R390=""),"vía de cobertura, ","")&amp;IF(AND(OR($R390="Lista de espera · propio centro",$R390="Traslado de expediente",$R390="Lista de espera · otro centro"),OR($S390="",$T390="",$U390="")),"quién ocupa la plaza, ","")</f>
      </c>
      <c r="AD390" s="24">
        <f>IF($D390="","",IF(AND(LEN($AC390)=0,LEN($AK390)=0),"Completa",IF(LEN($AC390)=0,"Revisar: "&amp;LEFT($AK390,LEN($AK390)-2),"Falta: "&amp;LEFT($AC390,LEN($AC390)-2)&amp;IF(LEN($AK390)&gt;0,"  ·  Revisar: "&amp;LEFT($AK390,LEN($AK390)-2),""))))</f>
      </c>
      <c r="AE390">
        <f>IF(AND($D390&lt;&gt;"",OR($I390="Renuncia (hasta 30 nov)",$I390="Baja (desde 1 dic)",$I390="Renuncia excepcional (art. 25.3)",$I390="Traslado de expediente")),COUNTIF($AE$1:AE389,"&gt;0")+1,"")</f>
      </c>
      <c r="AF390">
        <f>IF($Q390="Disponible",COUNTIF($AF$1:AF389,"&gt;0")+1,"")</f>
      </c>
      <c r="AG390">
        <f>IF($O390="Sí",COUNTIF($AG$1:AG389,"&gt;0")+1,"")</f>
      </c>
      <c r="AH390">
        <f>IF(AND($Q390="Disponible",$O390&lt;&gt;"Sí"),COUNTIF($AH$1:AH389,"&gt;0")+1,"")</f>
      </c>
      <c r="AI390">
        <f>IF(AND($Q390="Disponible",$K390&lt;&gt;""),COUNTIFS($K$2:K390,K390,$Q$2:Q390,"Disponible"),"")</f>
      </c>
      <c r="AJ390">
        <f>IF(AI390&lt;&gt;"",K390&amp;"|"&amp;AI390,"")</f>
      </c>
      <c r="AK390">
        <f>IF(AND($Q390="No disponible",OR($R390="Lista de espera · propio centro",$R390="Traslado de expediente",$R390="Lista de espera · otro centro"),$O390="Sí"),"la plaza ya tiene alumno y sigue marcada como refuerzo, ","")&amp;IF(AND($R390="Reconvertida en refuerzo",$O390&lt;&gt;"Sí"),"reconvertida en refuerzo pero sin marcar «En uso como refuerzo», ","")</f>
      </c>
    </row>
    <row r="391" spans="1:37">
      <c r="A391" s="20">
        <f>IF(D391&lt;&gt;"",ROW()-1,"")</f>
      </c>
      <c r="B391" s="55"/>
      <c r="C391" s="56"/>
      <c r="D391" s="56"/>
      <c r="E391" s="56"/>
      <c r="F391" s="56"/>
      <c r="G391" s="56"/>
      <c r="H391" s="56"/>
      <c r="I391" s="56"/>
      <c r="J391" s="57"/>
      <c r="K391" s="56"/>
      <c r="L391" s="58"/>
      <c r="M391" s="58">
        <f>IF(L391="","",L391)</f>
      </c>
      <c r="N391" s="56"/>
      <c r="O391" s="56"/>
      <c r="P391" s="57"/>
      <c r="Q391" s="56"/>
      <c r="R391" s="56"/>
      <c r="S391" s="56"/>
      <c r="T391" s="56"/>
      <c r="U391" s="56"/>
      <c r="V391" s="57"/>
      <c r="W391">
        <f>IF(Q391="Disponible",COUNTIFS($D$2:D391,D391,$Q$2:Q391,"Disponible"),"")</f>
      </c>
      <c r="X391">
        <f>IF(W391&lt;&gt;"",D391&amp;"|"&amp;W391,"")</f>
      </c>
      <c r="Y391">
        <f>IF(X391&lt;&gt;"",IF(K391&lt;&gt;"",K391&amp;" ("&amp;M391&amp;")",M391),"")</f>
      </c>
      <c r="Z391">
        <f>IF(O391="Sí",COUNTIFS($D$2:D391,D391,$O$2:O391,"Sí"),"")</f>
      </c>
      <c r="AA391">
        <f>IF(Z391&lt;&gt;"",D391&amp;"|"&amp;Z391,"")</f>
      </c>
      <c r="AB391">
        <f>IF(AA391&lt;&gt;"",IF(K391&lt;&gt;"",K391&amp;" ("&amp;M391&amp;")",M391),"")</f>
      </c>
      <c r="AC391">
        <f>IF($B391="","fecha, ","")&amp;IF($C391="","quién lo introduce, ","")&amp;IF($I391="","motivo, ","")&amp;IF($K391="","docente, ","")&amp;IF($L391="","horario, ","")&amp;IF($N391="","duración, ","")&amp;IF($Q391="","estado, ","")&amp;IF(AND($I391="Otros",$J391=""),"detalle del motivo, ","")&amp;IF(AND($O391="Sí",$P391=""),"detalle del refuerzo, ","")&amp;IF(AND(OR($I391="Renuncia (hasta 30 nov)",$I391="Baja (desde 1 dic)",$I391="Renuncia excepcional (art. 25.3)",$I391="Traslado de expediente"),OR($E391="",$F391="",$G391="")),"quién deja la plaza, ","")&amp;IF(AND($Q391="No disponible",$R391=""),"vía de cobertura, ","")&amp;IF(AND(OR($R391="Lista de espera · propio centro",$R391="Traslado de expediente",$R391="Lista de espera · otro centro"),OR($S391="",$T391="",$U391="")),"quién ocupa la plaza, ","")</f>
      </c>
      <c r="AD391" s="24">
        <f>IF($D391="","",IF(AND(LEN($AC391)=0,LEN($AK391)=0),"Completa",IF(LEN($AC391)=0,"Revisar: "&amp;LEFT($AK391,LEN($AK391)-2),"Falta: "&amp;LEFT($AC391,LEN($AC391)-2)&amp;IF(LEN($AK391)&gt;0,"  ·  Revisar: "&amp;LEFT($AK391,LEN($AK391)-2),""))))</f>
      </c>
      <c r="AE391">
        <f>IF(AND($D391&lt;&gt;"",OR($I391="Renuncia (hasta 30 nov)",$I391="Baja (desde 1 dic)",$I391="Renuncia excepcional (art. 25.3)",$I391="Traslado de expediente")),COUNTIF($AE$1:AE390,"&gt;0")+1,"")</f>
      </c>
      <c r="AF391">
        <f>IF($Q391="Disponible",COUNTIF($AF$1:AF390,"&gt;0")+1,"")</f>
      </c>
      <c r="AG391">
        <f>IF($O391="Sí",COUNTIF($AG$1:AG390,"&gt;0")+1,"")</f>
      </c>
      <c r="AH391">
        <f>IF(AND($Q391="Disponible",$O391&lt;&gt;"Sí"),COUNTIF($AH$1:AH390,"&gt;0")+1,"")</f>
      </c>
      <c r="AI391">
        <f>IF(AND($Q391="Disponible",$K391&lt;&gt;""),COUNTIFS($K$2:K391,K391,$Q$2:Q391,"Disponible"),"")</f>
      </c>
      <c r="AJ391">
        <f>IF(AI391&lt;&gt;"",K391&amp;"|"&amp;AI391,"")</f>
      </c>
      <c r="AK391">
        <f>IF(AND($Q391="No disponible",OR($R391="Lista de espera · propio centro",$R391="Traslado de expediente",$R391="Lista de espera · otro centro"),$O391="Sí"),"la plaza ya tiene alumno y sigue marcada como refuerzo, ","")&amp;IF(AND($R391="Reconvertida en refuerzo",$O391&lt;&gt;"Sí"),"reconvertida en refuerzo pero sin marcar «En uso como refuerzo», ","")</f>
      </c>
    </row>
    <row r="392" spans="1:37">
      <c r="A392" s="20">
        <f>IF(D392&lt;&gt;"",ROW()-1,"")</f>
      </c>
      <c r="B392" s="55"/>
      <c r="C392" s="56"/>
      <c r="D392" s="56"/>
      <c r="E392" s="56"/>
      <c r="F392" s="56"/>
      <c r="G392" s="56"/>
      <c r="H392" s="56"/>
      <c r="I392" s="56"/>
      <c r="J392" s="57"/>
      <c r="K392" s="56"/>
      <c r="L392" s="58"/>
      <c r="M392" s="58">
        <f>IF(L392="","",L392)</f>
      </c>
      <c r="N392" s="56"/>
      <c r="O392" s="56"/>
      <c r="P392" s="57"/>
      <c r="Q392" s="56"/>
      <c r="R392" s="56"/>
      <c r="S392" s="56"/>
      <c r="T392" s="56"/>
      <c r="U392" s="56"/>
      <c r="V392" s="57"/>
      <c r="W392">
        <f>IF(Q392="Disponible",COUNTIFS($D$2:D392,D392,$Q$2:Q392,"Disponible"),"")</f>
      </c>
      <c r="X392">
        <f>IF(W392&lt;&gt;"",D392&amp;"|"&amp;W392,"")</f>
      </c>
      <c r="Y392">
        <f>IF(X392&lt;&gt;"",IF(K392&lt;&gt;"",K392&amp;" ("&amp;M392&amp;")",M392),"")</f>
      </c>
      <c r="Z392">
        <f>IF(O392="Sí",COUNTIFS($D$2:D392,D392,$O$2:O392,"Sí"),"")</f>
      </c>
      <c r="AA392">
        <f>IF(Z392&lt;&gt;"",D392&amp;"|"&amp;Z392,"")</f>
      </c>
      <c r="AB392">
        <f>IF(AA392&lt;&gt;"",IF(K392&lt;&gt;"",K392&amp;" ("&amp;M392&amp;")",M392),"")</f>
      </c>
      <c r="AC392">
        <f>IF($B392="","fecha, ","")&amp;IF($C392="","quién lo introduce, ","")&amp;IF($I392="","motivo, ","")&amp;IF($K392="","docente, ","")&amp;IF($L392="","horario, ","")&amp;IF($N392="","duración, ","")&amp;IF($Q392="","estado, ","")&amp;IF(AND($I392="Otros",$J392=""),"detalle del motivo, ","")&amp;IF(AND($O392="Sí",$P392=""),"detalle del refuerzo, ","")&amp;IF(AND(OR($I392="Renuncia (hasta 30 nov)",$I392="Baja (desde 1 dic)",$I392="Renuncia excepcional (art. 25.3)",$I392="Traslado de expediente"),OR($E392="",$F392="",$G392="")),"quién deja la plaza, ","")&amp;IF(AND($Q392="No disponible",$R392=""),"vía de cobertura, ","")&amp;IF(AND(OR($R392="Lista de espera · propio centro",$R392="Traslado de expediente",$R392="Lista de espera · otro centro"),OR($S392="",$T392="",$U392="")),"quién ocupa la plaza, ","")</f>
      </c>
      <c r="AD392" s="24">
        <f>IF($D392="","",IF(AND(LEN($AC392)=0,LEN($AK392)=0),"Completa",IF(LEN($AC392)=0,"Revisar: "&amp;LEFT($AK392,LEN($AK392)-2),"Falta: "&amp;LEFT($AC392,LEN($AC392)-2)&amp;IF(LEN($AK392)&gt;0,"  ·  Revisar: "&amp;LEFT($AK392,LEN($AK392)-2),""))))</f>
      </c>
      <c r="AE392">
        <f>IF(AND($D392&lt;&gt;"",OR($I392="Renuncia (hasta 30 nov)",$I392="Baja (desde 1 dic)",$I392="Renuncia excepcional (art. 25.3)",$I392="Traslado de expediente")),COUNTIF($AE$1:AE391,"&gt;0")+1,"")</f>
      </c>
      <c r="AF392">
        <f>IF($Q392="Disponible",COUNTIF($AF$1:AF391,"&gt;0")+1,"")</f>
      </c>
      <c r="AG392">
        <f>IF($O392="Sí",COUNTIF($AG$1:AG391,"&gt;0")+1,"")</f>
      </c>
      <c r="AH392">
        <f>IF(AND($Q392="Disponible",$O392&lt;&gt;"Sí"),COUNTIF($AH$1:AH391,"&gt;0")+1,"")</f>
      </c>
      <c r="AI392">
        <f>IF(AND($Q392="Disponible",$K392&lt;&gt;""),COUNTIFS($K$2:K392,K392,$Q$2:Q392,"Disponible"),"")</f>
      </c>
      <c r="AJ392">
        <f>IF(AI392&lt;&gt;"",K392&amp;"|"&amp;AI392,"")</f>
      </c>
      <c r="AK392">
        <f>IF(AND($Q392="No disponible",OR($R392="Lista de espera · propio centro",$R392="Traslado de expediente",$R392="Lista de espera · otro centro"),$O392="Sí"),"la plaza ya tiene alumno y sigue marcada como refuerzo, ","")&amp;IF(AND($R392="Reconvertida en refuerzo",$O392&lt;&gt;"Sí"),"reconvertida en refuerzo pero sin marcar «En uso como refuerzo», ","")</f>
      </c>
    </row>
    <row r="393" spans="1:37">
      <c r="A393" s="20">
        <f>IF(D393&lt;&gt;"",ROW()-1,"")</f>
      </c>
      <c r="B393" s="55"/>
      <c r="C393" s="56"/>
      <c r="D393" s="56"/>
      <c r="E393" s="56"/>
      <c r="F393" s="56"/>
      <c r="G393" s="56"/>
      <c r="H393" s="56"/>
      <c r="I393" s="56"/>
      <c r="J393" s="57"/>
      <c r="K393" s="56"/>
      <c r="L393" s="58"/>
      <c r="M393" s="58">
        <f>IF(L393="","",L393)</f>
      </c>
      <c r="N393" s="56"/>
      <c r="O393" s="56"/>
      <c r="P393" s="57"/>
      <c r="Q393" s="56"/>
      <c r="R393" s="56"/>
      <c r="S393" s="56"/>
      <c r="T393" s="56"/>
      <c r="U393" s="56"/>
      <c r="V393" s="57"/>
      <c r="W393">
        <f>IF(Q393="Disponible",COUNTIFS($D$2:D393,D393,$Q$2:Q393,"Disponible"),"")</f>
      </c>
      <c r="X393">
        <f>IF(W393&lt;&gt;"",D393&amp;"|"&amp;W393,"")</f>
      </c>
      <c r="Y393">
        <f>IF(X393&lt;&gt;"",IF(K393&lt;&gt;"",K393&amp;" ("&amp;M393&amp;")",M393),"")</f>
      </c>
      <c r="Z393">
        <f>IF(O393="Sí",COUNTIFS($D$2:D393,D393,$O$2:O393,"Sí"),"")</f>
      </c>
      <c r="AA393">
        <f>IF(Z393&lt;&gt;"",D393&amp;"|"&amp;Z393,"")</f>
      </c>
      <c r="AB393">
        <f>IF(AA393&lt;&gt;"",IF(K393&lt;&gt;"",K393&amp;" ("&amp;M393&amp;")",M393),"")</f>
      </c>
      <c r="AC393">
        <f>IF($B393="","fecha, ","")&amp;IF($C393="","quién lo introduce, ","")&amp;IF($I393="","motivo, ","")&amp;IF($K393="","docente, ","")&amp;IF($L393="","horario, ","")&amp;IF($N393="","duración, ","")&amp;IF($Q393="","estado, ","")&amp;IF(AND($I393="Otros",$J393=""),"detalle del motivo, ","")&amp;IF(AND($O393="Sí",$P393=""),"detalle del refuerzo, ","")&amp;IF(AND(OR($I393="Renuncia (hasta 30 nov)",$I393="Baja (desde 1 dic)",$I393="Renuncia excepcional (art. 25.3)",$I393="Traslado de expediente"),OR($E393="",$F393="",$G393="")),"quién deja la plaza, ","")&amp;IF(AND($Q393="No disponible",$R393=""),"vía de cobertura, ","")&amp;IF(AND(OR($R393="Lista de espera · propio centro",$R393="Traslado de expediente",$R393="Lista de espera · otro centro"),OR($S393="",$T393="",$U393="")),"quién ocupa la plaza, ","")</f>
      </c>
      <c r="AD393" s="24">
        <f>IF($D393="","",IF(AND(LEN($AC393)=0,LEN($AK393)=0),"Completa",IF(LEN($AC393)=0,"Revisar: "&amp;LEFT($AK393,LEN($AK393)-2),"Falta: "&amp;LEFT($AC393,LEN($AC393)-2)&amp;IF(LEN($AK393)&gt;0,"  ·  Revisar: "&amp;LEFT($AK393,LEN($AK393)-2),""))))</f>
      </c>
      <c r="AE393">
        <f>IF(AND($D393&lt;&gt;"",OR($I393="Renuncia (hasta 30 nov)",$I393="Baja (desde 1 dic)",$I393="Renuncia excepcional (art. 25.3)",$I393="Traslado de expediente")),COUNTIF($AE$1:AE392,"&gt;0")+1,"")</f>
      </c>
      <c r="AF393">
        <f>IF($Q393="Disponible",COUNTIF($AF$1:AF392,"&gt;0")+1,"")</f>
      </c>
      <c r="AG393">
        <f>IF($O393="Sí",COUNTIF($AG$1:AG392,"&gt;0")+1,"")</f>
      </c>
      <c r="AH393">
        <f>IF(AND($Q393="Disponible",$O393&lt;&gt;"Sí"),COUNTIF($AH$1:AH392,"&gt;0")+1,"")</f>
      </c>
      <c r="AI393">
        <f>IF(AND($Q393="Disponible",$K393&lt;&gt;""),COUNTIFS($K$2:K393,K393,$Q$2:Q393,"Disponible"),"")</f>
      </c>
      <c r="AJ393">
        <f>IF(AI393&lt;&gt;"",K393&amp;"|"&amp;AI393,"")</f>
      </c>
      <c r="AK393">
        <f>IF(AND($Q393="No disponible",OR($R393="Lista de espera · propio centro",$R393="Traslado de expediente",$R393="Lista de espera · otro centro"),$O393="Sí"),"la plaza ya tiene alumno y sigue marcada como refuerzo, ","")&amp;IF(AND($R393="Reconvertida en refuerzo",$O393&lt;&gt;"Sí"),"reconvertida en refuerzo pero sin marcar «En uso como refuerzo», ","")</f>
      </c>
    </row>
    <row r="394" spans="1:37">
      <c r="A394" s="20">
        <f>IF(D394&lt;&gt;"",ROW()-1,"")</f>
      </c>
      <c r="B394" s="55"/>
      <c r="C394" s="56"/>
      <c r="D394" s="56"/>
      <c r="E394" s="56"/>
      <c r="F394" s="56"/>
      <c r="G394" s="56"/>
      <c r="H394" s="56"/>
      <c r="I394" s="56"/>
      <c r="J394" s="57"/>
      <c r="K394" s="56"/>
      <c r="L394" s="58"/>
      <c r="M394" s="58">
        <f>IF(L394="","",L394)</f>
      </c>
      <c r="N394" s="56"/>
      <c r="O394" s="56"/>
      <c r="P394" s="57"/>
      <c r="Q394" s="56"/>
      <c r="R394" s="56"/>
      <c r="S394" s="56"/>
      <c r="T394" s="56"/>
      <c r="U394" s="56"/>
      <c r="V394" s="57"/>
      <c r="W394">
        <f>IF(Q394="Disponible",COUNTIFS($D$2:D394,D394,$Q$2:Q394,"Disponible"),"")</f>
      </c>
      <c r="X394">
        <f>IF(W394&lt;&gt;"",D394&amp;"|"&amp;W394,"")</f>
      </c>
      <c r="Y394">
        <f>IF(X394&lt;&gt;"",IF(K394&lt;&gt;"",K394&amp;" ("&amp;M394&amp;")",M394),"")</f>
      </c>
      <c r="Z394">
        <f>IF(O394="Sí",COUNTIFS($D$2:D394,D394,$O$2:O394,"Sí"),"")</f>
      </c>
      <c r="AA394">
        <f>IF(Z394&lt;&gt;"",D394&amp;"|"&amp;Z394,"")</f>
      </c>
      <c r="AB394">
        <f>IF(AA394&lt;&gt;"",IF(K394&lt;&gt;"",K394&amp;" ("&amp;M394&amp;")",M394),"")</f>
      </c>
      <c r="AC394">
        <f>IF($B394="","fecha, ","")&amp;IF($C394="","quién lo introduce, ","")&amp;IF($I394="","motivo, ","")&amp;IF($K394="","docente, ","")&amp;IF($L394="","horario, ","")&amp;IF($N394="","duración, ","")&amp;IF($Q394="","estado, ","")&amp;IF(AND($I394="Otros",$J394=""),"detalle del motivo, ","")&amp;IF(AND($O394="Sí",$P394=""),"detalle del refuerzo, ","")&amp;IF(AND(OR($I394="Renuncia (hasta 30 nov)",$I394="Baja (desde 1 dic)",$I394="Renuncia excepcional (art. 25.3)",$I394="Traslado de expediente"),OR($E394="",$F394="",$G394="")),"quién deja la plaza, ","")&amp;IF(AND($Q394="No disponible",$R394=""),"vía de cobertura, ","")&amp;IF(AND(OR($R394="Lista de espera · propio centro",$R394="Traslado de expediente",$R394="Lista de espera · otro centro"),OR($S394="",$T394="",$U394="")),"quién ocupa la plaza, ","")</f>
      </c>
      <c r="AD394" s="24">
        <f>IF($D394="","",IF(AND(LEN($AC394)=0,LEN($AK394)=0),"Completa",IF(LEN($AC394)=0,"Revisar: "&amp;LEFT($AK394,LEN($AK394)-2),"Falta: "&amp;LEFT($AC394,LEN($AC394)-2)&amp;IF(LEN($AK394)&gt;0,"  ·  Revisar: "&amp;LEFT($AK394,LEN($AK394)-2),""))))</f>
      </c>
      <c r="AE394">
        <f>IF(AND($D394&lt;&gt;"",OR($I394="Renuncia (hasta 30 nov)",$I394="Baja (desde 1 dic)",$I394="Renuncia excepcional (art. 25.3)",$I394="Traslado de expediente")),COUNTIF($AE$1:AE393,"&gt;0")+1,"")</f>
      </c>
      <c r="AF394">
        <f>IF($Q394="Disponible",COUNTIF($AF$1:AF393,"&gt;0")+1,"")</f>
      </c>
      <c r="AG394">
        <f>IF($O394="Sí",COUNTIF($AG$1:AG393,"&gt;0")+1,"")</f>
      </c>
      <c r="AH394">
        <f>IF(AND($Q394="Disponible",$O394&lt;&gt;"Sí"),COUNTIF($AH$1:AH393,"&gt;0")+1,"")</f>
      </c>
      <c r="AI394">
        <f>IF(AND($Q394="Disponible",$K394&lt;&gt;""),COUNTIFS($K$2:K394,K394,$Q$2:Q394,"Disponible"),"")</f>
      </c>
      <c r="AJ394">
        <f>IF(AI394&lt;&gt;"",K394&amp;"|"&amp;AI394,"")</f>
      </c>
      <c r="AK394">
        <f>IF(AND($Q394="No disponible",OR($R394="Lista de espera · propio centro",$R394="Traslado de expediente",$R394="Lista de espera · otro centro"),$O394="Sí"),"la plaza ya tiene alumno y sigue marcada como refuerzo, ","")&amp;IF(AND($R394="Reconvertida en refuerzo",$O394&lt;&gt;"Sí"),"reconvertida en refuerzo pero sin marcar «En uso como refuerzo», ","")</f>
      </c>
    </row>
    <row r="395" spans="1:37">
      <c r="A395" s="20">
        <f>IF(D395&lt;&gt;"",ROW()-1,"")</f>
      </c>
      <c r="B395" s="55"/>
      <c r="C395" s="56"/>
      <c r="D395" s="56"/>
      <c r="E395" s="56"/>
      <c r="F395" s="56"/>
      <c r="G395" s="56"/>
      <c r="H395" s="56"/>
      <c r="I395" s="56"/>
      <c r="J395" s="57"/>
      <c r="K395" s="56"/>
      <c r="L395" s="58"/>
      <c r="M395" s="58">
        <f>IF(L395="","",L395)</f>
      </c>
      <c r="N395" s="56"/>
      <c r="O395" s="56"/>
      <c r="P395" s="57"/>
      <c r="Q395" s="56"/>
      <c r="R395" s="56"/>
      <c r="S395" s="56"/>
      <c r="T395" s="56"/>
      <c r="U395" s="56"/>
      <c r="V395" s="57"/>
      <c r="W395">
        <f>IF(Q395="Disponible",COUNTIFS($D$2:D395,D395,$Q$2:Q395,"Disponible"),"")</f>
      </c>
      <c r="X395">
        <f>IF(W395&lt;&gt;"",D395&amp;"|"&amp;W395,"")</f>
      </c>
      <c r="Y395">
        <f>IF(X395&lt;&gt;"",IF(K395&lt;&gt;"",K395&amp;" ("&amp;M395&amp;")",M395),"")</f>
      </c>
      <c r="Z395">
        <f>IF(O395="Sí",COUNTIFS($D$2:D395,D395,$O$2:O395,"Sí"),"")</f>
      </c>
      <c r="AA395">
        <f>IF(Z395&lt;&gt;"",D395&amp;"|"&amp;Z395,"")</f>
      </c>
      <c r="AB395">
        <f>IF(AA395&lt;&gt;"",IF(K395&lt;&gt;"",K395&amp;" ("&amp;M395&amp;")",M395),"")</f>
      </c>
      <c r="AC395">
        <f>IF($B395="","fecha, ","")&amp;IF($C395="","quién lo introduce, ","")&amp;IF($I395="","motivo, ","")&amp;IF($K395="","docente, ","")&amp;IF($L395="","horario, ","")&amp;IF($N395="","duración, ","")&amp;IF($Q395="","estado, ","")&amp;IF(AND($I395="Otros",$J395=""),"detalle del motivo, ","")&amp;IF(AND($O395="Sí",$P395=""),"detalle del refuerzo, ","")&amp;IF(AND(OR($I395="Renuncia (hasta 30 nov)",$I395="Baja (desde 1 dic)",$I395="Renuncia excepcional (art. 25.3)",$I395="Traslado de expediente"),OR($E395="",$F395="",$G395="")),"quién deja la plaza, ","")&amp;IF(AND($Q395="No disponible",$R395=""),"vía de cobertura, ","")&amp;IF(AND(OR($R395="Lista de espera · propio centro",$R395="Traslado de expediente",$R395="Lista de espera · otro centro"),OR($S395="",$T395="",$U395="")),"quién ocupa la plaza, ","")</f>
      </c>
      <c r="AD395" s="24">
        <f>IF($D395="","",IF(AND(LEN($AC395)=0,LEN($AK395)=0),"Completa",IF(LEN($AC395)=0,"Revisar: "&amp;LEFT($AK395,LEN($AK395)-2),"Falta: "&amp;LEFT($AC395,LEN($AC395)-2)&amp;IF(LEN($AK395)&gt;0,"  ·  Revisar: "&amp;LEFT($AK395,LEN($AK395)-2),""))))</f>
      </c>
      <c r="AE395">
        <f>IF(AND($D395&lt;&gt;"",OR($I395="Renuncia (hasta 30 nov)",$I395="Baja (desde 1 dic)",$I395="Renuncia excepcional (art. 25.3)",$I395="Traslado de expediente")),COUNTIF($AE$1:AE394,"&gt;0")+1,"")</f>
      </c>
      <c r="AF395">
        <f>IF($Q395="Disponible",COUNTIF($AF$1:AF394,"&gt;0")+1,"")</f>
      </c>
      <c r="AG395">
        <f>IF($O395="Sí",COUNTIF($AG$1:AG394,"&gt;0")+1,"")</f>
      </c>
      <c r="AH395">
        <f>IF(AND($Q395="Disponible",$O395&lt;&gt;"Sí"),COUNTIF($AH$1:AH394,"&gt;0")+1,"")</f>
      </c>
      <c r="AI395">
        <f>IF(AND($Q395="Disponible",$K395&lt;&gt;""),COUNTIFS($K$2:K395,K395,$Q$2:Q395,"Disponible"),"")</f>
      </c>
      <c r="AJ395">
        <f>IF(AI395&lt;&gt;"",K395&amp;"|"&amp;AI395,"")</f>
      </c>
      <c r="AK395">
        <f>IF(AND($Q395="No disponible",OR($R395="Lista de espera · propio centro",$R395="Traslado de expediente",$R395="Lista de espera · otro centro"),$O395="Sí"),"la plaza ya tiene alumno y sigue marcada como refuerzo, ","")&amp;IF(AND($R395="Reconvertida en refuerzo",$O395&lt;&gt;"Sí"),"reconvertida en refuerzo pero sin marcar «En uso como refuerzo», ","")</f>
      </c>
    </row>
    <row r="396" spans="1:37">
      <c r="A396" s="20">
        <f>IF(D396&lt;&gt;"",ROW()-1,"")</f>
      </c>
      <c r="B396" s="55"/>
      <c r="C396" s="56"/>
      <c r="D396" s="56"/>
      <c r="E396" s="56"/>
      <c r="F396" s="56"/>
      <c r="G396" s="56"/>
      <c r="H396" s="56"/>
      <c r="I396" s="56"/>
      <c r="J396" s="57"/>
      <c r="K396" s="56"/>
      <c r="L396" s="58"/>
      <c r="M396" s="58">
        <f>IF(L396="","",L396)</f>
      </c>
      <c r="N396" s="56"/>
      <c r="O396" s="56"/>
      <c r="P396" s="57"/>
      <c r="Q396" s="56"/>
      <c r="R396" s="56"/>
      <c r="S396" s="56"/>
      <c r="T396" s="56"/>
      <c r="U396" s="56"/>
      <c r="V396" s="57"/>
      <c r="W396">
        <f>IF(Q396="Disponible",COUNTIFS($D$2:D396,D396,$Q$2:Q396,"Disponible"),"")</f>
      </c>
      <c r="X396">
        <f>IF(W396&lt;&gt;"",D396&amp;"|"&amp;W396,"")</f>
      </c>
      <c r="Y396">
        <f>IF(X396&lt;&gt;"",IF(K396&lt;&gt;"",K396&amp;" ("&amp;M396&amp;")",M396),"")</f>
      </c>
      <c r="Z396">
        <f>IF(O396="Sí",COUNTIFS($D$2:D396,D396,$O$2:O396,"Sí"),"")</f>
      </c>
      <c r="AA396">
        <f>IF(Z396&lt;&gt;"",D396&amp;"|"&amp;Z396,"")</f>
      </c>
      <c r="AB396">
        <f>IF(AA396&lt;&gt;"",IF(K396&lt;&gt;"",K396&amp;" ("&amp;M396&amp;")",M396),"")</f>
      </c>
      <c r="AC396">
        <f>IF($B396="","fecha, ","")&amp;IF($C396="","quién lo introduce, ","")&amp;IF($I396="","motivo, ","")&amp;IF($K396="","docente, ","")&amp;IF($L396="","horario, ","")&amp;IF($N396="","duración, ","")&amp;IF($Q396="","estado, ","")&amp;IF(AND($I396="Otros",$J396=""),"detalle del motivo, ","")&amp;IF(AND($O396="Sí",$P396=""),"detalle del refuerzo, ","")&amp;IF(AND(OR($I396="Renuncia (hasta 30 nov)",$I396="Baja (desde 1 dic)",$I396="Renuncia excepcional (art. 25.3)",$I396="Traslado de expediente"),OR($E396="",$F396="",$G396="")),"quién deja la plaza, ","")&amp;IF(AND($Q396="No disponible",$R396=""),"vía de cobertura, ","")&amp;IF(AND(OR($R396="Lista de espera · propio centro",$R396="Traslado de expediente",$R396="Lista de espera · otro centro"),OR($S396="",$T396="",$U396="")),"quién ocupa la plaza, ","")</f>
      </c>
      <c r="AD396" s="24">
        <f>IF($D396="","",IF(AND(LEN($AC396)=0,LEN($AK396)=0),"Completa",IF(LEN($AC396)=0,"Revisar: "&amp;LEFT($AK396,LEN($AK396)-2),"Falta: "&amp;LEFT($AC396,LEN($AC396)-2)&amp;IF(LEN($AK396)&gt;0,"  ·  Revisar: "&amp;LEFT($AK396,LEN($AK396)-2),""))))</f>
      </c>
      <c r="AE396">
        <f>IF(AND($D396&lt;&gt;"",OR($I396="Renuncia (hasta 30 nov)",$I396="Baja (desde 1 dic)",$I396="Renuncia excepcional (art. 25.3)",$I396="Traslado de expediente")),COUNTIF($AE$1:AE395,"&gt;0")+1,"")</f>
      </c>
      <c r="AF396">
        <f>IF($Q396="Disponible",COUNTIF($AF$1:AF395,"&gt;0")+1,"")</f>
      </c>
      <c r="AG396">
        <f>IF($O396="Sí",COUNTIF($AG$1:AG395,"&gt;0")+1,"")</f>
      </c>
      <c r="AH396">
        <f>IF(AND($Q396="Disponible",$O396&lt;&gt;"Sí"),COUNTIF($AH$1:AH395,"&gt;0")+1,"")</f>
      </c>
      <c r="AI396">
        <f>IF(AND($Q396="Disponible",$K396&lt;&gt;""),COUNTIFS($K$2:K396,K396,$Q$2:Q396,"Disponible"),"")</f>
      </c>
      <c r="AJ396">
        <f>IF(AI396&lt;&gt;"",K396&amp;"|"&amp;AI396,"")</f>
      </c>
      <c r="AK396">
        <f>IF(AND($Q396="No disponible",OR($R396="Lista de espera · propio centro",$R396="Traslado de expediente",$R396="Lista de espera · otro centro"),$O396="Sí"),"la plaza ya tiene alumno y sigue marcada como refuerzo, ","")&amp;IF(AND($R396="Reconvertida en refuerzo",$O396&lt;&gt;"Sí"),"reconvertida en refuerzo pero sin marcar «En uso como refuerzo», ","")</f>
      </c>
    </row>
    <row r="397" spans="1:37">
      <c r="A397" s="20">
        <f>IF(D397&lt;&gt;"",ROW()-1,"")</f>
      </c>
      <c r="B397" s="55"/>
      <c r="C397" s="56"/>
      <c r="D397" s="56"/>
      <c r="E397" s="56"/>
      <c r="F397" s="56"/>
      <c r="G397" s="56"/>
      <c r="H397" s="56"/>
      <c r="I397" s="56"/>
      <c r="J397" s="57"/>
      <c r="K397" s="56"/>
      <c r="L397" s="58"/>
      <c r="M397" s="58">
        <f>IF(L397="","",L397)</f>
      </c>
      <c r="N397" s="56"/>
      <c r="O397" s="56"/>
      <c r="P397" s="57"/>
      <c r="Q397" s="56"/>
      <c r="R397" s="56"/>
      <c r="S397" s="56"/>
      <c r="T397" s="56"/>
      <c r="U397" s="56"/>
      <c r="V397" s="57"/>
      <c r="W397">
        <f>IF(Q397="Disponible",COUNTIFS($D$2:D397,D397,$Q$2:Q397,"Disponible"),"")</f>
      </c>
      <c r="X397">
        <f>IF(W397&lt;&gt;"",D397&amp;"|"&amp;W397,"")</f>
      </c>
      <c r="Y397">
        <f>IF(X397&lt;&gt;"",IF(K397&lt;&gt;"",K397&amp;" ("&amp;M397&amp;")",M397),"")</f>
      </c>
      <c r="Z397">
        <f>IF(O397="Sí",COUNTIFS($D$2:D397,D397,$O$2:O397,"Sí"),"")</f>
      </c>
      <c r="AA397">
        <f>IF(Z397&lt;&gt;"",D397&amp;"|"&amp;Z397,"")</f>
      </c>
      <c r="AB397">
        <f>IF(AA397&lt;&gt;"",IF(K397&lt;&gt;"",K397&amp;" ("&amp;M397&amp;")",M397),"")</f>
      </c>
      <c r="AC397">
        <f>IF($B397="","fecha, ","")&amp;IF($C397="","quién lo introduce, ","")&amp;IF($I397="","motivo, ","")&amp;IF($K397="","docente, ","")&amp;IF($L397="","horario, ","")&amp;IF($N397="","duración, ","")&amp;IF($Q397="","estado, ","")&amp;IF(AND($I397="Otros",$J397=""),"detalle del motivo, ","")&amp;IF(AND($O397="Sí",$P397=""),"detalle del refuerzo, ","")&amp;IF(AND(OR($I397="Renuncia (hasta 30 nov)",$I397="Baja (desde 1 dic)",$I397="Renuncia excepcional (art. 25.3)",$I397="Traslado de expediente"),OR($E397="",$F397="",$G397="")),"quién deja la plaza, ","")&amp;IF(AND($Q397="No disponible",$R397=""),"vía de cobertura, ","")&amp;IF(AND(OR($R397="Lista de espera · propio centro",$R397="Traslado de expediente",$R397="Lista de espera · otro centro"),OR($S397="",$T397="",$U397="")),"quién ocupa la plaza, ","")</f>
      </c>
      <c r="AD397" s="24">
        <f>IF($D397="","",IF(AND(LEN($AC397)=0,LEN($AK397)=0),"Completa",IF(LEN($AC397)=0,"Revisar: "&amp;LEFT($AK397,LEN($AK397)-2),"Falta: "&amp;LEFT($AC397,LEN($AC397)-2)&amp;IF(LEN($AK397)&gt;0,"  ·  Revisar: "&amp;LEFT($AK397,LEN($AK397)-2),""))))</f>
      </c>
      <c r="AE397">
        <f>IF(AND($D397&lt;&gt;"",OR($I397="Renuncia (hasta 30 nov)",$I397="Baja (desde 1 dic)",$I397="Renuncia excepcional (art. 25.3)",$I397="Traslado de expediente")),COUNTIF($AE$1:AE396,"&gt;0")+1,"")</f>
      </c>
      <c r="AF397">
        <f>IF($Q397="Disponible",COUNTIF($AF$1:AF396,"&gt;0")+1,"")</f>
      </c>
      <c r="AG397">
        <f>IF($O397="Sí",COUNTIF($AG$1:AG396,"&gt;0")+1,"")</f>
      </c>
      <c r="AH397">
        <f>IF(AND($Q397="Disponible",$O397&lt;&gt;"Sí"),COUNTIF($AH$1:AH396,"&gt;0")+1,"")</f>
      </c>
      <c r="AI397">
        <f>IF(AND($Q397="Disponible",$K397&lt;&gt;""),COUNTIFS($K$2:K397,K397,$Q$2:Q397,"Disponible"),"")</f>
      </c>
      <c r="AJ397">
        <f>IF(AI397&lt;&gt;"",K397&amp;"|"&amp;AI397,"")</f>
      </c>
      <c r="AK397">
        <f>IF(AND($Q397="No disponible",OR($R397="Lista de espera · propio centro",$R397="Traslado de expediente",$R397="Lista de espera · otro centro"),$O397="Sí"),"la plaza ya tiene alumno y sigue marcada como refuerzo, ","")&amp;IF(AND($R397="Reconvertida en refuerzo",$O397&lt;&gt;"Sí"),"reconvertida en refuerzo pero sin marcar «En uso como refuerzo», ","")</f>
      </c>
    </row>
    <row r="398" spans="1:37">
      <c r="A398" s="20">
        <f>IF(D398&lt;&gt;"",ROW()-1,"")</f>
      </c>
      <c r="B398" s="55"/>
      <c r="C398" s="56"/>
      <c r="D398" s="56"/>
      <c r="E398" s="56"/>
      <c r="F398" s="56"/>
      <c r="G398" s="56"/>
      <c r="H398" s="56"/>
      <c r="I398" s="56"/>
      <c r="J398" s="57"/>
      <c r="K398" s="56"/>
      <c r="L398" s="58"/>
      <c r="M398" s="58">
        <f>IF(L398="","",L398)</f>
      </c>
      <c r="N398" s="56"/>
      <c r="O398" s="56"/>
      <c r="P398" s="57"/>
      <c r="Q398" s="56"/>
      <c r="R398" s="56"/>
      <c r="S398" s="56"/>
      <c r="T398" s="56"/>
      <c r="U398" s="56"/>
      <c r="V398" s="57"/>
      <c r="W398">
        <f>IF(Q398="Disponible",COUNTIFS($D$2:D398,D398,$Q$2:Q398,"Disponible"),"")</f>
      </c>
      <c r="X398">
        <f>IF(W398&lt;&gt;"",D398&amp;"|"&amp;W398,"")</f>
      </c>
      <c r="Y398">
        <f>IF(X398&lt;&gt;"",IF(K398&lt;&gt;"",K398&amp;" ("&amp;M398&amp;")",M398),"")</f>
      </c>
      <c r="Z398">
        <f>IF(O398="Sí",COUNTIFS($D$2:D398,D398,$O$2:O398,"Sí"),"")</f>
      </c>
      <c r="AA398">
        <f>IF(Z398&lt;&gt;"",D398&amp;"|"&amp;Z398,"")</f>
      </c>
      <c r="AB398">
        <f>IF(AA398&lt;&gt;"",IF(K398&lt;&gt;"",K398&amp;" ("&amp;M398&amp;")",M398),"")</f>
      </c>
      <c r="AC398">
        <f>IF($B398="","fecha, ","")&amp;IF($C398="","quién lo introduce, ","")&amp;IF($I398="","motivo, ","")&amp;IF($K398="","docente, ","")&amp;IF($L398="","horario, ","")&amp;IF($N398="","duración, ","")&amp;IF($Q398="","estado, ","")&amp;IF(AND($I398="Otros",$J398=""),"detalle del motivo, ","")&amp;IF(AND($O398="Sí",$P398=""),"detalle del refuerzo, ","")&amp;IF(AND(OR($I398="Renuncia (hasta 30 nov)",$I398="Baja (desde 1 dic)",$I398="Renuncia excepcional (art. 25.3)",$I398="Traslado de expediente"),OR($E398="",$F398="",$G398="")),"quién deja la plaza, ","")&amp;IF(AND($Q398="No disponible",$R398=""),"vía de cobertura, ","")&amp;IF(AND(OR($R398="Lista de espera · propio centro",$R398="Traslado de expediente",$R398="Lista de espera · otro centro"),OR($S398="",$T398="",$U398="")),"quién ocupa la plaza, ","")</f>
      </c>
      <c r="AD398" s="24">
        <f>IF($D398="","",IF(AND(LEN($AC398)=0,LEN($AK398)=0),"Completa",IF(LEN($AC398)=0,"Revisar: "&amp;LEFT($AK398,LEN($AK398)-2),"Falta: "&amp;LEFT($AC398,LEN($AC398)-2)&amp;IF(LEN($AK398)&gt;0,"  ·  Revisar: "&amp;LEFT($AK398,LEN($AK398)-2),""))))</f>
      </c>
      <c r="AE398">
        <f>IF(AND($D398&lt;&gt;"",OR($I398="Renuncia (hasta 30 nov)",$I398="Baja (desde 1 dic)",$I398="Renuncia excepcional (art. 25.3)",$I398="Traslado de expediente")),COUNTIF($AE$1:AE397,"&gt;0")+1,"")</f>
      </c>
      <c r="AF398">
        <f>IF($Q398="Disponible",COUNTIF($AF$1:AF397,"&gt;0")+1,"")</f>
      </c>
      <c r="AG398">
        <f>IF($O398="Sí",COUNTIF($AG$1:AG397,"&gt;0")+1,"")</f>
      </c>
      <c r="AH398">
        <f>IF(AND($Q398="Disponible",$O398&lt;&gt;"Sí"),COUNTIF($AH$1:AH397,"&gt;0")+1,"")</f>
      </c>
      <c r="AI398">
        <f>IF(AND($Q398="Disponible",$K398&lt;&gt;""),COUNTIFS($K$2:K398,K398,$Q$2:Q398,"Disponible"),"")</f>
      </c>
      <c r="AJ398">
        <f>IF(AI398&lt;&gt;"",K398&amp;"|"&amp;AI398,"")</f>
      </c>
      <c r="AK398">
        <f>IF(AND($Q398="No disponible",OR($R398="Lista de espera · propio centro",$R398="Traslado de expediente",$R398="Lista de espera · otro centro"),$O398="Sí"),"la plaza ya tiene alumno y sigue marcada como refuerzo, ","")&amp;IF(AND($R398="Reconvertida en refuerzo",$O398&lt;&gt;"Sí"),"reconvertida en refuerzo pero sin marcar «En uso como refuerzo», ","")</f>
      </c>
    </row>
    <row r="399" spans="1:37">
      <c r="A399" s="20">
        <f>IF(D399&lt;&gt;"",ROW()-1,"")</f>
      </c>
      <c r="B399" s="55"/>
      <c r="C399" s="56"/>
      <c r="D399" s="56"/>
      <c r="E399" s="56"/>
      <c r="F399" s="56"/>
      <c r="G399" s="56"/>
      <c r="H399" s="56"/>
      <c r="I399" s="56"/>
      <c r="J399" s="57"/>
      <c r="K399" s="56"/>
      <c r="L399" s="58"/>
      <c r="M399" s="58">
        <f>IF(L399="","",L399)</f>
      </c>
      <c r="N399" s="56"/>
      <c r="O399" s="56"/>
      <c r="P399" s="57"/>
      <c r="Q399" s="56"/>
      <c r="R399" s="56"/>
      <c r="S399" s="56"/>
      <c r="T399" s="56"/>
      <c r="U399" s="56"/>
      <c r="V399" s="57"/>
      <c r="W399">
        <f>IF(Q399="Disponible",COUNTIFS($D$2:D399,D399,$Q$2:Q399,"Disponible"),"")</f>
      </c>
      <c r="X399">
        <f>IF(W399&lt;&gt;"",D399&amp;"|"&amp;W399,"")</f>
      </c>
      <c r="Y399">
        <f>IF(X399&lt;&gt;"",IF(K399&lt;&gt;"",K399&amp;" ("&amp;M399&amp;")",M399),"")</f>
      </c>
      <c r="Z399">
        <f>IF(O399="Sí",COUNTIFS($D$2:D399,D399,$O$2:O399,"Sí"),"")</f>
      </c>
      <c r="AA399">
        <f>IF(Z399&lt;&gt;"",D399&amp;"|"&amp;Z399,"")</f>
      </c>
      <c r="AB399">
        <f>IF(AA399&lt;&gt;"",IF(K399&lt;&gt;"",K399&amp;" ("&amp;M399&amp;")",M399),"")</f>
      </c>
      <c r="AC399">
        <f>IF($B399="","fecha, ","")&amp;IF($C399="","quién lo introduce, ","")&amp;IF($I399="","motivo, ","")&amp;IF($K399="","docente, ","")&amp;IF($L399="","horario, ","")&amp;IF($N399="","duración, ","")&amp;IF($Q399="","estado, ","")&amp;IF(AND($I399="Otros",$J399=""),"detalle del motivo, ","")&amp;IF(AND($O399="Sí",$P399=""),"detalle del refuerzo, ","")&amp;IF(AND(OR($I399="Renuncia (hasta 30 nov)",$I399="Baja (desde 1 dic)",$I399="Renuncia excepcional (art. 25.3)",$I399="Traslado de expediente"),OR($E399="",$F399="",$G399="")),"quién deja la plaza, ","")&amp;IF(AND($Q399="No disponible",$R399=""),"vía de cobertura, ","")&amp;IF(AND(OR($R399="Lista de espera · propio centro",$R399="Traslado de expediente",$R399="Lista de espera · otro centro"),OR($S399="",$T399="",$U399="")),"quién ocupa la plaza, ","")</f>
      </c>
      <c r="AD399" s="24">
        <f>IF($D399="","",IF(AND(LEN($AC399)=0,LEN($AK399)=0),"Completa",IF(LEN($AC399)=0,"Revisar: "&amp;LEFT($AK399,LEN($AK399)-2),"Falta: "&amp;LEFT($AC399,LEN($AC399)-2)&amp;IF(LEN($AK399)&gt;0,"  ·  Revisar: "&amp;LEFT($AK399,LEN($AK399)-2),""))))</f>
      </c>
      <c r="AE399">
        <f>IF(AND($D399&lt;&gt;"",OR($I399="Renuncia (hasta 30 nov)",$I399="Baja (desde 1 dic)",$I399="Renuncia excepcional (art. 25.3)",$I399="Traslado de expediente")),COUNTIF($AE$1:AE398,"&gt;0")+1,"")</f>
      </c>
      <c r="AF399">
        <f>IF($Q399="Disponible",COUNTIF($AF$1:AF398,"&gt;0")+1,"")</f>
      </c>
      <c r="AG399">
        <f>IF($O399="Sí",COUNTIF($AG$1:AG398,"&gt;0")+1,"")</f>
      </c>
      <c r="AH399">
        <f>IF(AND($Q399="Disponible",$O399&lt;&gt;"Sí"),COUNTIF($AH$1:AH398,"&gt;0")+1,"")</f>
      </c>
      <c r="AI399">
        <f>IF(AND($Q399="Disponible",$K399&lt;&gt;""),COUNTIFS($K$2:K399,K399,$Q$2:Q399,"Disponible"),"")</f>
      </c>
      <c r="AJ399">
        <f>IF(AI399&lt;&gt;"",K399&amp;"|"&amp;AI399,"")</f>
      </c>
      <c r="AK399">
        <f>IF(AND($Q399="No disponible",OR($R399="Lista de espera · propio centro",$R399="Traslado de expediente",$R399="Lista de espera · otro centro"),$O399="Sí"),"la plaza ya tiene alumno y sigue marcada como refuerzo, ","")&amp;IF(AND($R399="Reconvertida en refuerzo",$O399&lt;&gt;"Sí"),"reconvertida en refuerzo pero sin marcar «En uso como refuerzo», ","")</f>
      </c>
    </row>
    <row r="400" spans="1:37">
      <c r="A400" s="20">
        <f>IF(D400&lt;&gt;"",ROW()-1,"")</f>
      </c>
      <c r="B400" s="55"/>
      <c r="C400" s="56"/>
      <c r="D400" s="56"/>
      <c r="E400" s="56"/>
      <c r="F400" s="56"/>
      <c r="G400" s="56"/>
      <c r="H400" s="56"/>
      <c r="I400" s="56"/>
      <c r="J400" s="57"/>
      <c r="K400" s="56"/>
      <c r="L400" s="58"/>
      <c r="M400" s="58">
        <f>IF(L400="","",L400)</f>
      </c>
      <c r="N400" s="56"/>
      <c r="O400" s="56"/>
      <c r="P400" s="57"/>
      <c r="Q400" s="56"/>
      <c r="R400" s="56"/>
      <c r="S400" s="56"/>
      <c r="T400" s="56"/>
      <c r="U400" s="56"/>
      <c r="V400" s="57"/>
      <c r="W400">
        <f>IF(Q400="Disponible",COUNTIFS($D$2:D400,D400,$Q$2:Q400,"Disponible"),"")</f>
      </c>
      <c r="X400">
        <f>IF(W400&lt;&gt;"",D400&amp;"|"&amp;W400,"")</f>
      </c>
      <c r="Y400">
        <f>IF(X400&lt;&gt;"",IF(K400&lt;&gt;"",K400&amp;" ("&amp;M400&amp;")",M400),"")</f>
      </c>
      <c r="Z400">
        <f>IF(O400="Sí",COUNTIFS($D$2:D400,D400,$O$2:O400,"Sí"),"")</f>
      </c>
      <c r="AA400">
        <f>IF(Z400&lt;&gt;"",D400&amp;"|"&amp;Z400,"")</f>
      </c>
      <c r="AB400">
        <f>IF(AA400&lt;&gt;"",IF(K400&lt;&gt;"",K400&amp;" ("&amp;M400&amp;")",M400),"")</f>
      </c>
      <c r="AC400">
        <f>IF($B400="","fecha, ","")&amp;IF($C400="","quién lo introduce, ","")&amp;IF($I400="","motivo, ","")&amp;IF($K400="","docente, ","")&amp;IF($L400="","horario, ","")&amp;IF($N400="","duración, ","")&amp;IF($Q400="","estado, ","")&amp;IF(AND($I400="Otros",$J400=""),"detalle del motivo, ","")&amp;IF(AND($O400="Sí",$P400=""),"detalle del refuerzo, ","")&amp;IF(AND(OR($I400="Renuncia (hasta 30 nov)",$I400="Baja (desde 1 dic)",$I400="Renuncia excepcional (art. 25.3)",$I400="Traslado de expediente"),OR($E400="",$F400="",$G400="")),"quién deja la plaza, ","")&amp;IF(AND($Q400="No disponible",$R400=""),"vía de cobertura, ","")&amp;IF(AND(OR($R400="Lista de espera · propio centro",$R400="Traslado de expediente",$R400="Lista de espera · otro centro"),OR($S400="",$T400="",$U400="")),"quién ocupa la plaza, ","")</f>
      </c>
      <c r="AD400" s="24">
        <f>IF($D400="","",IF(AND(LEN($AC400)=0,LEN($AK400)=0),"Completa",IF(LEN($AC400)=0,"Revisar: "&amp;LEFT($AK400,LEN($AK400)-2),"Falta: "&amp;LEFT($AC400,LEN($AC400)-2)&amp;IF(LEN($AK400)&gt;0,"  ·  Revisar: "&amp;LEFT($AK400,LEN($AK400)-2),""))))</f>
      </c>
      <c r="AE400">
        <f>IF(AND($D400&lt;&gt;"",OR($I400="Renuncia (hasta 30 nov)",$I400="Baja (desde 1 dic)",$I400="Renuncia excepcional (art. 25.3)",$I400="Traslado de expediente")),COUNTIF($AE$1:AE399,"&gt;0")+1,"")</f>
      </c>
      <c r="AF400">
        <f>IF($Q400="Disponible",COUNTIF($AF$1:AF399,"&gt;0")+1,"")</f>
      </c>
      <c r="AG400">
        <f>IF($O400="Sí",COUNTIF($AG$1:AG399,"&gt;0")+1,"")</f>
      </c>
      <c r="AH400">
        <f>IF(AND($Q400="Disponible",$O400&lt;&gt;"Sí"),COUNTIF($AH$1:AH399,"&gt;0")+1,"")</f>
      </c>
      <c r="AI400">
        <f>IF(AND($Q400="Disponible",$K400&lt;&gt;""),COUNTIFS($K$2:K400,K400,$Q$2:Q400,"Disponible"),"")</f>
      </c>
      <c r="AJ400">
        <f>IF(AI400&lt;&gt;"",K400&amp;"|"&amp;AI400,"")</f>
      </c>
      <c r="AK400">
        <f>IF(AND($Q400="No disponible",OR($R400="Lista de espera · propio centro",$R400="Traslado de expediente",$R400="Lista de espera · otro centro"),$O400="Sí"),"la plaza ya tiene alumno y sigue marcada como refuerzo, ","")&amp;IF(AND($R400="Reconvertida en refuerzo",$O400&lt;&gt;"Sí"),"reconvertida en refuerzo pero sin marcar «En uso como refuerzo», ","")</f>
      </c>
    </row>
    <row r="401" spans="1:37">
      <c r="A401" s="20">
        <f>IF(D401&lt;&gt;"",ROW()-1,"")</f>
      </c>
      <c r="B401" s="55"/>
      <c r="C401" s="56"/>
      <c r="D401" s="56"/>
      <c r="E401" s="56"/>
      <c r="F401" s="56"/>
      <c r="G401" s="56"/>
      <c r="H401" s="56"/>
      <c r="I401" s="56"/>
      <c r="J401" s="57"/>
      <c r="K401" s="56"/>
      <c r="L401" s="58"/>
      <c r="M401" s="58">
        <f>IF(L401="","",L401)</f>
      </c>
      <c r="N401" s="56"/>
      <c r="O401" s="56"/>
      <c r="P401" s="57"/>
      <c r="Q401" s="56"/>
      <c r="R401" s="56"/>
      <c r="S401" s="56"/>
      <c r="T401" s="56"/>
      <c r="U401" s="56"/>
      <c r="V401" s="57"/>
      <c r="W401">
        <f>IF(Q401="Disponible",COUNTIFS($D$2:D401,D401,$Q$2:Q401,"Disponible"),"")</f>
      </c>
      <c r="X401">
        <f>IF(W401&lt;&gt;"",D401&amp;"|"&amp;W401,"")</f>
      </c>
      <c r="Y401">
        <f>IF(X401&lt;&gt;"",IF(K401&lt;&gt;"",K401&amp;" ("&amp;M401&amp;")",M401),"")</f>
      </c>
      <c r="Z401">
        <f>IF(O401="Sí",COUNTIFS($D$2:D401,D401,$O$2:O401,"Sí"),"")</f>
      </c>
      <c r="AA401">
        <f>IF(Z401&lt;&gt;"",D401&amp;"|"&amp;Z401,"")</f>
      </c>
      <c r="AB401">
        <f>IF(AA401&lt;&gt;"",IF(K401&lt;&gt;"",K401&amp;" ("&amp;M401&amp;")",M401),"")</f>
      </c>
      <c r="AC401">
        <f>IF($B401="","fecha, ","")&amp;IF($C401="","quién lo introduce, ","")&amp;IF($I401="","motivo, ","")&amp;IF($K401="","docente, ","")&amp;IF($L401="","horario, ","")&amp;IF($N401="","duración, ","")&amp;IF($Q401="","estado, ","")&amp;IF(AND($I401="Otros",$J401=""),"detalle del motivo, ","")&amp;IF(AND($O401="Sí",$P401=""),"detalle del refuerzo, ","")&amp;IF(AND(OR($I401="Renuncia (hasta 30 nov)",$I401="Baja (desde 1 dic)",$I401="Renuncia excepcional (art. 25.3)",$I401="Traslado de expediente"),OR($E401="",$F401="",$G401="")),"quién deja la plaza, ","")&amp;IF(AND($Q401="No disponible",$R401=""),"vía de cobertura, ","")&amp;IF(AND(OR($R401="Lista de espera · propio centro",$R401="Traslado de expediente",$R401="Lista de espera · otro centro"),OR($S401="",$T401="",$U401="")),"quién ocupa la plaza, ","")</f>
      </c>
      <c r="AD401" s="24">
        <f>IF($D401="","",IF(AND(LEN($AC401)=0,LEN($AK401)=0),"Completa",IF(LEN($AC401)=0,"Revisar: "&amp;LEFT($AK401,LEN($AK401)-2),"Falta: "&amp;LEFT($AC401,LEN($AC401)-2)&amp;IF(LEN($AK401)&gt;0,"  ·  Revisar: "&amp;LEFT($AK401,LEN($AK401)-2),""))))</f>
      </c>
      <c r="AE401">
        <f>IF(AND($D401&lt;&gt;"",OR($I401="Renuncia (hasta 30 nov)",$I401="Baja (desde 1 dic)",$I401="Renuncia excepcional (art. 25.3)",$I401="Traslado de expediente")),COUNTIF($AE$1:AE400,"&gt;0")+1,"")</f>
      </c>
      <c r="AF401">
        <f>IF($Q401="Disponible",COUNTIF($AF$1:AF400,"&gt;0")+1,"")</f>
      </c>
      <c r="AG401">
        <f>IF($O401="Sí",COUNTIF($AG$1:AG400,"&gt;0")+1,"")</f>
      </c>
      <c r="AH401">
        <f>IF(AND($Q401="Disponible",$O401&lt;&gt;"Sí"),COUNTIF($AH$1:AH400,"&gt;0")+1,"")</f>
      </c>
      <c r="AI401">
        <f>IF(AND($Q401="Disponible",$K401&lt;&gt;""),COUNTIFS($K$2:K401,K401,$Q$2:Q401,"Disponible"),"")</f>
      </c>
      <c r="AJ401">
        <f>IF(AI401&lt;&gt;"",K401&amp;"|"&amp;AI401,"")</f>
      </c>
      <c r="AK401">
        <f>IF(AND($Q401="No disponible",OR($R401="Lista de espera · propio centro",$R401="Traslado de expediente",$R401="Lista de espera · otro centro"),$O401="Sí"),"la plaza ya tiene alumno y sigue marcada como refuerzo, ","")&amp;IF(AND($R401="Reconvertida en refuerzo",$O401&lt;&gt;"Sí"),"reconvertida en refuerzo pero sin marcar «En uso como refuerzo», ","")</f>
      </c>
    </row>
    <row r="402" spans="1:37">
      <c r="A402" s="20">
        <f>IF(D402&lt;&gt;"",ROW()-1,"")</f>
      </c>
      <c r="B402" s="55"/>
      <c r="C402" s="56"/>
      <c r="D402" s="56"/>
      <c r="E402" s="56"/>
      <c r="F402" s="56"/>
      <c r="G402" s="56"/>
      <c r="H402" s="56"/>
      <c r="I402" s="56"/>
      <c r="J402" s="57"/>
      <c r="K402" s="56"/>
      <c r="L402" s="58"/>
      <c r="M402" s="58">
        <f>IF(L402="","",L402)</f>
      </c>
      <c r="N402" s="56"/>
      <c r="O402" s="56"/>
      <c r="P402" s="57"/>
      <c r="Q402" s="56"/>
      <c r="R402" s="56"/>
      <c r="S402" s="56"/>
      <c r="T402" s="56"/>
      <c r="U402" s="56"/>
      <c r="V402" s="57"/>
      <c r="W402">
        <f>IF(Q402="Disponible",COUNTIFS($D$2:D402,D402,$Q$2:Q402,"Disponible"),"")</f>
      </c>
      <c r="X402">
        <f>IF(W402&lt;&gt;"",D402&amp;"|"&amp;W402,"")</f>
      </c>
      <c r="Y402">
        <f>IF(X402&lt;&gt;"",IF(K402&lt;&gt;"",K402&amp;" ("&amp;M402&amp;")",M402),"")</f>
      </c>
      <c r="Z402">
        <f>IF(O402="Sí",COUNTIFS($D$2:D402,D402,$O$2:O402,"Sí"),"")</f>
      </c>
      <c r="AA402">
        <f>IF(Z402&lt;&gt;"",D402&amp;"|"&amp;Z402,"")</f>
      </c>
      <c r="AB402">
        <f>IF(AA402&lt;&gt;"",IF(K402&lt;&gt;"",K402&amp;" ("&amp;M402&amp;")",M402),"")</f>
      </c>
      <c r="AC402">
        <f>IF($B402="","fecha, ","")&amp;IF($C402="","quién lo introduce, ","")&amp;IF($I402="","motivo, ","")&amp;IF($K402="","docente, ","")&amp;IF($L402="","horario, ","")&amp;IF($N402="","duración, ","")&amp;IF($Q402="","estado, ","")&amp;IF(AND($I402="Otros",$J402=""),"detalle del motivo, ","")&amp;IF(AND($O402="Sí",$P402=""),"detalle del refuerzo, ","")&amp;IF(AND(OR($I402="Renuncia (hasta 30 nov)",$I402="Baja (desde 1 dic)",$I402="Renuncia excepcional (art. 25.3)",$I402="Traslado de expediente"),OR($E402="",$F402="",$G402="")),"quién deja la plaza, ","")&amp;IF(AND($Q402="No disponible",$R402=""),"vía de cobertura, ","")&amp;IF(AND(OR($R402="Lista de espera · propio centro",$R402="Traslado de expediente",$R402="Lista de espera · otro centro"),OR($S402="",$T402="",$U402="")),"quién ocupa la plaza, ","")</f>
      </c>
      <c r="AD402" s="24">
        <f>IF($D402="","",IF(AND(LEN($AC402)=0,LEN($AK402)=0),"Completa",IF(LEN($AC402)=0,"Revisar: "&amp;LEFT($AK402,LEN($AK402)-2),"Falta: "&amp;LEFT($AC402,LEN($AC402)-2)&amp;IF(LEN($AK402)&gt;0,"  ·  Revisar: "&amp;LEFT($AK402,LEN($AK402)-2),""))))</f>
      </c>
      <c r="AE402">
        <f>IF(AND($D402&lt;&gt;"",OR($I402="Renuncia (hasta 30 nov)",$I402="Baja (desde 1 dic)",$I402="Renuncia excepcional (art. 25.3)",$I402="Traslado de expediente")),COUNTIF($AE$1:AE401,"&gt;0")+1,"")</f>
      </c>
      <c r="AF402">
        <f>IF($Q402="Disponible",COUNTIF($AF$1:AF401,"&gt;0")+1,"")</f>
      </c>
      <c r="AG402">
        <f>IF($O402="Sí",COUNTIF($AG$1:AG401,"&gt;0")+1,"")</f>
      </c>
      <c r="AH402">
        <f>IF(AND($Q402="Disponible",$O402&lt;&gt;"Sí"),COUNTIF($AH$1:AH401,"&gt;0")+1,"")</f>
      </c>
      <c r="AI402">
        <f>IF(AND($Q402="Disponible",$K402&lt;&gt;""),COUNTIFS($K$2:K402,K402,$Q$2:Q402,"Disponible"),"")</f>
      </c>
      <c r="AJ402">
        <f>IF(AI402&lt;&gt;"",K402&amp;"|"&amp;AI402,"")</f>
      </c>
      <c r="AK402">
        <f>IF(AND($Q402="No disponible",OR($R402="Lista de espera · propio centro",$R402="Traslado de expediente",$R402="Lista de espera · otro centro"),$O402="Sí"),"la plaza ya tiene alumno y sigue marcada como refuerzo, ","")&amp;IF(AND($R402="Reconvertida en refuerzo",$O402&lt;&gt;"Sí"),"reconvertida en refuerzo pero sin marcar «En uso como refuerzo», ","")</f>
      </c>
    </row>
    <row r="403" spans="1:37">
      <c r="A403" s="20">
        <f>IF(D403&lt;&gt;"",ROW()-1,"")</f>
      </c>
      <c r="B403" s="55"/>
      <c r="C403" s="56"/>
      <c r="D403" s="56"/>
      <c r="E403" s="56"/>
      <c r="F403" s="56"/>
      <c r="G403" s="56"/>
      <c r="H403" s="56"/>
      <c r="I403" s="56"/>
      <c r="J403" s="57"/>
      <c r="K403" s="56"/>
      <c r="L403" s="58"/>
      <c r="M403" s="58">
        <f>IF(L403="","",L403)</f>
      </c>
      <c r="N403" s="56"/>
      <c r="O403" s="56"/>
      <c r="P403" s="57"/>
      <c r="Q403" s="56"/>
      <c r="R403" s="56"/>
      <c r="S403" s="56"/>
      <c r="T403" s="56"/>
      <c r="U403" s="56"/>
      <c r="V403" s="57"/>
      <c r="W403">
        <f>IF(Q403="Disponible",COUNTIFS($D$2:D403,D403,$Q$2:Q403,"Disponible"),"")</f>
      </c>
      <c r="X403">
        <f>IF(W403&lt;&gt;"",D403&amp;"|"&amp;W403,"")</f>
      </c>
      <c r="Y403">
        <f>IF(X403&lt;&gt;"",IF(K403&lt;&gt;"",K403&amp;" ("&amp;M403&amp;")",M403),"")</f>
      </c>
      <c r="Z403">
        <f>IF(O403="Sí",COUNTIFS($D$2:D403,D403,$O$2:O403,"Sí"),"")</f>
      </c>
      <c r="AA403">
        <f>IF(Z403&lt;&gt;"",D403&amp;"|"&amp;Z403,"")</f>
      </c>
      <c r="AB403">
        <f>IF(AA403&lt;&gt;"",IF(K403&lt;&gt;"",K403&amp;" ("&amp;M403&amp;")",M403),"")</f>
      </c>
      <c r="AC403">
        <f>IF($B403="","fecha, ","")&amp;IF($C403="","quién lo introduce, ","")&amp;IF($I403="","motivo, ","")&amp;IF($K403="","docente, ","")&amp;IF($L403="","horario, ","")&amp;IF($N403="","duración, ","")&amp;IF($Q403="","estado, ","")&amp;IF(AND($I403="Otros",$J403=""),"detalle del motivo, ","")&amp;IF(AND($O403="Sí",$P403=""),"detalle del refuerzo, ","")&amp;IF(AND(OR($I403="Renuncia (hasta 30 nov)",$I403="Baja (desde 1 dic)",$I403="Renuncia excepcional (art. 25.3)",$I403="Traslado de expediente"),OR($E403="",$F403="",$G403="")),"quién deja la plaza, ","")&amp;IF(AND($Q403="No disponible",$R403=""),"vía de cobertura, ","")&amp;IF(AND(OR($R403="Lista de espera · propio centro",$R403="Traslado de expediente",$R403="Lista de espera · otro centro"),OR($S403="",$T403="",$U403="")),"quién ocupa la plaza, ","")</f>
      </c>
      <c r="AD403" s="24">
        <f>IF($D403="","",IF(AND(LEN($AC403)=0,LEN($AK403)=0),"Completa",IF(LEN($AC403)=0,"Revisar: "&amp;LEFT($AK403,LEN($AK403)-2),"Falta: "&amp;LEFT($AC403,LEN($AC403)-2)&amp;IF(LEN($AK403)&gt;0,"  ·  Revisar: "&amp;LEFT($AK403,LEN($AK403)-2),""))))</f>
      </c>
      <c r="AE403">
        <f>IF(AND($D403&lt;&gt;"",OR($I403="Renuncia (hasta 30 nov)",$I403="Baja (desde 1 dic)",$I403="Renuncia excepcional (art. 25.3)",$I403="Traslado de expediente")),COUNTIF($AE$1:AE402,"&gt;0")+1,"")</f>
      </c>
      <c r="AF403">
        <f>IF($Q403="Disponible",COUNTIF($AF$1:AF402,"&gt;0")+1,"")</f>
      </c>
      <c r="AG403">
        <f>IF($O403="Sí",COUNTIF($AG$1:AG402,"&gt;0")+1,"")</f>
      </c>
      <c r="AH403">
        <f>IF(AND($Q403="Disponible",$O403&lt;&gt;"Sí"),COUNTIF($AH$1:AH402,"&gt;0")+1,"")</f>
      </c>
      <c r="AI403">
        <f>IF(AND($Q403="Disponible",$K403&lt;&gt;""),COUNTIFS($K$2:K403,K403,$Q$2:Q403,"Disponible"),"")</f>
      </c>
      <c r="AJ403">
        <f>IF(AI403&lt;&gt;"",K403&amp;"|"&amp;AI403,"")</f>
      </c>
      <c r="AK403">
        <f>IF(AND($Q403="No disponible",OR($R403="Lista de espera · propio centro",$R403="Traslado de expediente",$R403="Lista de espera · otro centro"),$O403="Sí"),"la plaza ya tiene alumno y sigue marcada como refuerzo, ","")&amp;IF(AND($R403="Reconvertida en refuerzo",$O403&lt;&gt;"Sí"),"reconvertida en refuerzo pero sin marcar «En uso como refuerzo», ","")</f>
      </c>
    </row>
    <row r="404" spans="1:37">
      <c r="A404" s="20">
        <f>IF(D404&lt;&gt;"",ROW()-1,"")</f>
      </c>
      <c r="B404" s="55"/>
      <c r="C404" s="56"/>
      <c r="D404" s="56"/>
      <c r="E404" s="56"/>
      <c r="F404" s="56"/>
      <c r="G404" s="56"/>
      <c r="H404" s="56"/>
      <c r="I404" s="56"/>
      <c r="J404" s="57"/>
      <c r="K404" s="56"/>
      <c r="L404" s="58"/>
      <c r="M404" s="58">
        <f>IF(L404="","",L404)</f>
      </c>
      <c r="N404" s="56"/>
      <c r="O404" s="56"/>
      <c r="P404" s="57"/>
      <c r="Q404" s="56"/>
      <c r="R404" s="56"/>
      <c r="S404" s="56"/>
      <c r="T404" s="56"/>
      <c r="U404" s="56"/>
      <c r="V404" s="57"/>
      <c r="W404">
        <f>IF(Q404="Disponible",COUNTIFS($D$2:D404,D404,$Q$2:Q404,"Disponible"),"")</f>
      </c>
      <c r="X404">
        <f>IF(W404&lt;&gt;"",D404&amp;"|"&amp;W404,"")</f>
      </c>
      <c r="Y404">
        <f>IF(X404&lt;&gt;"",IF(K404&lt;&gt;"",K404&amp;" ("&amp;M404&amp;")",M404),"")</f>
      </c>
      <c r="Z404">
        <f>IF(O404="Sí",COUNTIFS($D$2:D404,D404,$O$2:O404,"Sí"),"")</f>
      </c>
      <c r="AA404">
        <f>IF(Z404&lt;&gt;"",D404&amp;"|"&amp;Z404,"")</f>
      </c>
      <c r="AB404">
        <f>IF(AA404&lt;&gt;"",IF(K404&lt;&gt;"",K404&amp;" ("&amp;M404&amp;")",M404),"")</f>
      </c>
      <c r="AC404">
        <f>IF($B404="","fecha, ","")&amp;IF($C404="","quién lo introduce, ","")&amp;IF($I404="","motivo, ","")&amp;IF($K404="","docente, ","")&amp;IF($L404="","horario, ","")&amp;IF($N404="","duración, ","")&amp;IF($Q404="","estado, ","")&amp;IF(AND($I404="Otros",$J404=""),"detalle del motivo, ","")&amp;IF(AND($O404="Sí",$P404=""),"detalle del refuerzo, ","")&amp;IF(AND(OR($I404="Renuncia (hasta 30 nov)",$I404="Baja (desde 1 dic)",$I404="Renuncia excepcional (art. 25.3)",$I404="Traslado de expediente"),OR($E404="",$F404="",$G404="")),"quién deja la plaza, ","")&amp;IF(AND($Q404="No disponible",$R404=""),"vía de cobertura, ","")&amp;IF(AND(OR($R404="Lista de espera · propio centro",$R404="Traslado de expediente",$R404="Lista de espera · otro centro"),OR($S404="",$T404="",$U404="")),"quién ocupa la plaza, ","")</f>
      </c>
      <c r="AD404" s="24">
        <f>IF($D404="","",IF(AND(LEN($AC404)=0,LEN($AK404)=0),"Completa",IF(LEN($AC404)=0,"Revisar: "&amp;LEFT($AK404,LEN($AK404)-2),"Falta: "&amp;LEFT($AC404,LEN($AC404)-2)&amp;IF(LEN($AK404)&gt;0,"  ·  Revisar: "&amp;LEFT($AK404,LEN($AK404)-2),""))))</f>
      </c>
      <c r="AE404">
        <f>IF(AND($D404&lt;&gt;"",OR($I404="Renuncia (hasta 30 nov)",$I404="Baja (desde 1 dic)",$I404="Renuncia excepcional (art. 25.3)",$I404="Traslado de expediente")),COUNTIF($AE$1:AE403,"&gt;0")+1,"")</f>
      </c>
      <c r="AF404">
        <f>IF($Q404="Disponible",COUNTIF($AF$1:AF403,"&gt;0")+1,"")</f>
      </c>
      <c r="AG404">
        <f>IF($O404="Sí",COUNTIF($AG$1:AG403,"&gt;0")+1,"")</f>
      </c>
      <c r="AH404">
        <f>IF(AND($Q404="Disponible",$O404&lt;&gt;"Sí"),COUNTIF($AH$1:AH403,"&gt;0")+1,"")</f>
      </c>
      <c r="AI404">
        <f>IF(AND($Q404="Disponible",$K404&lt;&gt;""),COUNTIFS($K$2:K404,K404,$Q$2:Q404,"Disponible"),"")</f>
      </c>
      <c r="AJ404">
        <f>IF(AI404&lt;&gt;"",K404&amp;"|"&amp;AI404,"")</f>
      </c>
      <c r="AK404">
        <f>IF(AND($Q404="No disponible",OR($R404="Lista de espera · propio centro",$R404="Traslado de expediente",$R404="Lista de espera · otro centro"),$O404="Sí"),"la plaza ya tiene alumno y sigue marcada como refuerzo, ","")&amp;IF(AND($R404="Reconvertida en refuerzo",$O404&lt;&gt;"Sí"),"reconvertida en refuerzo pero sin marcar «En uso como refuerzo», ","")</f>
      </c>
    </row>
    <row r="405" spans="1:37">
      <c r="A405" s="20">
        <f>IF(D405&lt;&gt;"",ROW()-1,"")</f>
      </c>
      <c r="B405" s="55"/>
      <c r="C405" s="56"/>
      <c r="D405" s="56"/>
      <c r="E405" s="56"/>
      <c r="F405" s="56"/>
      <c r="G405" s="56"/>
      <c r="H405" s="56"/>
      <c r="I405" s="56"/>
      <c r="J405" s="57"/>
      <c r="K405" s="56"/>
      <c r="L405" s="58"/>
      <c r="M405" s="58">
        <f>IF(L405="","",L405)</f>
      </c>
      <c r="N405" s="56"/>
      <c r="O405" s="56"/>
      <c r="P405" s="57"/>
      <c r="Q405" s="56"/>
      <c r="R405" s="56"/>
      <c r="S405" s="56"/>
      <c r="T405" s="56"/>
      <c r="U405" s="56"/>
      <c r="V405" s="57"/>
      <c r="W405">
        <f>IF(Q405="Disponible",COUNTIFS($D$2:D405,D405,$Q$2:Q405,"Disponible"),"")</f>
      </c>
      <c r="X405">
        <f>IF(W405&lt;&gt;"",D405&amp;"|"&amp;W405,"")</f>
      </c>
      <c r="Y405">
        <f>IF(X405&lt;&gt;"",IF(K405&lt;&gt;"",K405&amp;" ("&amp;M405&amp;")",M405),"")</f>
      </c>
      <c r="Z405">
        <f>IF(O405="Sí",COUNTIFS($D$2:D405,D405,$O$2:O405,"Sí"),"")</f>
      </c>
      <c r="AA405">
        <f>IF(Z405&lt;&gt;"",D405&amp;"|"&amp;Z405,"")</f>
      </c>
      <c r="AB405">
        <f>IF(AA405&lt;&gt;"",IF(K405&lt;&gt;"",K405&amp;" ("&amp;M405&amp;")",M405),"")</f>
      </c>
      <c r="AC405">
        <f>IF($B405="","fecha, ","")&amp;IF($C405="","quién lo introduce, ","")&amp;IF($I405="","motivo, ","")&amp;IF($K405="","docente, ","")&amp;IF($L405="","horario, ","")&amp;IF($N405="","duración, ","")&amp;IF($Q405="","estado, ","")&amp;IF(AND($I405="Otros",$J405=""),"detalle del motivo, ","")&amp;IF(AND($O405="Sí",$P405=""),"detalle del refuerzo, ","")&amp;IF(AND(OR($I405="Renuncia (hasta 30 nov)",$I405="Baja (desde 1 dic)",$I405="Renuncia excepcional (art. 25.3)",$I405="Traslado de expediente"),OR($E405="",$F405="",$G405="")),"quién deja la plaza, ","")&amp;IF(AND($Q405="No disponible",$R405=""),"vía de cobertura, ","")&amp;IF(AND(OR($R405="Lista de espera · propio centro",$R405="Traslado de expediente",$R405="Lista de espera · otro centro"),OR($S405="",$T405="",$U405="")),"quién ocupa la plaza, ","")</f>
      </c>
      <c r="AD405" s="24">
        <f>IF($D405="","",IF(AND(LEN($AC405)=0,LEN($AK405)=0),"Completa",IF(LEN($AC405)=0,"Revisar: "&amp;LEFT($AK405,LEN($AK405)-2),"Falta: "&amp;LEFT($AC405,LEN($AC405)-2)&amp;IF(LEN($AK405)&gt;0,"  ·  Revisar: "&amp;LEFT($AK405,LEN($AK405)-2),""))))</f>
      </c>
      <c r="AE405">
        <f>IF(AND($D405&lt;&gt;"",OR($I405="Renuncia (hasta 30 nov)",$I405="Baja (desde 1 dic)",$I405="Renuncia excepcional (art. 25.3)",$I405="Traslado de expediente")),COUNTIF($AE$1:AE404,"&gt;0")+1,"")</f>
      </c>
      <c r="AF405">
        <f>IF($Q405="Disponible",COUNTIF($AF$1:AF404,"&gt;0")+1,"")</f>
      </c>
      <c r="AG405">
        <f>IF($O405="Sí",COUNTIF($AG$1:AG404,"&gt;0")+1,"")</f>
      </c>
      <c r="AH405">
        <f>IF(AND($Q405="Disponible",$O405&lt;&gt;"Sí"),COUNTIF($AH$1:AH404,"&gt;0")+1,"")</f>
      </c>
      <c r="AI405">
        <f>IF(AND($Q405="Disponible",$K405&lt;&gt;""),COUNTIFS($K$2:K405,K405,$Q$2:Q405,"Disponible"),"")</f>
      </c>
      <c r="AJ405">
        <f>IF(AI405&lt;&gt;"",K405&amp;"|"&amp;AI405,"")</f>
      </c>
      <c r="AK405">
        <f>IF(AND($Q405="No disponible",OR($R405="Lista de espera · propio centro",$R405="Traslado de expediente",$R405="Lista de espera · otro centro"),$O405="Sí"),"la plaza ya tiene alumno y sigue marcada como refuerzo, ","")&amp;IF(AND($R405="Reconvertida en refuerzo",$O405&lt;&gt;"Sí"),"reconvertida en refuerzo pero sin marcar «En uso como refuerzo», ","")</f>
      </c>
    </row>
    <row r="406" spans="1:37">
      <c r="A406" s="20">
        <f>IF(D406&lt;&gt;"",ROW()-1,"")</f>
      </c>
      <c r="B406" s="55"/>
      <c r="C406" s="56"/>
      <c r="D406" s="56"/>
      <c r="E406" s="56"/>
      <c r="F406" s="56"/>
      <c r="G406" s="56"/>
      <c r="H406" s="56"/>
      <c r="I406" s="56"/>
      <c r="J406" s="57"/>
      <c r="K406" s="56"/>
      <c r="L406" s="58"/>
      <c r="M406" s="58">
        <f>IF(L406="","",L406)</f>
      </c>
      <c r="N406" s="56"/>
      <c r="O406" s="56"/>
      <c r="P406" s="57"/>
      <c r="Q406" s="56"/>
      <c r="R406" s="56"/>
      <c r="S406" s="56"/>
      <c r="T406" s="56"/>
      <c r="U406" s="56"/>
      <c r="V406" s="57"/>
      <c r="W406">
        <f>IF(Q406="Disponible",COUNTIFS($D$2:D406,D406,$Q$2:Q406,"Disponible"),"")</f>
      </c>
      <c r="X406">
        <f>IF(W406&lt;&gt;"",D406&amp;"|"&amp;W406,"")</f>
      </c>
      <c r="Y406">
        <f>IF(X406&lt;&gt;"",IF(K406&lt;&gt;"",K406&amp;" ("&amp;M406&amp;")",M406),"")</f>
      </c>
      <c r="Z406">
        <f>IF(O406="Sí",COUNTIFS($D$2:D406,D406,$O$2:O406,"Sí"),"")</f>
      </c>
      <c r="AA406">
        <f>IF(Z406&lt;&gt;"",D406&amp;"|"&amp;Z406,"")</f>
      </c>
      <c r="AB406">
        <f>IF(AA406&lt;&gt;"",IF(K406&lt;&gt;"",K406&amp;" ("&amp;M406&amp;")",M406),"")</f>
      </c>
      <c r="AC406">
        <f>IF($B406="","fecha, ","")&amp;IF($C406="","quién lo introduce, ","")&amp;IF($I406="","motivo, ","")&amp;IF($K406="","docente, ","")&amp;IF($L406="","horario, ","")&amp;IF($N406="","duración, ","")&amp;IF($Q406="","estado, ","")&amp;IF(AND($I406="Otros",$J406=""),"detalle del motivo, ","")&amp;IF(AND($O406="Sí",$P406=""),"detalle del refuerzo, ","")&amp;IF(AND(OR($I406="Renuncia (hasta 30 nov)",$I406="Baja (desde 1 dic)",$I406="Renuncia excepcional (art. 25.3)",$I406="Traslado de expediente"),OR($E406="",$F406="",$G406="")),"quién deja la plaza, ","")&amp;IF(AND($Q406="No disponible",$R406=""),"vía de cobertura, ","")&amp;IF(AND(OR($R406="Lista de espera · propio centro",$R406="Traslado de expediente",$R406="Lista de espera · otro centro"),OR($S406="",$T406="",$U406="")),"quién ocupa la plaza, ","")</f>
      </c>
      <c r="AD406" s="24">
        <f>IF($D406="","",IF(AND(LEN($AC406)=0,LEN($AK406)=0),"Completa",IF(LEN($AC406)=0,"Revisar: "&amp;LEFT($AK406,LEN($AK406)-2),"Falta: "&amp;LEFT($AC406,LEN($AC406)-2)&amp;IF(LEN($AK406)&gt;0,"  ·  Revisar: "&amp;LEFT($AK406,LEN($AK406)-2),""))))</f>
      </c>
      <c r="AE406">
        <f>IF(AND($D406&lt;&gt;"",OR($I406="Renuncia (hasta 30 nov)",$I406="Baja (desde 1 dic)",$I406="Renuncia excepcional (art. 25.3)",$I406="Traslado de expediente")),COUNTIF($AE$1:AE405,"&gt;0")+1,"")</f>
      </c>
      <c r="AF406">
        <f>IF($Q406="Disponible",COUNTIF($AF$1:AF405,"&gt;0")+1,"")</f>
      </c>
      <c r="AG406">
        <f>IF($O406="Sí",COUNTIF($AG$1:AG405,"&gt;0")+1,"")</f>
      </c>
      <c r="AH406">
        <f>IF(AND($Q406="Disponible",$O406&lt;&gt;"Sí"),COUNTIF($AH$1:AH405,"&gt;0")+1,"")</f>
      </c>
      <c r="AI406">
        <f>IF(AND($Q406="Disponible",$K406&lt;&gt;""),COUNTIFS($K$2:K406,K406,$Q$2:Q406,"Disponible"),"")</f>
      </c>
      <c r="AJ406">
        <f>IF(AI406&lt;&gt;"",K406&amp;"|"&amp;AI406,"")</f>
      </c>
      <c r="AK406">
        <f>IF(AND($Q406="No disponible",OR($R406="Lista de espera · propio centro",$R406="Traslado de expediente",$R406="Lista de espera · otro centro"),$O406="Sí"),"la plaza ya tiene alumno y sigue marcada como refuerzo, ","")&amp;IF(AND($R406="Reconvertida en refuerzo",$O406&lt;&gt;"Sí"),"reconvertida en refuerzo pero sin marcar «En uso como refuerzo», ","")</f>
      </c>
    </row>
    <row r="407" spans="1:37">
      <c r="A407" s="20">
        <f>IF(D407&lt;&gt;"",ROW()-1,"")</f>
      </c>
      <c r="B407" s="55"/>
      <c r="C407" s="56"/>
      <c r="D407" s="56"/>
      <c r="E407" s="56"/>
      <c r="F407" s="56"/>
      <c r="G407" s="56"/>
      <c r="H407" s="56"/>
      <c r="I407" s="56"/>
      <c r="J407" s="57"/>
      <c r="K407" s="56"/>
      <c r="L407" s="58"/>
      <c r="M407" s="58">
        <f>IF(L407="","",L407)</f>
      </c>
      <c r="N407" s="56"/>
      <c r="O407" s="56"/>
      <c r="P407" s="57"/>
      <c r="Q407" s="56"/>
      <c r="R407" s="56"/>
      <c r="S407" s="56"/>
      <c r="T407" s="56"/>
      <c r="U407" s="56"/>
      <c r="V407" s="57"/>
      <c r="W407">
        <f>IF(Q407="Disponible",COUNTIFS($D$2:D407,D407,$Q$2:Q407,"Disponible"),"")</f>
      </c>
      <c r="X407">
        <f>IF(W407&lt;&gt;"",D407&amp;"|"&amp;W407,"")</f>
      </c>
      <c r="Y407">
        <f>IF(X407&lt;&gt;"",IF(K407&lt;&gt;"",K407&amp;" ("&amp;M407&amp;")",M407),"")</f>
      </c>
      <c r="Z407">
        <f>IF(O407="Sí",COUNTIFS($D$2:D407,D407,$O$2:O407,"Sí"),"")</f>
      </c>
      <c r="AA407">
        <f>IF(Z407&lt;&gt;"",D407&amp;"|"&amp;Z407,"")</f>
      </c>
      <c r="AB407">
        <f>IF(AA407&lt;&gt;"",IF(K407&lt;&gt;"",K407&amp;" ("&amp;M407&amp;")",M407),"")</f>
      </c>
      <c r="AC407">
        <f>IF($B407="","fecha, ","")&amp;IF($C407="","quién lo introduce, ","")&amp;IF($I407="","motivo, ","")&amp;IF($K407="","docente, ","")&amp;IF($L407="","horario, ","")&amp;IF($N407="","duración, ","")&amp;IF($Q407="","estado, ","")&amp;IF(AND($I407="Otros",$J407=""),"detalle del motivo, ","")&amp;IF(AND($O407="Sí",$P407=""),"detalle del refuerzo, ","")&amp;IF(AND(OR($I407="Renuncia (hasta 30 nov)",$I407="Baja (desde 1 dic)",$I407="Renuncia excepcional (art. 25.3)",$I407="Traslado de expediente"),OR($E407="",$F407="",$G407="")),"quién deja la plaza, ","")&amp;IF(AND($Q407="No disponible",$R407=""),"vía de cobertura, ","")&amp;IF(AND(OR($R407="Lista de espera · propio centro",$R407="Traslado de expediente",$R407="Lista de espera · otro centro"),OR($S407="",$T407="",$U407="")),"quién ocupa la plaza, ","")</f>
      </c>
      <c r="AD407" s="24">
        <f>IF($D407="","",IF(AND(LEN($AC407)=0,LEN($AK407)=0),"Completa",IF(LEN($AC407)=0,"Revisar: "&amp;LEFT($AK407,LEN($AK407)-2),"Falta: "&amp;LEFT($AC407,LEN($AC407)-2)&amp;IF(LEN($AK407)&gt;0,"  ·  Revisar: "&amp;LEFT($AK407,LEN($AK407)-2),""))))</f>
      </c>
      <c r="AE407">
        <f>IF(AND($D407&lt;&gt;"",OR($I407="Renuncia (hasta 30 nov)",$I407="Baja (desde 1 dic)",$I407="Renuncia excepcional (art. 25.3)",$I407="Traslado de expediente")),COUNTIF($AE$1:AE406,"&gt;0")+1,"")</f>
      </c>
      <c r="AF407">
        <f>IF($Q407="Disponible",COUNTIF($AF$1:AF406,"&gt;0")+1,"")</f>
      </c>
      <c r="AG407">
        <f>IF($O407="Sí",COUNTIF($AG$1:AG406,"&gt;0")+1,"")</f>
      </c>
      <c r="AH407">
        <f>IF(AND($Q407="Disponible",$O407&lt;&gt;"Sí"),COUNTIF($AH$1:AH406,"&gt;0")+1,"")</f>
      </c>
      <c r="AI407">
        <f>IF(AND($Q407="Disponible",$K407&lt;&gt;""),COUNTIFS($K$2:K407,K407,$Q$2:Q407,"Disponible"),"")</f>
      </c>
      <c r="AJ407">
        <f>IF(AI407&lt;&gt;"",K407&amp;"|"&amp;AI407,"")</f>
      </c>
      <c r="AK407">
        <f>IF(AND($Q407="No disponible",OR($R407="Lista de espera · propio centro",$R407="Traslado de expediente",$R407="Lista de espera · otro centro"),$O407="Sí"),"la plaza ya tiene alumno y sigue marcada como refuerzo, ","")&amp;IF(AND($R407="Reconvertida en refuerzo",$O407&lt;&gt;"Sí"),"reconvertida en refuerzo pero sin marcar «En uso como refuerzo», ","")</f>
      </c>
    </row>
    <row r="408" spans="1:37">
      <c r="A408" s="20">
        <f>IF(D408&lt;&gt;"",ROW()-1,"")</f>
      </c>
      <c r="B408" s="55"/>
      <c r="C408" s="56"/>
      <c r="D408" s="56"/>
      <c r="E408" s="56"/>
      <c r="F408" s="56"/>
      <c r="G408" s="56"/>
      <c r="H408" s="56"/>
      <c r="I408" s="56"/>
      <c r="J408" s="57"/>
      <c r="K408" s="56"/>
      <c r="L408" s="58"/>
      <c r="M408" s="58">
        <f>IF(L408="","",L408)</f>
      </c>
      <c r="N408" s="56"/>
      <c r="O408" s="56"/>
      <c r="P408" s="57"/>
      <c r="Q408" s="56"/>
      <c r="R408" s="56"/>
      <c r="S408" s="56"/>
      <c r="T408" s="56"/>
      <c r="U408" s="56"/>
      <c r="V408" s="57"/>
      <c r="W408">
        <f>IF(Q408="Disponible",COUNTIFS($D$2:D408,D408,$Q$2:Q408,"Disponible"),"")</f>
      </c>
      <c r="X408">
        <f>IF(W408&lt;&gt;"",D408&amp;"|"&amp;W408,"")</f>
      </c>
      <c r="Y408">
        <f>IF(X408&lt;&gt;"",IF(K408&lt;&gt;"",K408&amp;" ("&amp;M408&amp;")",M408),"")</f>
      </c>
      <c r="Z408">
        <f>IF(O408="Sí",COUNTIFS($D$2:D408,D408,$O$2:O408,"Sí"),"")</f>
      </c>
      <c r="AA408">
        <f>IF(Z408&lt;&gt;"",D408&amp;"|"&amp;Z408,"")</f>
      </c>
      <c r="AB408">
        <f>IF(AA408&lt;&gt;"",IF(K408&lt;&gt;"",K408&amp;" ("&amp;M408&amp;")",M408),"")</f>
      </c>
      <c r="AC408">
        <f>IF($B408="","fecha, ","")&amp;IF($C408="","quién lo introduce, ","")&amp;IF($I408="","motivo, ","")&amp;IF($K408="","docente, ","")&amp;IF($L408="","horario, ","")&amp;IF($N408="","duración, ","")&amp;IF($Q408="","estado, ","")&amp;IF(AND($I408="Otros",$J408=""),"detalle del motivo, ","")&amp;IF(AND($O408="Sí",$P408=""),"detalle del refuerzo, ","")&amp;IF(AND(OR($I408="Renuncia (hasta 30 nov)",$I408="Baja (desde 1 dic)",$I408="Renuncia excepcional (art. 25.3)",$I408="Traslado de expediente"),OR($E408="",$F408="",$G408="")),"quién deja la plaza, ","")&amp;IF(AND($Q408="No disponible",$R408=""),"vía de cobertura, ","")&amp;IF(AND(OR($R408="Lista de espera · propio centro",$R408="Traslado de expediente",$R408="Lista de espera · otro centro"),OR($S408="",$T408="",$U408="")),"quién ocupa la plaza, ","")</f>
      </c>
      <c r="AD408" s="24">
        <f>IF($D408="","",IF(AND(LEN($AC408)=0,LEN($AK408)=0),"Completa",IF(LEN($AC408)=0,"Revisar: "&amp;LEFT($AK408,LEN($AK408)-2),"Falta: "&amp;LEFT($AC408,LEN($AC408)-2)&amp;IF(LEN($AK408)&gt;0,"  ·  Revisar: "&amp;LEFT($AK408,LEN($AK408)-2),""))))</f>
      </c>
      <c r="AE408">
        <f>IF(AND($D408&lt;&gt;"",OR($I408="Renuncia (hasta 30 nov)",$I408="Baja (desde 1 dic)",$I408="Renuncia excepcional (art. 25.3)",$I408="Traslado de expediente")),COUNTIF($AE$1:AE407,"&gt;0")+1,"")</f>
      </c>
      <c r="AF408">
        <f>IF($Q408="Disponible",COUNTIF($AF$1:AF407,"&gt;0")+1,"")</f>
      </c>
      <c r="AG408">
        <f>IF($O408="Sí",COUNTIF($AG$1:AG407,"&gt;0")+1,"")</f>
      </c>
      <c r="AH408">
        <f>IF(AND($Q408="Disponible",$O408&lt;&gt;"Sí"),COUNTIF($AH$1:AH407,"&gt;0")+1,"")</f>
      </c>
      <c r="AI408">
        <f>IF(AND($Q408="Disponible",$K408&lt;&gt;""),COUNTIFS($K$2:K408,K408,$Q$2:Q408,"Disponible"),"")</f>
      </c>
      <c r="AJ408">
        <f>IF(AI408&lt;&gt;"",K408&amp;"|"&amp;AI408,"")</f>
      </c>
      <c r="AK408">
        <f>IF(AND($Q408="No disponible",OR($R408="Lista de espera · propio centro",$R408="Traslado de expediente",$R408="Lista de espera · otro centro"),$O408="Sí"),"la plaza ya tiene alumno y sigue marcada como refuerzo, ","")&amp;IF(AND($R408="Reconvertida en refuerzo",$O408&lt;&gt;"Sí"),"reconvertida en refuerzo pero sin marcar «En uso como refuerzo», ","")</f>
      </c>
    </row>
    <row r="409" spans="1:37">
      <c r="A409" s="20">
        <f>IF(D409&lt;&gt;"",ROW()-1,"")</f>
      </c>
      <c r="B409" s="55"/>
      <c r="C409" s="56"/>
      <c r="D409" s="56"/>
      <c r="E409" s="56"/>
      <c r="F409" s="56"/>
      <c r="G409" s="56"/>
      <c r="H409" s="56"/>
      <c r="I409" s="56"/>
      <c r="J409" s="57"/>
      <c r="K409" s="56"/>
      <c r="L409" s="58"/>
      <c r="M409" s="58">
        <f>IF(L409="","",L409)</f>
      </c>
      <c r="N409" s="56"/>
      <c r="O409" s="56"/>
      <c r="P409" s="57"/>
      <c r="Q409" s="56"/>
      <c r="R409" s="56"/>
      <c r="S409" s="56"/>
      <c r="T409" s="56"/>
      <c r="U409" s="56"/>
      <c r="V409" s="57"/>
      <c r="W409">
        <f>IF(Q409="Disponible",COUNTIFS($D$2:D409,D409,$Q$2:Q409,"Disponible"),"")</f>
      </c>
      <c r="X409">
        <f>IF(W409&lt;&gt;"",D409&amp;"|"&amp;W409,"")</f>
      </c>
      <c r="Y409">
        <f>IF(X409&lt;&gt;"",IF(K409&lt;&gt;"",K409&amp;" ("&amp;M409&amp;")",M409),"")</f>
      </c>
      <c r="Z409">
        <f>IF(O409="Sí",COUNTIFS($D$2:D409,D409,$O$2:O409,"Sí"),"")</f>
      </c>
      <c r="AA409">
        <f>IF(Z409&lt;&gt;"",D409&amp;"|"&amp;Z409,"")</f>
      </c>
      <c r="AB409">
        <f>IF(AA409&lt;&gt;"",IF(K409&lt;&gt;"",K409&amp;" ("&amp;M409&amp;")",M409),"")</f>
      </c>
      <c r="AC409">
        <f>IF($B409="","fecha, ","")&amp;IF($C409="","quién lo introduce, ","")&amp;IF($I409="","motivo, ","")&amp;IF($K409="","docente, ","")&amp;IF($L409="","horario, ","")&amp;IF($N409="","duración, ","")&amp;IF($Q409="","estado, ","")&amp;IF(AND($I409="Otros",$J409=""),"detalle del motivo, ","")&amp;IF(AND($O409="Sí",$P409=""),"detalle del refuerzo, ","")&amp;IF(AND(OR($I409="Renuncia (hasta 30 nov)",$I409="Baja (desde 1 dic)",$I409="Renuncia excepcional (art. 25.3)",$I409="Traslado de expediente"),OR($E409="",$F409="",$G409="")),"quién deja la plaza, ","")&amp;IF(AND($Q409="No disponible",$R409=""),"vía de cobertura, ","")&amp;IF(AND(OR($R409="Lista de espera · propio centro",$R409="Traslado de expediente",$R409="Lista de espera · otro centro"),OR($S409="",$T409="",$U409="")),"quién ocupa la plaza, ","")</f>
      </c>
      <c r="AD409" s="24">
        <f>IF($D409="","",IF(AND(LEN($AC409)=0,LEN($AK409)=0),"Completa",IF(LEN($AC409)=0,"Revisar: "&amp;LEFT($AK409,LEN($AK409)-2),"Falta: "&amp;LEFT($AC409,LEN($AC409)-2)&amp;IF(LEN($AK409)&gt;0,"  ·  Revisar: "&amp;LEFT($AK409,LEN($AK409)-2),""))))</f>
      </c>
      <c r="AE409">
        <f>IF(AND($D409&lt;&gt;"",OR($I409="Renuncia (hasta 30 nov)",$I409="Baja (desde 1 dic)",$I409="Renuncia excepcional (art. 25.3)",$I409="Traslado de expediente")),COUNTIF($AE$1:AE408,"&gt;0")+1,"")</f>
      </c>
      <c r="AF409">
        <f>IF($Q409="Disponible",COUNTIF($AF$1:AF408,"&gt;0")+1,"")</f>
      </c>
      <c r="AG409">
        <f>IF($O409="Sí",COUNTIF($AG$1:AG408,"&gt;0")+1,"")</f>
      </c>
      <c r="AH409">
        <f>IF(AND($Q409="Disponible",$O409&lt;&gt;"Sí"),COUNTIF($AH$1:AH408,"&gt;0")+1,"")</f>
      </c>
      <c r="AI409">
        <f>IF(AND($Q409="Disponible",$K409&lt;&gt;""),COUNTIFS($K$2:K409,K409,$Q$2:Q409,"Disponible"),"")</f>
      </c>
      <c r="AJ409">
        <f>IF(AI409&lt;&gt;"",K409&amp;"|"&amp;AI409,"")</f>
      </c>
      <c r="AK409">
        <f>IF(AND($Q409="No disponible",OR($R409="Lista de espera · propio centro",$R409="Traslado de expediente",$R409="Lista de espera · otro centro"),$O409="Sí"),"la plaza ya tiene alumno y sigue marcada como refuerzo, ","")&amp;IF(AND($R409="Reconvertida en refuerzo",$O409&lt;&gt;"Sí"),"reconvertida en refuerzo pero sin marcar «En uso como refuerzo», ","")</f>
      </c>
    </row>
    <row r="410" spans="1:37">
      <c r="A410" s="20">
        <f>IF(D410&lt;&gt;"",ROW()-1,"")</f>
      </c>
      <c r="B410" s="55"/>
      <c r="C410" s="56"/>
      <c r="D410" s="56"/>
      <c r="E410" s="56"/>
      <c r="F410" s="56"/>
      <c r="G410" s="56"/>
      <c r="H410" s="56"/>
      <c r="I410" s="56"/>
      <c r="J410" s="57"/>
      <c r="K410" s="56"/>
      <c r="L410" s="58"/>
      <c r="M410" s="58">
        <f>IF(L410="","",L410)</f>
      </c>
      <c r="N410" s="56"/>
      <c r="O410" s="56"/>
      <c r="P410" s="57"/>
      <c r="Q410" s="56"/>
      <c r="R410" s="56"/>
      <c r="S410" s="56"/>
      <c r="T410" s="56"/>
      <c r="U410" s="56"/>
      <c r="V410" s="57"/>
      <c r="W410">
        <f>IF(Q410="Disponible",COUNTIFS($D$2:D410,D410,$Q$2:Q410,"Disponible"),"")</f>
      </c>
      <c r="X410">
        <f>IF(W410&lt;&gt;"",D410&amp;"|"&amp;W410,"")</f>
      </c>
      <c r="Y410">
        <f>IF(X410&lt;&gt;"",IF(K410&lt;&gt;"",K410&amp;" ("&amp;M410&amp;")",M410),"")</f>
      </c>
      <c r="Z410">
        <f>IF(O410="Sí",COUNTIFS($D$2:D410,D410,$O$2:O410,"Sí"),"")</f>
      </c>
      <c r="AA410">
        <f>IF(Z410&lt;&gt;"",D410&amp;"|"&amp;Z410,"")</f>
      </c>
      <c r="AB410">
        <f>IF(AA410&lt;&gt;"",IF(K410&lt;&gt;"",K410&amp;" ("&amp;M410&amp;")",M410),"")</f>
      </c>
      <c r="AC410">
        <f>IF($B410="","fecha, ","")&amp;IF($C410="","quién lo introduce, ","")&amp;IF($I410="","motivo, ","")&amp;IF($K410="","docente, ","")&amp;IF($L410="","horario, ","")&amp;IF($N410="","duración, ","")&amp;IF($Q410="","estado, ","")&amp;IF(AND($I410="Otros",$J410=""),"detalle del motivo, ","")&amp;IF(AND($O410="Sí",$P410=""),"detalle del refuerzo, ","")&amp;IF(AND(OR($I410="Renuncia (hasta 30 nov)",$I410="Baja (desde 1 dic)",$I410="Renuncia excepcional (art. 25.3)",$I410="Traslado de expediente"),OR($E410="",$F410="",$G410="")),"quién deja la plaza, ","")&amp;IF(AND($Q410="No disponible",$R410=""),"vía de cobertura, ","")&amp;IF(AND(OR($R410="Lista de espera · propio centro",$R410="Traslado de expediente",$R410="Lista de espera · otro centro"),OR($S410="",$T410="",$U410="")),"quién ocupa la plaza, ","")</f>
      </c>
      <c r="AD410" s="24">
        <f>IF($D410="","",IF(AND(LEN($AC410)=0,LEN($AK410)=0),"Completa",IF(LEN($AC410)=0,"Revisar: "&amp;LEFT($AK410,LEN($AK410)-2),"Falta: "&amp;LEFT($AC410,LEN($AC410)-2)&amp;IF(LEN($AK410)&gt;0,"  ·  Revisar: "&amp;LEFT($AK410,LEN($AK410)-2),""))))</f>
      </c>
      <c r="AE410">
        <f>IF(AND($D410&lt;&gt;"",OR($I410="Renuncia (hasta 30 nov)",$I410="Baja (desde 1 dic)",$I410="Renuncia excepcional (art. 25.3)",$I410="Traslado de expediente")),COUNTIF($AE$1:AE409,"&gt;0")+1,"")</f>
      </c>
      <c r="AF410">
        <f>IF($Q410="Disponible",COUNTIF($AF$1:AF409,"&gt;0")+1,"")</f>
      </c>
      <c r="AG410">
        <f>IF($O410="Sí",COUNTIF($AG$1:AG409,"&gt;0")+1,"")</f>
      </c>
      <c r="AH410">
        <f>IF(AND($Q410="Disponible",$O410&lt;&gt;"Sí"),COUNTIF($AH$1:AH409,"&gt;0")+1,"")</f>
      </c>
      <c r="AI410">
        <f>IF(AND($Q410="Disponible",$K410&lt;&gt;""),COUNTIFS($K$2:K410,K410,$Q$2:Q410,"Disponible"),"")</f>
      </c>
      <c r="AJ410">
        <f>IF(AI410&lt;&gt;"",K410&amp;"|"&amp;AI410,"")</f>
      </c>
      <c r="AK410">
        <f>IF(AND($Q410="No disponible",OR($R410="Lista de espera · propio centro",$R410="Traslado de expediente",$R410="Lista de espera · otro centro"),$O410="Sí"),"la plaza ya tiene alumno y sigue marcada como refuerzo, ","")&amp;IF(AND($R410="Reconvertida en refuerzo",$O410&lt;&gt;"Sí"),"reconvertida en refuerzo pero sin marcar «En uso como refuerzo», ","")</f>
      </c>
    </row>
    <row r="411" spans="1:37">
      <c r="A411" s="20">
        <f>IF(D411&lt;&gt;"",ROW()-1,"")</f>
      </c>
      <c r="B411" s="55"/>
      <c r="C411" s="56"/>
      <c r="D411" s="56"/>
      <c r="E411" s="56"/>
      <c r="F411" s="56"/>
      <c r="G411" s="56"/>
      <c r="H411" s="56"/>
      <c r="I411" s="56"/>
      <c r="J411" s="57"/>
      <c r="K411" s="56"/>
      <c r="L411" s="58"/>
      <c r="M411" s="58">
        <f>IF(L411="","",L411)</f>
      </c>
      <c r="N411" s="56"/>
      <c r="O411" s="56"/>
      <c r="P411" s="57"/>
      <c r="Q411" s="56"/>
      <c r="R411" s="56"/>
      <c r="S411" s="56"/>
      <c r="T411" s="56"/>
      <c r="U411" s="56"/>
      <c r="V411" s="57"/>
      <c r="W411">
        <f>IF(Q411="Disponible",COUNTIFS($D$2:D411,D411,$Q$2:Q411,"Disponible"),"")</f>
      </c>
      <c r="X411">
        <f>IF(W411&lt;&gt;"",D411&amp;"|"&amp;W411,"")</f>
      </c>
      <c r="Y411">
        <f>IF(X411&lt;&gt;"",IF(K411&lt;&gt;"",K411&amp;" ("&amp;M411&amp;")",M411),"")</f>
      </c>
      <c r="Z411">
        <f>IF(O411="Sí",COUNTIFS($D$2:D411,D411,$O$2:O411,"Sí"),"")</f>
      </c>
      <c r="AA411">
        <f>IF(Z411&lt;&gt;"",D411&amp;"|"&amp;Z411,"")</f>
      </c>
      <c r="AB411">
        <f>IF(AA411&lt;&gt;"",IF(K411&lt;&gt;"",K411&amp;" ("&amp;M411&amp;")",M411),"")</f>
      </c>
      <c r="AC411">
        <f>IF($B411="","fecha, ","")&amp;IF($C411="","quién lo introduce, ","")&amp;IF($I411="","motivo, ","")&amp;IF($K411="","docente, ","")&amp;IF($L411="","horario, ","")&amp;IF($N411="","duración, ","")&amp;IF($Q411="","estado, ","")&amp;IF(AND($I411="Otros",$J411=""),"detalle del motivo, ","")&amp;IF(AND($O411="Sí",$P411=""),"detalle del refuerzo, ","")&amp;IF(AND(OR($I411="Renuncia (hasta 30 nov)",$I411="Baja (desde 1 dic)",$I411="Renuncia excepcional (art. 25.3)",$I411="Traslado de expediente"),OR($E411="",$F411="",$G411="")),"quién deja la plaza, ","")&amp;IF(AND($Q411="No disponible",$R411=""),"vía de cobertura, ","")&amp;IF(AND(OR($R411="Lista de espera · propio centro",$R411="Traslado de expediente",$R411="Lista de espera · otro centro"),OR($S411="",$T411="",$U411="")),"quién ocupa la plaza, ","")</f>
      </c>
      <c r="AD411" s="24">
        <f>IF($D411="","",IF(AND(LEN($AC411)=0,LEN($AK411)=0),"Completa",IF(LEN($AC411)=0,"Revisar: "&amp;LEFT($AK411,LEN($AK411)-2),"Falta: "&amp;LEFT($AC411,LEN($AC411)-2)&amp;IF(LEN($AK411)&gt;0,"  ·  Revisar: "&amp;LEFT($AK411,LEN($AK411)-2),""))))</f>
      </c>
      <c r="AE411">
        <f>IF(AND($D411&lt;&gt;"",OR($I411="Renuncia (hasta 30 nov)",$I411="Baja (desde 1 dic)",$I411="Renuncia excepcional (art. 25.3)",$I411="Traslado de expediente")),COUNTIF($AE$1:AE410,"&gt;0")+1,"")</f>
      </c>
      <c r="AF411">
        <f>IF($Q411="Disponible",COUNTIF($AF$1:AF410,"&gt;0")+1,"")</f>
      </c>
      <c r="AG411">
        <f>IF($O411="Sí",COUNTIF($AG$1:AG410,"&gt;0")+1,"")</f>
      </c>
      <c r="AH411">
        <f>IF(AND($Q411="Disponible",$O411&lt;&gt;"Sí"),COUNTIF($AH$1:AH410,"&gt;0")+1,"")</f>
      </c>
      <c r="AI411">
        <f>IF(AND($Q411="Disponible",$K411&lt;&gt;""),COUNTIFS($K$2:K411,K411,$Q$2:Q411,"Disponible"),"")</f>
      </c>
      <c r="AJ411">
        <f>IF(AI411&lt;&gt;"",K411&amp;"|"&amp;AI411,"")</f>
      </c>
      <c r="AK411">
        <f>IF(AND($Q411="No disponible",OR($R411="Lista de espera · propio centro",$R411="Traslado de expediente",$R411="Lista de espera · otro centro"),$O411="Sí"),"la plaza ya tiene alumno y sigue marcada como refuerzo, ","")&amp;IF(AND($R411="Reconvertida en refuerzo",$O411&lt;&gt;"Sí"),"reconvertida en refuerzo pero sin marcar «En uso como refuerzo», ","")</f>
      </c>
    </row>
    <row r="412" spans="1:37">
      <c r="A412" s="20">
        <f>IF(D412&lt;&gt;"",ROW()-1,"")</f>
      </c>
      <c r="B412" s="55"/>
      <c r="C412" s="56"/>
      <c r="D412" s="56"/>
      <c r="E412" s="56"/>
      <c r="F412" s="56"/>
      <c r="G412" s="56"/>
      <c r="H412" s="56"/>
      <c r="I412" s="56"/>
      <c r="J412" s="57"/>
      <c r="K412" s="56"/>
      <c r="L412" s="58"/>
      <c r="M412" s="58">
        <f>IF(L412="","",L412)</f>
      </c>
      <c r="N412" s="56"/>
      <c r="O412" s="56"/>
      <c r="P412" s="57"/>
      <c r="Q412" s="56"/>
      <c r="R412" s="56"/>
      <c r="S412" s="56"/>
      <c r="T412" s="56"/>
      <c r="U412" s="56"/>
      <c r="V412" s="57"/>
      <c r="W412">
        <f>IF(Q412="Disponible",COUNTIFS($D$2:D412,D412,$Q$2:Q412,"Disponible"),"")</f>
      </c>
      <c r="X412">
        <f>IF(W412&lt;&gt;"",D412&amp;"|"&amp;W412,"")</f>
      </c>
      <c r="Y412">
        <f>IF(X412&lt;&gt;"",IF(K412&lt;&gt;"",K412&amp;" ("&amp;M412&amp;")",M412),"")</f>
      </c>
      <c r="Z412">
        <f>IF(O412="Sí",COUNTIFS($D$2:D412,D412,$O$2:O412,"Sí"),"")</f>
      </c>
      <c r="AA412">
        <f>IF(Z412&lt;&gt;"",D412&amp;"|"&amp;Z412,"")</f>
      </c>
      <c r="AB412">
        <f>IF(AA412&lt;&gt;"",IF(K412&lt;&gt;"",K412&amp;" ("&amp;M412&amp;")",M412),"")</f>
      </c>
      <c r="AC412">
        <f>IF($B412="","fecha, ","")&amp;IF($C412="","quién lo introduce, ","")&amp;IF($I412="","motivo, ","")&amp;IF($K412="","docente, ","")&amp;IF($L412="","horario, ","")&amp;IF($N412="","duración, ","")&amp;IF($Q412="","estado, ","")&amp;IF(AND($I412="Otros",$J412=""),"detalle del motivo, ","")&amp;IF(AND($O412="Sí",$P412=""),"detalle del refuerzo, ","")&amp;IF(AND(OR($I412="Renuncia (hasta 30 nov)",$I412="Baja (desde 1 dic)",$I412="Renuncia excepcional (art. 25.3)",$I412="Traslado de expediente"),OR($E412="",$F412="",$G412="")),"quién deja la plaza, ","")&amp;IF(AND($Q412="No disponible",$R412=""),"vía de cobertura, ","")&amp;IF(AND(OR($R412="Lista de espera · propio centro",$R412="Traslado de expediente",$R412="Lista de espera · otro centro"),OR($S412="",$T412="",$U412="")),"quién ocupa la plaza, ","")</f>
      </c>
      <c r="AD412" s="24">
        <f>IF($D412="","",IF(AND(LEN($AC412)=0,LEN($AK412)=0),"Completa",IF(LEN($AC412)=0,"Revisar: "&amp;LEFT($AK412,LEN($AK412)-2),"Falta: "&amp;LEFT($AC412,LEN($AC412)-2)&amp;IF(LEN($AK412)&gt;0,"  ·  Revisar: "&amp;LEFT($AK412,LEN($AK412)-2),""))))</f>
      </c>
      <c r="AE412">
        <f>IF(AND($D412&lt;&gt;"",OR($I412="Renuncia (hasta 30 nov)",$I412="Baja (desde 1 dic)",$I412="Renuncia excepcional (art. 25.3)",$I412="Traslado de expediente")),COUNTIF($AE$1:AE411,"&gt;0")+1,"")</f>
      </c>
      <c r="AF412">
        <f>IF($Q412="Disponible",COUNTIF($AF$1:AF411,"&gt;0")+1,"")</f>
      </c>
      <c r="AG412">
        <f>IF($O412="Sí",COUNTIF($AG$1:AG411,"&gt;0")+1,"")</f>
      </c>
      <c r="AH412">
        <f>IF(AND($Q412="Disponible",$O412&lt;&gt;"Sí"),COUNTIF($AH$1:AH411,"&gt;0")+1,"")</f>
      </c>
      <c r="AI412">
        <f>IF(AND($Q412="Disponible",$K412&lt;&gt;""),COUNTIFS($K$2:K412,K412,$Q$2:Q412,"Disponible"),"")</f>
      </c>
      <c r="AJ412">
        <f>IF(AI412&lt;&gt;"",K412&amp;"|"&amp;AI412,"")</f>
      </c>
      <c r="AK412">
        <f>IF(AND($Q412="No disponible",OR($R412="Lista de espera · propio centro",$R412="Traslado de expediente",$R412="Lista de espera · otro centro"),$O412="Sí"),"la plaza ya tiene alumno y sigue marcada como refuerzo, ","")&amp;IF(AND($R412="Reconvertida en refuerzo",$O412&lt;&gt;"Sí"),"reconvertida en refuerzo pero sin marcar «En uso como refuerzo», ","")</f>
      </c>
    </row>
    <row r="413" spans="1:37">
      <c r="A413" s="20">
        <f>IF(D413&lt;&gt;"",ROW()-1,"")</f>
      </c>
      <c r="B413" s="55"/>
      <c r="C413" s="56"/>
      <c r="D413" s="56"/>
      <c r="E413" s="56"/>
      <c r="F413" s="56"/>
      <c r="G413" s="56"/>
      <c r="H413" s="56"/>
      <c r="I413" s="56"/>
      <c r="J413" s="57"/>
      <c r="K413" s="56"/>
      <c r="L413" s="58"/>
      <c r="M413" s="58">
        <f>IF(L413="","",L413)</f>
      </c>
      <c r="N413" s="56"/>
      <c r="O413" s="56"/>
      <c r="P413" s="57"/>
      <c r="Q413" s="56"/>
      <c r="R413" s="56"/>
      <c r="S413" s="56"/>
      <c r="T413" s="56"/>
      <c r="U413" s="56"/>
      <c r="V413" s="57"/>
      <c r="W413">
        <f>IF(Q413="Disponible",COUNTIFS($D$2:D413,D413,$Q$2:Q413,"Disponible"),"")</f>
      </c>
      <c r="X413">
        <f>IF(W413&lt;&gt;"",D413&amp;"|"&amp;W413,"")</f>
      </c>
      <c r="Y413">
        <f>IF(X413&lt;&gt;"",IF(K413&lt;&gt;"",K413&amp;" ("&amp;M413&amp;")",M413),"")</f>
      </c>
      <c r="Z413">
        <f>IF(O413="Sí",COUNTIFS($D$2:D413,D413,$O$2:O413,"Sí"),"")</f>
      </c>
      <c r="AA413">
        <f>IF(Z413&lt;&gt;"",D413&amp;"|"&amp;Z413,"")</f>
      </c>
      <c r="AB413">
        <f>IF(AA413&lt;&gt;"",IF(K413&lt;&gt;"",K413&amp;" ("&amp;M413&amp;")",M413),"")</f>
      </c>
      <c r="AC413">
        <f>IF($B413="","fecha, ","")&amp;IF($C413="","quién lo introduce, ","")&amp;IF($I413="","motivo, ","")&amp;IF($K413="","docente, ","")&amp;IF($L413="","horario, ","")&amp;IF($N413="","duración, ","")&amp;IF($Q413="","estado, ","")&amp;IF(AND($I413="Otros",$J413=""),"detalle del motivo, ","")&amp;IF(AND($O413="Sí",$P413=""),"detalle del refuerzo, ","")&amp;IF(AND(OR($I413="Renuncia (hasta 30 nov)",$I413="Baja (desde 1 dic)",$I413="Renuncia excepcional (art. 25.3)",$I413="Traslado de expediente"),OR($E413="",$F413="",$G413="")),"quién deja la plaza, ","")&amp;IF(AND($Q413="No disponible",$R413=""),"vía de cobertura, ","")&amp;IF(AND(OR($R413="Lista de espera · propio centro",$R413="Traslado de expediente",$R413="Lista de espera · otro centro"),OR($S413="",$T413="",$U413="")),"quién ocupa la plaza, ","")</f>
      </c>
      <c r="AD413" s="24">
        <f>IF($D413="","",IF(AND(LEN($AC413)=0,LEN($AK413)=0),"Completa",IF(LEN($AC413)=0,"Revisar: "&amp;LEFT($AK413,LEN($AK413)-2),"Falta: "&amp;LEFT($AC413,LEN($AC413)-2)&amp;IF(LEN($AK413)&gt;0,"  ·  Revisar: "&amp;LEFT($AK413,LEN($AK413)-2),""))))</f>
      </c>
      <c r="AE413">
        <f>IF(AND($D413&lt;&gt;"",OR($I413="Renuncia (hasta 30 nov)",$I413="Baja (desde 1 dic)",$I413="Renuncia excepcional (art. 25.3)",$I413="Traslado de expediente")),COUNTIF($AE$1:AE412,"&gt;0")+1,"")</f>
      </c>
      <c r="AF413">
        <f>IF($Q413="Disponible",COUNTIF($AF$1:AF412,"&gt;0")+1,"")</f>
      </c>
      <c r="AG413">
        <f>IF($O413="Sí",COUNTIF($AG$1:AG412,"&gt;0")+1,"")</f>
      </c>
      <c r="AH413">
        <f>IF(AND($Q413="Disponible",$O413&lt;&gt;"Sí"),COUNTIF($AH$1:AH412,"&gt;0")+1,"")</f>
      </c>
      <c r="AI413">
        <f>IF(AND($Q413="Disponible",$K413&lt;&gt;""),COUNTIFS($K$2:K413,K413,$Q$2:Q413,"Disponible"),"")</f>
      </c>
      <c r="AJ413">
        <f>IF(AI413&lt;&gt;"",K413&amp;"|"&amp;AI413,"")</f>
      </c>
      <c r="AK413">
        <f>IF(AND($Q413="No disponible",OR($R413="Lista de espera · propio centro",$R413="Traslado de expediente",$R413="Lista de espera · otro centro"),$O413="Sí"),"la plaza ya tiene alumno y sigue marcada como refuerzo, ","")&amp;IF(AND($R413="Reconvertida en refuerzo",$O413&lt;&gt;"Sí"),"reconvertida en refuerzo pero sin marcar «En uso como refuerzo», ","")</f>
      </c>
    </row>
    <row r="414" spans="1:37">
      <c r="A414" s="20">
        <f>IF(D414&lt;&gt;"",ROW()-1,"")</f>
      </c>
      <c r="B414" s="55"/>
      <c r="C414" s="56"/>
      <c r="D414" s="56"/>
      <c r="E414" s="56"/>
      <c r="F414" s="56"/>
      <c r="G414" s="56"/>
      <c r="H414" s="56"/>
      <c r="I414" s="56"/>
      <c r="J414" s="57"/>
      <c r="K414" s="56"/>
      <c r="L414" s="58"/>
      <c r="M414" s="58">
        <f>IF(L414="","",L414)</f>
      </c>
      <c r="N414" s="56"/>
      <c r="O414" s="56"/>
      <c r="P414" s="57"/>
      <c r="Q414" s="56"/>
      <c r="R414" s="56"/>
      <c r="S414" s="56"/>
      <c r="T414" s="56"/>
      <c r="U414" s="56"/>
      <c r="V414" s="57"/>
      <c r="W414">
        <f>IF(Q414="Disponible",COUNTIFS($D$2:D414,D414,$Q$2:Q414,"Disponible"),"")</f>
      </c>
      <c r="X414">
        <f>IF(W414&lt;&gt;"",D414&amp;"|"&amp;W414,"")</f>
      </c>
      <c r="Y414">
        <f>IF(X414&lt;&gt;"",IF(K414&lt;&gt;"",K414&amp;" ("&amp;M414&amp;")",M414),"")</f>
      </c>
      <c r="Z414">
        <f>IF(O414="Sí",COUNTIFS($D$2:D414,D414,$O$2:O414,"Sí"),"")</f>
      </c>
      <c r="AA414">
        <f>IF(Z414&lt;&gt;"",D414&amp;"|"&amp;Z414,"")</f>
      </c>
      <c r="AB414">
        <f>IF(AA414&lt;&gt;"",IF(K414&lt;&gt;"",K414&amp;" ("&amp;M414&amp;")",M414),"")</f>
      </c>
      <c r="AC414">
        <f>IF($B414="","fecha, ","")&amp;IF($C414="","quién lo introduce, ","")&amp;IF($I414="","motivo, ","")&amp;IF($K414="","docente, ","")&amp;IF($L414="","horario, ","")&amp;IF($N414="","duración, ","")&amp;IF($Q414="","estado, ","")&amp;IF(AND($I414="Otros",$J414=""),"detalle del motivo, ","")&amp;IF(AND($O414="Sí",$P414=""),"detalle del refuerzo, ","")&amp;IF(AND(OR($I414="Renuncia (hasta 30 nov)",$I414="Baja (desde 1 dic)",$I414="Renuncia excepcional (art. 25.3)",$I414="Traslado de expediente"),OR($E414="",$F414="",$G414="")),"quién deja la plaza, ","")&amp;IF(AND($Q414="No disponible",$R414=""),"vía de cobertura, ","")&amp;IF(AND(OR($R414="Lista de espera · propio centro",$R414="Traslado de expediente",$R414="Lista de espera · otro centro"),OR($S414="",$T414="",$U414="")),"quién ocupa la plaza, ","")</f>
      </c>
      <c r="AD414" s="24">
        <f>IF($D414="","",IF(AND(LEN($AC414)=0,LEN($AK414)=0),"Completa",IF(LEN($AC414)=0,"Revisar: "&amp;LEFT($AK414,LEN($AK414)-2),"Falta: "&amp;LEFT($AC414,LEN($AC414)-2)&amp;IF(LEN($AK414)&gt;0,"  ·  Revisar: "&amp;LEFT($AK414,LEN($AK414)-2),""))))</f>
      </c>
      <c r="AE414">
        <f>IF(AND($D414&lt;&gt;"",OR($I414="Renuncia (hasta 30 nov)",$I414="Baja (desde 1 dic)",$I414="Renuncia excepcional (art. 25.3)",$I414="Traslado de expediente")),COUNTIF($AE$1:AE413,"&gt;0")+1,"")</f>
      </c>
      <c r="AF414">
        <f>IF($Q414="Disponible",COUNTIF($AF$1:AF413,"&gt;0")+1,"")</f>
      </c>
      <c r="AG414">
        <f>IF($O414="Sí",COUNTIF($AG$1:AG413,"&gt;0")+1,"")</f>
      </c>
      <c r="AH414">
        <f>IF(AND($Q414="Disponible",$O414&lt;&gt;"Sí"),COUNTIF($AH$1:AH413,"&gt;0")+1,"")</f>
      </c>
      <c r="AI414">
        <f>IF(AND($Q414="Disponible",$K414&lt;&gt;""),COUNTIFS($K$2:K414,K414,$Q$2:Q414,"Disponible"),"")</f>
      </c>
      <c r="AJ414">
        <f>IF(AI414&lt;&gt;"",K414&amp;"|"&amp;AI414,"")</f>
      </c>
      <c r="AK414">
        <f>IF(AND($Q414="No disponible",OR($R414="Lista de espera · propio centro",$R414="Traslado de expediente",$R414="Lista de espera · otro centro"),$O414="Sí"),"la plaza ya tiene alumno y sigue marcada como refuerzo, ","")&amp;IF(AND($R414="Reconvertida en refuerzo",$O414&lt;&gt;"Sí"),"reconvertida en refuerzo pero sin marcar «En uso como refuerzo», ","")</f>
      </c>
    </row>
    <row r="415" spans="1:37">
      <c r="A415" s="20">
        <f>IF(D415&lt;&gt;"",ROW()-1,"")</f>
      </c>
      <c r="B415" s="55"/>
      <c r="C415" s="56"/>
      <c r="D415" s="56"/>
      <c r="E415" s="56"/>
      <c r="F415" s="56"/>
      <c r="G415" s="56"/>
      <c r="H415" s="56"/>
      <c r="I415" s="56"/>
      <c r="J415" s="57"/>
      <c r="K415" s="56"/>
      <c r="L415" s="58"/>
      <c r="M415" s="58">
        <f>IF(L415="","",L415)</f>
      </c>
      <c r="N415" s="56"/>
      <c r="O415" s="56"/>
      <c r="P415" s="57"/>
      <c r="Q415" s="56"/>
      <c r="R415" s="56"/>
      <c r="S415" s="56"/>
      <c r="T415" s="56"/>
      <c r="U415" s="56"/>
      <c r="V415" s="57"/>
      <c r="W415">
        <f>IF(Q415="Disponible",COUNTIFS($D$2:D415,D415,$Q$2:Q415,"Disponible"),"")</f>
      </c>
      <c r="X415">
        <f>IF(W415&lt;&gt;"",D415&amp;"|"&amp;W415,"")</f>
      </c>
      <c r="Y415">
        <f>IF(X415&lt;&gt;"",IF(K415&lt;&gt;"",K415&amp;" ("&amp;M415&amp;")",M415),"")</f>
      </c>
      <c r="Z415">
        <f>IF(O415="Sí",COUNTIFS($D$2:D415,D415,$O$2:O415,"Sí"),"")</f>
      </c>
      <c r="AA415">
        <f>IF(Z415&lt;&gt;"",D415&amp;"|"&amp;Z415,"")</f>
      </c>
      <c r="AB415">
        <f>IF(AA415&lt;&gt;"",IF(K415&lt;&gt;"",K415&amp;" ("&amp;M415&amp;")",M415),"")</f>
      </c>
      <c r="AC415">
        <f>IF($B415="","fecha, ","")&amp;IF($C415="","quién lo introduce, ","")&amp;IF($I415="","motivo, ","")&amp;IF($K415="","docente, ","")&amp;IF($L415="","horario, ","")&amp;IF($N415="","duración, ","")&amp;IF($Q415="","estado, ","")&amp;IF(AND($I415="Otros",$J415=""),"detalle del motivo, ","")&amp;IF(AND($O415="Sí",$P415=""),"detalle del refuerzo, ","")&amp;IF(AND(OR($I415="Renuncia (hasta 30 nov)",$I415="Baja (desde 1 dic)",$I415="Renuncia excepcional (art. 25.3)",$I415="Traslado de expediente"),OR($E415="",$F415="",$G415="")),"quién deja la plaza, ","")&amp;IF(AND($Q415="No disponible",$R415=""),"vía de cobertura, ","")&amp;IF(AND(OR($R415="Lista de espera · propio centro",$R415="Traslado de expediente",$R415="Lista de espera · otro centro"),OR($S415="",$T415="",$U415="")),"quién ocupa la plaza, ","")</f>
      </c>
      <c r="AD415" s="24">
        <f>IF($D415="","",IF(AND(LEN($AC415)=0,LEN($AK415)=0),"Completa",IF(LEN($AC415)=0,"Revisar: "&amp;LEFT($AK415,LEN($AK415)-2),"Falta: "&amp;LEFT($AC415,LEN($AC415)-2)&amp;IF(LEN($AK415)&gt;0,"  ·  Revisar: "&amp;LEFT($AK415,LEN($AK415)-2),""))))</f>
      </c>
      <c r="AE415">
        <f>IF(AND($D415&lt;&gt;"",OR($I415="Renuncia (hasta 30 nov)",$I415="Baja (desde 1 dic)",$I415="Renuncia excepcional (art. 25.3)",$I415="Traslado de expediente")),COUNTIF($AE$1:AE414,"&gt;0")+1,"")</f>
      </c>
      <c r="AF415">
        <f>IF($Q415="Disponible",COUNTIF($AF$1:AF414,"&gt;0")+1,"")</f>
      </c>
      <c r="AG415">
        <f>IF($O415="Sí",COUNTIF($AG$1:AG414,"&gt;0")+1,"")</f>
      </c>
      <c r="AH415">
        <f>IF(AND($Q415="Disponible",$O415&lt;&gt;"Sí"),COUNTIF($AH$1:AH414,"&gt;0")+1,"")</f>
      </c>
      <c r="AI415">
        <f>IF(AND($Q415="Disponible",$K415&lt;&gt;""),COUNTIFS($K$2:K415,K415,$Q$2:Q415,"Disponible"),"")</f>
      </c>
      <c r="AJ415">
        <f>IF(AI415&lt;&gt;"",K415&amp;"|"&amp;AI415,"")</f>
      </c>
      <c r="AK415">
        <f>IF(AND($Q415="No disponible",OR($R415="Lista de espera · propio centro",$R415="Traslado de expediente",$R415="Lista de espera · otro centro"),$O415="Sí"),"la plaza ya tiene alumno y sigue marcada como refuerzo, ","")&amp;IF(AND($R415="Reconvertida en refuerzo",$O415&lt;&gt;"Sí"),"reconvertida en refuerzo pero sin marcar «En uso como refuerzo», ","")</f>
      </c>
    </row>
    <row r="416" spans="1:37">
      <c r="A416" s="20">
        <f>IF(D416&lt;&gt;"",ROW()-1,"")</f>
      </c>
      <c r="B416" s="55"/>
      <c r="C416" s="56"/>
      <c r="D416" s="56"/>
      <c r="E416" s="56"/>
      <c r="F416" s="56"/>
      <c r="G416" s="56"/>
      <c r="H416" s="56"/>
      <c r="I416" s="56"/>
      <c r="J416" s="57"/>
      <c r="K416" s="56"/>
      <c r="L416" s="58"/>
      <c r="M416" s="58">
        <f>IF(L416="","",L416)</f>
      </c>
      <c r="N416" s="56"/>
      <c r="O416" s="56"/>
      <c r="P416" s="57"/>
      <c r="Q416" s="56"/>
      <c r="R416" s="56"/>
      <c r="S416" s="56"/>
      <c r="T416" s="56"/>
      <c r="U416" s="56"/>
      <c r="V416" s="57"/>
      <c r="W416">
        <f>IF(Q416="Disponible",COUNTIFS($D$2:D416,D416,$Q$2:Q416,"Disponible"),"")</f>
      </c>
      <c r="X416">
        <f>IF(W416&lt;&gt;"",D416&amp;"|"&amp;W416,"")</f>
      </c>
      <c r="Y416">
        <f>IF(X416&lt;&gt;"",IF(K416&lt;&gt;"",K416&amp;" ("&amp;M416&amp;")",M416),"")</f>
      </c>
      <c r="Z416">
        <f>IF(O416="Sí",COUNTIFS($D$2:D416,D416,$O$2:O416,"Sí"),"")</f>
      </c>
      <c r="AA416">
        <f>IF(Z416&lt;&gt;"",D416&amp;"|"&amp;Z416,"")</f>
      </c>
      <c r="AB416">
        <f>IF(AA416&lt;&gt;"",IF(K416&lt;&gt;"",K416&amp;" ("&amp;M416&amp;")",M416),"")</f>
      </c>
      <c r="AC416">
        <f>IF($B416="","fecha, ","")&amp;IF($C416="","quién lo introduce, ","")&amp;IF($I416="","motivo, ","")&amp;IF($K416="","docente, ","")&amp;IF($L416="","horario, ","")&amp;IF($N416="","duración, ","")&amp;IF($Q416="","estado, ","")&amp;IF(AND($I416="Otros",$J416=""),"detalle del motivo, ","")&amp;IF(AND($O416="Sí",$P416=""),"detalle del refuerzo, ","")&amp;IF(AND(OR($I416="Renuncia (hasta 30 nov)",$I416="Baja (desde 1 dic)",$I416="Renuncia excepcional (art. 25.3)",$I416="Traslado de expediente"),OR($E416="",$F416="",$G416="")),"quién deja la plaza, ","")&amp;IF(AND($Q416="No disponible",$R416=""),"vía de cobertura, ","")&amp;IF(AND(OR($R416="Lista de espera · propio centro",$R416="Traslado de expediente",$R416="Lista de espera · otro centro"),OR($S416="",$T416="",$U416="")),"quién ocupa la plaza, ","")</f>
      </c>
      <c r="AD416" s="24">
        <f>IF($D416="","",IF(AND(LEN($AC416)=0,LEN($AK416)=0),"Completa",IF(LEN($AC416)=0,"Revisar: "&amp;LEFT($AK416,LEN($AK416)-2),"Falta: "&amp;LEFT($AC416,LEN($AC416)-2)&amp;IF(LEN($AK416)&gt;0,"  ·  Revisar: "&amp;LEFT($AK416,LEN($AK416)-2),""))))</f>
      </c>
      <c r="AE416">
        <f>IF(AND($D416&lt;&gt;"",OR($I416="Renuncia (hasta 30 nov)",$I416="Baja (desde 1 dic)",$I416="Renuncia excepcional (art. 25.3)",$I416="Traslado de expediente")),COUNTIF($AE$1:AE415,"&gt;0")+1,"")</f>
      </c>
      <c r="AF416">
        <f>IF($Q416="Disponible",COUNTIF($AF$1:AF415,"&gt;0")+1,"")</f>
      </c>
      <c r="AG416">
        <f>IF($O416="Sí",COUNTIF($AG$1:AG415,"&gt;0")+1,"")</f>
      </c>
      <c r="AH416">
        <f>IF(AND($Q416="Disponible",$O416&lt;&gt;"Sí"),COUNTIF($AH$1:AH415,"&gt;0")+1,"")</f>
      </c>
      <c r="AI416">
        <f>IF(AND($Q416="Disponible",$K416&lt;&gt;""),COUNTIFS($K$2:K416,K416,$Q$2:Q416,"Disponible"),"")</f>
      </c>
      <c r="AJ416">
        <f>IF(AI416&lt;&gt;"",K416&amp;"|"&amp;AI416,"")</f>
      </c>
      <c r="AK416">
        <f>IF(AND($Q416="No disponible",OR($R416="Lista de espera · propio centro",$R416="Traslado de expediente",$R416="Lista de espera · otro centro"),$O416="Sí"),"la plaza ya tiene alumno y sigue marcada como refuerzo, ","")&amp;IF(AND($R416="Reconvertida en refuerzo",$O416&lt;&gt;"Sí"),"reconvertida en refuerzo pero sin marcar «En uso como refuerzo», ","")</f>
      </c>
    </row>
    <row r="417" spans="1:37">
      <c r="A417" s="20">
        <f>IF(D417&lt;&gt;"",ROW()-1,"")</f>
      </c>
      <c r="B417" s="55"/>
      <c r="C417" s="56"/>
      <c r="D417" s="56"/>
      <c r="E417" s="56"/>
      <c r="F417" s="56"/>
      <c r="G417" s="56"/>
      <c r="H417" s="56"/>
      <c r="I417" s="56"/>
      <c r="J417" s="57"/>
      <c r="K417" s="56"/>
      <c r="L417" s="58"/>
      <c r="M417" s="58">
        <f>IF(L417="","",L417)</f>
      </c>
      <c r="N417" s="56"/>
      <c r="O417" s="56"/>
      <c r="P417" s="57"/>
      <c r="Q417" s="56"/>
      <c r="R417" s="56"/>
      <c r="S417" s="56"/>
      <c r="T417" s="56"/>
      <c r="U417" s="56"/>
      <c r="V417" s="57"/>
      <c r="W417">
        <f>IF(Q417="Disponible",COUNTIFS($D$2:D417,D417,$Q$2:Q417,"Disponible"),"")</f>
      </c>
      <c r="X417">
        <f>IF(W417&lt;&gt;"",D417&amp;"|"&amp;W417,"")</f>
      </c>
      <c r="Y417">
        <f>IF(X417&lt;&gt;"",IF(K417&lt;&gt;"",K417&amp;" ("&amp;M417&amp;")",M417),"")</f>
      </c>
      <c r="Z417">
        <f>IF(O417="Sí",COUNTIFS($D$2:D417,D417,$O$2:O417,"Sí"),"")</f>
      </c>
      <c r="AA417">
        <f>IF(Z417&lt;&gt;"",D417&amp;"|"&amp;Z417,"")</f>
      </c>
      <c r="AB417">
        <f>IF(AA417&lt;&gt;"",IF(K417&lt;&gt;"",K417&amp;" ("&amp;M417&amp;")",M417),"")</f>
      </c>
      <c r="AC417">
        <f>IF($B417="","fecha, ","")&amp;IF($C417="","quién lo introduce, ","")&amp;IF($I417="","motivo, ","")&amp;IF($K417="","docente, ","")&amp;IF($L417="","horario, ","")&amp;IF($N417="","duración, ","")&amp;IF($Q417="","estado, ","")&amp;IF(AND($I417="Otros",$J417=""),"detalle del motivo, ","")&amp;IF(AND($O417="Sí",$P417=""),"detalle del refuerzo, ","")&amp;IF(AND(OR($I417="Renuncia (hasta 30 nov)",$I417="Baja (desde 1 dic)",$I417="Renuncia excepcional (art. 25.3)",$I417="Traslado de expediente"),OR($E417="",$F417="",$G417="")),"quién deja la plaza, ","")&amp;IF(AND($Q417="No disponible",$R417=""),"vía de cobertura, ","")&amp;IF(AND(OR($R417="Lista de espera · propio centro",$R417="Traslado de expediente",$R417="Lista de espera · otro centro"),OR($S417="",$T417="",$U417="")),"quién ocupa la plaza, ","")</f>
      </c>
      <c r="AD417" s="24">
        <f>IF($D417="","",IF(AND(LEN($AC417)=0,LEN($AK417)=0),"Completa",IF(LEN($AC417)=0,"Revisar: "&amp;LEFT($AK417,LEN($AK417)-2),"Falta: "&amp;LEFT($AC417,LEN($AC417)-2)&amp;IF(LEN($AK417)&gt;0,"  ·  Revisar: "&amp;LEFT($AK417,LEN($AK417)-2),""))))</f>
      </c>
      <c r="AE417">
        <f>IF(AND($D417&lt;&gt;"",OR($I417="Renuncia (hasta 30 nov)",$I417="Baja (desde 1 dic)",$I417="Renuncia excepcional (art. 25.3)",$I417="Traslado de expediente")),COUNTIF($AE$1:AE416,"&gt;0")+1,"")</f>
      </c>
      <c r="AF417">
        <f>IF($Q417="Disponible",COUNTIF($AF$1:AF416,"&gt;0")+1,"")</f>
      </c>
      <c r="AG417">
        <f>IF($O417="Sí",COUNTIF($AG$1:AG416,"&gt;0")+1,"")</f>
      </c>
      <c r="AH417">
        <f>IF(AND($Q417="Disponible",$O417&lt;&gt;"Sí"),COUNTIF($AH$1:AH416,"&gt;0")+1,"")</f>
      </c>
      <c r="AI417">
        <f>IF(AND($Q417="Disponible",$K417&lt;&gt;""),COUNTIFS($K$2:K417,K417,$Q$2:Q417,"Disponible"),"")</f>
      </c>
      <c r="AJ417">
        <f>IF(AI417&lt;&gt;"",K417&amp;"|"&amp;AI417,"")</f>
      </c>
      <c r="AK417">
        <f>IF(AND($Q417="No disponible",OR($R417="Lista de espera · propio centro",$R417="Traslado de expediente",$R417="Lista de espera · otro centro"),$O417="Sí"),"la plaza ya tiene alumno y sigue marcada como refuerzo, ","")&amp;IF(AND($R417="Reconvertida en refuerzo",$O417&lt;&gt;"Sí"),"reconvertida en refuerzo pero sin marcar «En uso como refuerzo», ","")</f>
      </c>
    </row>
    <row r="418" spans="1:37">
      <c r="A418" s="20">
        <f>IF(D418&lt;&gt;"",ROW()-1,"")</f>
      </c>
      <c r="B418" s="55"/>
      <c r="C418" s="56"/>
      <c r="D418" s="56"/>
      <c r="E418" s="56"/>
      <c r="F418" s="56"/>
      <c r="G418" s="56"/>
      <c r="H418" s="56"/>
      <c r="I418" s="56"/>
      <c r="J418" s="57"/>
      <c r="K418" s="56"/>
      <c r="L418" s="58"/>
      <c r="M418" s="58">
        <f>IF(L418="","",L418)</f>
      </c>
      <c r="N418" s="56"/>
      <c r="O418" s="56"/>
      <c r="P418" s="57"/>
      <c r="Q418" s="56"/>
      <c r="R418" s="56"/>
      <c r="S418" s="56"/>
      <c r="T418" s="56"/>
      <c r="U418" s="56"/>
      <c r="V418" s="57"/>
      <c r="W418">
        <f>IF(Q418="Disponible",COUNTIFS($D$2:D418,D418,$Q$2:Q418,"Disponible"),"")</f>
      </c>
      <c r="X418">
        <f>IF(W418&lt;&gt;"",D418&amp;"|"&amp;W418,"")</f>
      </c>
      <c r="Y418">
        <f>IF(X418&lt;&gt;"",IF(K418&lt;&gt;"",K418&amp;" ("&amp;M418&amp;")",M418),"")</f>
      </c>
      <c r="Z418">
        <f>IF(O418="Sí",COUNTIFS($D$2:D418,D418,$O$2:O418,"Sí"),"")</f>
      </c>
      <c r="AA418">
        <f>IF(Z418&lt;&gt;"",D418&amp;"|"&amp;Z418,"")</f>
      </c>
      <c r="AB418">
        <f>IF(AA418&lt;&gt;"",IF(K418&lt;&gt;"",K418&amp;" ("&amp;M418&amp;")",M418),"")</f>
      </c>
      <c r="AC418">
        <f>IF($B418="","fecha, ","")&amp;IF($C418="","quién lo introduce, ","")&amp;IF($I418="","motivo, ","")&amp;IF($K418="","docente, ","")&amp;IF($L418="","horario, ","")&amp;IF($N418="","duración, ","")&amp;IF($Q418="","estado, ","")&amp;IF(AND($I418="Otros",$J418=""),"detalle del motivo, ","")&amp;IF(AND($O418="Sí",$P418=""),"detalle del refuerzo, ","")&amp;IF(AND(OR($I418="Renuncia (hasta 30 nov)",$I418="Baja (desde 1 dic)",$I418="Renuncia excepcional (art. 25.3)",$I418="Traslado de expediente"),OR($E418="",$F418="",$G418="")),"quién deja la plaza, ","")&amp;IF(AND($Q418="No disponible",$R418=""),"vía de cobertura, ","")&amp;IF(AND(OR($R418="Lista de espera · propio centro",$R418="Traslado de expediente",$R418="Lista de espera · otro centro"),OR($S418="",$T418="",$U418="")),"quién ocupa la plaza, ","")</f>
      </c>
      <c r="AD418" s="24">
        <f>IF($D418="","",IF(AND(LEN($AC418)=0,LEN($AK418)=0),"Completa",IF(LEN($AC418)=0,"Revisar: "&amp;LEFT($AK418,LEN($AK418)-2),"Falta: "&amp;LEFT($AC418,LEN($AC418)-2)&amp;IF(LEN($AK418)&gt;0,"  ·  Revisar: "&amp;LEFT($AK418,LEN($AK418)-2),""))))</f>
      </c>
      <c r="AE418">
        <f>IF(AND($D418&lt;&gt;"",OR($I418="Renuncia (hasta 30 nov)",$I418="Baja (desde 1 dic)",$I418="Renuncia excepcional (art. 25.3)",$I418="Traslado de expediente")),COUNTIF($AE$1:AE417,"&gt;0")+1,"")</f>
      </c>
      <c r="AF418">
        <f>IF($Q418="Disponible",COUNTIF($AF$1:AF417,"&gt;0")+1,"")</f>
      </c>
      <c r="AG418">
        <f>IF($O418="Sí",COUNTIF($AG$1:AG417,"&gt;0")+1,"")</f>
      </c>
      <c r="AH418">
        <f>IF(AND($Q418="Disponible",$O418&lt;&gt;"Sí"),COUNTIF($AH$1:AH417,"&gt;0")+1,"")</f>
      </c>
      <c r="AI418">
        <f>IF(AND($Q418="Disponible",$K418&lt;&gt;""),COUNTIFS($K$2:K418,K418,$Q$2:Q418,"Disponible"),"")</f>
      </c>
      <c r="AJ418">
        <f>IF(AI418&lt;&gt;"",K418&amp;"|"&amp;AI418,"")</f>
      </c>
      <c r="AK418">
        <f>IF(AND($Q418="No disponible",OR($R418="Lista de espera · propio centro",$R418="Traslado de expediente",$R418="Lista de espera · otro centro"),$O418="Sí"),"la plaza ya tiene alumno y sigue marcada como refuerzo, ","")&amp;IF(AND($R418="Reconvertida en refuerzo",$O418&lt;&gt;"Sí"),"reconvertida en refuerzo pero sin marcar «En uso como refuerzo», ","")</f>
      </c>
    </row>
    <row r="419" spans="1:37">
      <c r="A419" s="20">
        <f>IF(D419&lt;&gt;"",ROW()-1,"")</f>
      </c>
      <c r="B419" s="55"/>
      <c r="C419" s="56"/>
      <c r="D419" s="56"/>
      <c r="E419" s="56"/>
      <c r="F419" s="56"/>
      <c r="G419" s="56"/>
      <c r="H419" s="56"/>
      <c r="I419" s="56"/>
      <c r="J419" s="57"/>
      <c r="K419" s="56"/>
      <c r="L419" s="58"/>
      <c r="M419" s="58">
        <f>IF(L419="","",L419)</f>
      </c>
      <c r="N419" s="56"/>
      <c r="O419" s="56"/>
      <c r="P419" s="57"/>
      <c r="Q419" s="56"/>
      <c r="R419" s="56"/>
      <c r="S419" s="56"/>
      <c r="T419" s="56"/>
      <c r="U419" s="56"/>
      <c r="V419" s="57"/>
      <c r="W419">
        <f>IF(Q419="Disponible",COUNTIFS($D$2:D419,D419,$Q$2:Q419,"Disponible"),"")</f>
      </c>
      <c r="X419">
        <f>IF(W419&lt;&gt;"",D419&amp;"|"&amp;W419,"")</f>
      </c>
      <c r="Y419">
        <f>IF(X419&lt;&gt;"",IF(K419&lt;&gt;"",K419&amp;" ("&amp;M419&amp;")",M419),"")</f>
      </c>
      <c r="Z419">
        <f>IF(O419="Sí",COUNTIFS($D$2:D419,D419,$O$2:O419,"Sí"),"")</f>
      </c>
      <c r="AA419">
        <f>IF(Z419&lt;&gt;"",D419&amp;"|"&amp;Z419,"")</f>
      </c>
      <c r="AB419">
        <f>IF(AA419&lt;&gt;"",IF(K419&lt;&gt;"",K419&amp;" ("&amp;M419&amp;")",M419),"")</f>
      </c>
      <c r="AC419">
        <f>IF($B419="","fecha, ","")&amp;IF($C419="","quién lo introduce, ","")&amp;IF($I419="","motivo, ","")&amp;IF($K419="","docente, ","")&amp;IF($L419="","horario, ","")&amp;IF($N419="","duración, ","")&amp;IF($Q419="","estado, ","")&amp;IF(AND($I419="Otros",$J419=""),"detalle del motivo, ","")&amp;IF(AND($O419="Sí",$P419=""),"detalle del refuerzo, ","")&amp;IF(AND(OR($I419="Renuncia (hasta 30 nov)",$I419="Baja (desde 1 dic)",$I419="Renuncia excepcional (art. 25.3)",$I419="Traslado de expediente"),OR($E419="",$F419="",$G419="")),"quién deja la plaza, ","")&amp;IF(AND($Q419="No disponible",$R419=""),"vía de cobertura, ","")&amp;IF(AND(OR($R419="Lista de espera · propio centro",$R419="Traslado de expediente",$R419="Lista de espera · otro centro"),OR($S419="",$T419="",$U419="")),"quién ocupa la plaza, ","")</f>
      </c>
      <c r="AD419" s="24">
        <f>IF($D419="","",IF(AND(LEN($AC419)=0,LEN($AK419)=0),"Completa",IF(LEN($AC419)=0,"Revisar: "&amp;LEFT($AK419,LEN($AK419)-2),"Falta: "&amp;LEFT($AC419,LEN($AC419)-2)&amp;IF(LEN($AK419)&gt;0,"  ·  Revisar: "&amp;LEFT($AK419,LEN($AK419)-2),""))))</f>
      </c>
      <c r="AE419">
        <f>IF(AND($D419&lt;&gt;"",OR($I419="Renuncia (hasta 30 nov)",$I419="Baja (desde 1 dic)",$I419="Renuncia excepcional (art. 25.3)",$I419="Traslado de expediente")),COUNTIF($AE$1:AE418,"&gt;0")+1,"")</f>
      </c>
      <c r="AF419">
        <f>IF($Q419="Disponible",COUNTIF($AF$1:AF418,"&gt;0")+1,"")</f>
      </c>
      <c r="AG419">
        <f>IF($O419="Sí",COUNTIF($AG$1:AG418,"&gt;0")+1,"")</f>
      </c>
      <c r="AH419">
        <f>IF(AND($Q419="Disponible",$O419&lt;&gt;"Sí"),COUNTIF($AH$1:AH418,"&gt;0")+1,"")</f>
      </c>
      <c r="AI419">
        <f>IF(AND($Q419="Disponible",$K419&lt;&gt;""),COUNTIFS($K$2:K419,K419,$Q$2:Q419,"Disponible"),"")</f>
      </c>
      <c r="AJ419">
        <f>IF(AI419&lt;&gt;"",K419&amp;"|"&amp;AI419,"")</f>
      </c>
      <c r="AK419">
        <f>IF(AND($Q419="No disponible",OR($R419="Lista de espera · propio centro",$R419="Traslado de expediente",$R419="Lista de espera · otro centro"),$O419="Sí"),"la plaza ya tiene alumno y sigue marcada como refuerzo, ","")&amp;IF(AND($R419="Reconvertida en refuerzo",$O419&lt;&gt;"Sí"),"reconvertida en refuerzo pero sin marcar «En uso como refuerzo», ","")</f>
      </c>
    </row>
    <row r="420" spans="1:37">
      <c r="A420" s="20">
        <f>IF(D420&lt;&gt;"",ROW()-1,"")</f>
      </c>
      <c r="B420" s="55"/>
      <c r="C420" s="56"/>
      <c r="D420" s="56"/>
      <c r="E420" s="56"/>
      <c r="F420" s="56"/>
      <c r="G420" s="56"/>
      <c r="H420" s="56"/>
      <c r="I420" s="56"/>
      <c r="J420" s="57"/>
      <c r="K420" s="56"/>
      <c r="L420" s="58"/>
      <c r="M420" s="58">
        <f>IF(L420="","",L420)</f>
      </c>
      <c r="N420" s="56"/>
      <c r="O420" s="56"/>
      <c r="P420" s="57"/>
      <c r="Q420" s="56"/>
      <c r="R420" s="56"/>
      <c r="S420" s="56"/>
      <c r="T420" s="56"/>
      <c r="U420" s="56"/>
      <c r="V420" s="57"/>
      <c r="W420">
        <f>IF(Q420="Disponible",COUNTIFS($D$2:D420,D420,$Q$2:Q420,"Disponible"),"")</f>
      </c>
      <c r="X420">
        <f>IF(W420&lt;&gt;"",D420&amp;"|"&amp;W420,"")</f>
      </c>
      <c r="Y420">
        <f>IF(X420&lt;&gt;"",IF(K420&lt;&gt;"",K420&amp;" ("&amp;M420&amp;")",M420),"")</f>
      </c>
      <c r="Z420">
        <f>IF(O420="Sí",COUNTIFS($D$2:D420,D420,$O$2:O420,"Sí"),"")</f>
      </c>
      <c r="AA420">
        <f>IF(Z420&lt;&gt;"",D420&amp;"|"&amp;Z420,"")</f>
      </c>
      <c r="AB420">
        <f>IF(AA420&lt;&gt;"",IF(K420&lt;&gt;"",K420&amp;" ("&amp;M420&amp;")",M420),"")</f>
      </c>
      <c r="AC420">
        <f>IF($B420="","fecha, ","")&amp;IF($C420="","quién lo introduce, ","")&amp;IF($I420="","motivo, ","")&amp;IF($K420="","docente, ","")&amp;IF($L420="","horario, ","")&amp;IF($N420="","duración, ","")&amp;IF($Q420="","estado, ","")&amp;IF(AND($I420="Otros",$J420=""),"detalle del motivo, ","")&amp;IF(AND($O420="Sí",$P420=""),"detalle del refuerzo, ","")&amp;IF(AND(OR($I420="Renuncia (hasta 30 nov)",$I420="Baja (desde 1 dic)",$I420="Renuncia excepcional (art. 25.3)",$I420="Traslado de expediente"),OR($E420="",$F420="",$G420="")),"quién deja la plaza, ","")&amp;IF(AND($Q420="No disponible",$R420=""),"vía de cobertura, ","")&amp;IF(AND(OR($R420="Lista de espera · propio centro",$R420="Traslado de expediente",$R420="Lista de espera · otro centro"),OR($S420="",$T420="",$U420="")),"quién ocupa la plaza, ","")</f>
      </c>
      <c r="AD420" s="24">
        <f>IF($D420="","",IF(AND(LEN($AC420)=0,LEN($AK420)=0),"Completa",IF(LEN($AC420)=0,"Revisar: "&amp;LEFT($AK420,LEN($AK420)-2),"Falta: "&amp;LEFT($AC420,LEN($AC420)-2)&amp;IF(LEN($AK420)&gt;0,"  ·  Revisar: "&amp;LEFT($AK420,LEN($AK420)-2),""))))</f>
      </c>
      <c r="AE420">
        <f>IF(AND($D420&lt;&gt;"",OR($I420="Renuncia (hasta 30 nov)",$I420="Baja (desde 1 dic)",$I420="Renuncia excepcional (art. 25.3)",$I420="Traslado de expediente")),COUNTIF($AE$1:AE419,"&gt;0")+1,"")</f>
      </c>
      <c r="AF420">
        <f>IF($Q420="Disponible",COUNTIF($AF$1:AF419,"&gt;0")+1,"")</f>
      </c>
      <c r="AG420">
        <f>IF($O420="Sí",COUNTIF($AG$1:AG419,"&gt;0")+1,"")</f>
      </c>
      <c r="AH420">
        <f>IF(AND($Q420="Disponible",$O420&lt;&gt;"Sí"),COUNTIF($AH$1:AH419,"&gt;0")+1,"")</f>
      </c>
      <c r="AI420">
        <f>IF(AND($Q420="Disponible",$K420&lt;&gt;""),COUNTIFS($K$2:K420,K420,$Q$2:Q420,"Disponible"),"")</f>
      </c>
      <c r="AJ420">
        <f>IF(AI420&lt;&gt;"",K420&amp;"|"&amp;AI420,"")</f>
      </c>
      <c r="AK420">
        <f>IF(AND($Q420="No disponible",OR($R420="Lista de espera · propio centro",$R420="Traslado de expediente",$R420="Lista de espera · otro centro"),$O420="Sí"),"la plaza ya tiene alumno y sigue marcada como refuerzo, ","")&amp;IF(AND($R420="Reconvertida en refuerzo",$O420&lt;&gt;"Sí"),"reconvertida en refuerzo pero sin marcar «En uso como refuerzo», ","")</f>
      </c>
    </row>
    <row r="421" spans="1:37">
      <c r="A421" s="20">
        <f>IF(D421&lt;&gt;"",ROW()-1,"")</f>
      </c>
      <c r="B421" s="55"/>
      <c r="C421" s="56"/>
      <c r="D421" s="56"/>
      <c r="E421" s="56"/>
      <c r="F421" s="56"/>
      <c r="G421" s="56"/>
      <c r="H421" s="56"/>
      <c r="I421" s="56"/>
      <c r="J421" s="57"/>
      <c r="K421" s="56"/>
      <c r="L421" s="58"/>
      <c r="M421" s="58">
        <f>IF(L421="","",L421)</f>
      </c>
      <c r="N421" s="56"/>
      <c r="O421" s="56"/>
      <c r="P421" s="57"/>
      <c r="Q421" s="56"/>
      <c r="R421" s="56"/>
      <c r="S421" s="56"/>
      <c r="T421" s="56"/>
      <c r="U421" s="56"/>
      <c r="V421" s="57"/>
      <c r="W421">
        <f>IF(Q421="Disponible",COUNTIFS($D$2:D421,D421,$Q$2:Q421,"Disponible"),"")</f>
      </c>
      <c r="X421">
        <f>IF(W421&lt;&gt;"",D421&amp;"|"&amp;W421,"")</f>
      </c>
      <c r="Y421">
        <f>IF(X421&lt;&gt;"",IF(K421&lt;&gt;"",K421&amp;" ("&amp;M421&amp;")",M421),"")</f>
      </c>
      <c r="Z421">
        <f>IF(O421="Sí",COUNTIFS($D$2:D421,D421,$O$2:O421,"Sí"),"")</f>
      </c>
      <c r="AA421">
        <f>IF(Z421&lt;&gt;"",D421&amp;"|"&amp;Z421,"")</f>
      </c>
      <c r="AB421">
        <f>IF(AA421&lt;&gt;"",IF(K421&lt;&gt;"",K421&amp;" ("&amp;M421&amp;")",M421),"")</f>
      </c>
      <c r="AC421">
        <f>IF($B421="","fecha, ","")&amp;IF($C421="","quién lo introduce, ","")&amp;IF($I421="","motivo, ","")&amp;IF($K421="","docente, ","")&amp;IF($L421="","horario, ","")&amp;IF($N421="","duración, ","")&amp;IF($Q421="","estado, ","")&amp;IF(AND($I421="Otros",$J421=""),"detalle del motivo, ","")&amp;IF(AND($O421="Sí",$P421=""),"detalle del refuerzo, ","")&amp;IF(AND(OR($I421="Renuncia (hasta 30 nov)",$I421="Baja (desde 1 dic)",$I421="Renuncia excepcional (art. 25.3)",$I421="Traslado de expediente"),OR($E421="",$F421="",$G421="")),"quién deja la plaza, ","")&amp;IF(AND($Q421="No disponible",$R421=""),"vía de cobertura, ","")&amp;IF(AND(OR($R421="Lista de espera · propio centro",$R421="Traslado de expediente",$R421="Lista de espera · otro centro"),OR($S421="",$T421="",$U421="")),"quién ocupa la plaza, ","")</f>
      </c>
      <c r="AD421" s="24">
        <f>IF($D421="","",IF(AND(LEN($AC421)=0,LEN($AK421)=0),"Completa",IF(LEN($AC421)=0,"Revisar: "&amp;LEFT($AK421,LEN($AK421)-2),"Falta: "&amp;LEFT($AC421,LEN($AC421)-2)&amp;IF(LEN($AK421)&gt;0,"  ·  Revisar: "&amp;LEFT($AK421,LEN($AK421)-2),""))))</f>
      </c>
      <c r="AE421">
        <f>IF(AND($D421&lt;&gt;"",OR($I421="Renuncia (hasta 30 nov)",$I421="Baja (desde 1 dic)",$I421="Renuncia excepcional (art. 25.3)",$I421="Traslado de expediente")),COUNTIF($AE$1:AE420,"&gt;0")+1,"")</f>
      </c>
      <c r="AF421">
        <f>IF($Q421="Disponible",COUNTIF($AF$1:AF420,"&gt;0")+1,"")</f>
      </c>
      <c r="AG421">
        <f>IF($O421="Sí",COUNTIF($AG$1:AG420,"&gt;0")+1,"")</f>
      </c>
      <c r="AH421">
        <f>IF(AND($Q421="Disponible",$O421&lt;&gt;"Sí"),COUNTIF($AH$1:AH420,"&gt;0")+1,"")</f>
      </c>
      <c r="AI421">
        <f>IF(AND($Q421="Disponible",$K421&lt;&gt;""),COUNTIFS($K$2:K421,K421,$Q$2:Q421,"Disponible"),"")</f>
      </c>
      <c r="AJ421">
        <f>IF(AI421&lt;&gt;"",K421&amp;"|"&amp;AI421,"")</f>
      </c>
      <c r="AK421">
        <f>IF(AND($Q421="No disponible",OR($R421="Lista de espera · propio centro",$R421="Traslado de expediente",$R421="Lista de espera · otro centro"),$O421="Sí"),"la plaza ya tiene alumno y sigue marcada como refuerzo, ","")&amp;IF(AND($R421="Reconvertida en refuerzo",$O421&lt;&gt;"Sí"),"reconvertida en refuerzo pero sin marcar «En uso como refuerzo», ","")</f>
      </c>
    </row>
    <row r="422" spans="1:37">
      <c r="A422" s="20">
        <f>IF(D422&lt;&gt;"",ROW()-1,"")</f>
      </c>
      <c r="B422" s="55"/>
      <c r="C422" s="56"/>
      <c r="D422" s="56"/>
      <c r="E422" s="56"/>
      <c r="F422" s="56"/>
      <c r="G422" s="56"/>
      <c r="H422" s="56"/>
      <c r="I422" s="56"/>
      <c r="J422" s="57"/>
      <c r="K422" s="56"/>
      <c r="L422" s="58"/>
      <c r="M422" s="58">
        <f>IF(L422="","",L422)</f>
      </c>
      <c r="N422" s="56"/>
      <c r="O422" s="56"/>
      <c r="P422" s="57"/>
      <c r="Q422" s="56"/>
      <c r="R422" s="56"/>
      <c r="S422" s="56"/>
      <c r="T422" s="56"/>
      <c r="U422" s="56"/>
      <c r="V422" s="57"/>
      <c r="W422">
        <f>IF(Q422="Disponible",COUNTIFS($D$2:D422,D422,$Q$2:Q422,"Disponible"),"")</f>
      </c>
      <c r="X422">
        <f>IF(W422&lt;&gt;"",D422&amp;"|"&amp;W422,"")</f>
      </c>
      <c r="Y422">
        <f>IF(X422&lt;&gt;"",IF(K422&lt;&gt;"",K422&amp;" ("&amp;M422&amp;")",M422),"")</f>
      </c>
      <c r="Z422">
        <f>IF(O422="Sí",COUNTIFS($D$2:D422,D422,$O$2:O422,"Sí"),"")</f>
      </c>
      <c r="AA422">
        <f>IF(Z422&lt;&gt;"",D422&amp;"|"&amp;Z422,"")</f>
      </c>
      <c r="AB422">
        <f>IF(AA422&lt;&gt;"",IF(K422&lt;&gt;"",K422&amp;" ("&amp;M422&amp;")",M422),"")</f>
      </c>
      <c r="AC422">
        <f>IF($B422="","fecha, ","")&amp;IF($C422="","quién lo introduce, ","")&amp;IF($I422="","motivo, ","")&amp;IF($K422="","docente, ","")&amp;IF($L422="","horario, ","")&amp;IF($N422="","duración, ","")&amp;IF($Q422="","estado, ","")&amp;IF(AND($I422="Otros",$J422=""),"detalle del motivo, ","")&amp;IF(AND($O422="Sí",$P422=""),"detalle del refuerzo, ","")&amp;IF(AND(OR($I422="Renuncia (hasta 30 nov)",$I422="Baja (desde 1 dic)",$I422="Renuncia excepcional (art. 25.3)",$I422="Traslado de expediente"),OR($E422="",$F422="",$G422="")),"quién deja la plaza, ","")&amp;IF(AND($Q422="No disponible",$R422=""),"vía de cobertura, ","")&amp;IF(AND(OR($R422="Lista de espera · propio centro",$R422="Traslado de expediente",$R422="Lista de espera · otro centro"),OR($S422="",$T422="",$U422="")),"quién ocupa la plaza, ","")</f>
      </c>
      <c r="AD422" s="24">
        <f>IF($D422="","",IF(AND(LEN($AC422)=0,LEN($AK422)=0),"Completa",IF(LEN($AC422)=0,"Revisar: "&amp;LEFT($AK422,LEN($AK422)-2),"Falta: "&amp;LEFT($AC422,LEN($AC422)-2)&amp;IF(LEN($AK422)&gt;0,"  ·  Revisar: "&amp;LEFT($AK422,LEN($AK422)-2),""))))</f>
      </c>
      <c r="AE422">
        <f>IF(AND($D422&lt;&gt;"",OR($I422="Renuncia (hasta 30 nov)",$I422="Baja (desde 1 dic)",$I422="Renuncia excepcional (art. 25.3)",$I422="Traslado de expediente")),COUNTIF($AE$1:AE421,"&gt;0")+1,"")</f>
      </c>
      <c r="AF422">
        <f>IF($Q422="Disponible",COUNTIF($AF$1:AF421,"&gt;0")+1,"")</f>
      </c>
      <c r="AG422">
        <f>IF($O422="Sí",COUNTIF($AG$1:AG421,"&gt;0")+1,"")</f>
      </c>
      <c r="AH422">
        <f>IF(AND($Q422="Disponible",$O422&lt;&gt;"Sí"),COUNTIF($AH$1:AH421,"&gt;0")+1,"")</f>
      </c>
      <c r="AI422">
        <f>IF(AND($Q422="Disponible",$K422&lt;&gt;""),COUNTIFS($K$2:K422,K422,$Q$2:Q422,"Disponible"),"")</f>
      </c>
      <c r="AJ422">
        <f>IF(AI422&lt;&gt;"",K422&amp;"|"&amp;AI422,"")</f>
      </c>
      <c r="AK422">
        <f>IF(AND($Q422="No disponible",OR($R422="Lista de espera · propio centro",$R422="Traslado de expediente",$R422="Lista de espera · otro centro"),$O422="Sí"),"la plaza ya tiene alumno y sigue marcada como refuerzo, ","")&amp;IF(AND($R422="Reconvertida en refuerzo",$O422&lt;&gt;"Sí"),"reconvertida en refuerzo pero sin marcar «En uso como refuerzo», ","")</f>
      </c>
    </row>
    <row r="423" spans="1:37">
      <c r="A423" s="20">
        <f>IF(D423&lt;&gt;"",ROW()-1,"")</f>
      </c>
      <c r="B423" s="55"/>
      <c r="C423" s="56"/>
      <c r="D423" s="56"/>
      <c r="E423" s="56"/>
      <c r="F423" s="56"/>
      <c r="G423" s="56"/>
      <c r="H423" s="56"/>
      <c r="I423" s="56"/>
      <c r="J423" s="57"/>
      <c r="K423" s="56"/>
      <c r="L423" s="58"/>
      <c r="M423" s="58">
        <f>IF(L423="","",L423)</f>
      </c>
      <c r="N423" s="56"/>
      <c r="O423" s="56"/>
      <c r="P423" s="57"/>
      <c r="Q423" s="56"/>
      <c r="R423" s="56"/>
      <c r="S423" s="56"/>
      <c r="T423" s="56"/>
      <c r="U423" s="56"/>
      <c r="V423" s="57"/>
      <c r="W423">
        <f>IF(Q423="Disponible",COUNTIFS($D$2:D423,D423,$Q$2:Q423,"Disponible"),"")</f>
      </c>
      <c r="X423">
        <f>IF(W423&lt;&gt;"",D423&amp;"|"&amp;W423,"")</f>
      </c>
      <c r="Y423">
        <f>IF(X423&lt;&gt;"",IF(K423&lt;&gt;"",K423&amp;" ("&amp;M423&amp;")",M423),"")</f>
      </c>
      <c r="Z423">
        <f>IF(O423="Sí",COUNTIFS($D$2:D423,D423,$O$2:O423,"Sí"),"")</f>
      </c>
      <c r="AA423">
        <f>IF(Z423&lt;&gt;"",D423&amp;"|"&amp;Z423,"")</f>
      </c>
      <c r="AB423">
        <f>IF(AA423&lt;&gt;"",IF(K423&lt;&gt;"",K423&amp;" ("&amp;M423&amp;")",M423),"")</f>
      </c>
      <c r="AC423">
        <f>IF($B423="","fecha, ","")&amp;IF($C423="","quién lo introduce, ","")&amp;IF($I423="","motivo, ","")&amp;IF($K423="","docente, ","")&amp;IF($L423="","horario, ","")&amp;IF($N423="","duración, ","")&amp;IF($Q423="","estado, ","")&amp;IF(AND($I423="Otros",$J423=""),"detalle del motivo, ","")&amp;IF(AND($O423="Sí",$P423=""),"detalle del refuerzo, ","")&amp;IF(AND(OR($I423="Renuncia (hasta 30 nov)",$I423="Baja (desde 1 dic)",$I423="Renuncia excepcional (art. 25.3)",$I423="Traslado de expediente"),OR($E423="",$F423="",$G423="")),"quién deja la plaza, ","")&amp;IF(AND($Q423="No disponible",$R423=""),"vía de cobertura, ","")&amp;IF(AND(OR($R423="Lista de espera · propio centro",$R423="Traslado de expediente",$R423="Lista de espera · otro centro"),OR($S423="",$T423="",$U423="")),"quién ocupa la plaza, ","")</f>
      </c>
      <c r="AD423" s="24">
        <f>IF($D423="","",IF(AND(LEN($AC423)=0,LEN($AK423)=0),"Completa",IF(LEN($AC423)=0,"Revisar: "&amp;LEFT($AK423,LEN($AK423)-2),"Falta: "&amp;LEFT($AC423,LEN($AC423)-2)&amp;IF(LEN($AK423)&gt;0,"  ·  Revisar: "&amp;LEFT($AK423,LEN($AK423)-2),""))))</f>
      </c>
      <c r="AE423">
        <f>IF(AND($D423&lt;&gt;"",OR($I423="Renuncia (hasta 30 nov)",$I423="Baja (desde 1 dic)",$I423="Renuncia excepcional (art. 25.3)",$I423="Traslado de expediente")),COUNTIF($AE$1:AE422,"&gt;0")+1,"")</f>
      </c>
      <c r="AF423">
        <f>IF($Q423="Disponible",COUNTIF($AF$1:AF422,"&gt;0")+1,"")</f>
      </c>
      <c r="AG423">
        <f>IF($O423="Sí",COUNTIF($AG$1:AG422,"&gt;0")+1,"")</f>
      </c>
      <c r="AH423">
        <f>IF(AND($Q423="Disponible",$O423&lt;&gt;"Sí"),COUNTIF($AH$1:AH422,"&gt;0")+1,"")</f>
      </c>
      <c r="AI423">
        <f>IF(AND($Q423="Disponible",$K423&lt;&gt;""),COUNTIFS($K$2:K423,K423,$Q$2:Q423,"Disponible"),"")</f>
      </c>
      <c r="AJ423">
        <f>IF(AI423&lt;&gt;"",K423&amp;"|"&amp;AI423,"")</f>
      </c>
      <c r="AK423">
        <f>IF(AND($Q423="No disponible",OR($R423="Lista de espera · propio centro",$R423="Traslado de expediente",$R423="Lista de espera · otro centro"),$O423="Sí"),"la plaza ya tiene alumno y sigue marcada como refuerzo, ","")&amp;IF(AND($R423="Reconvertida en refuerzo",$O423&lt;&gt;"Sí"),"reconvertida en refuerzo pero sin marcar «En uso como refuerzo», ","")</f>
      </c>
    </row>
    <row r="424" spans="1:37">
      <c r="A424" s="20">
        <f>IF(D424&lt;&gt;"",ROW()-1,"")</f>
      </c>
      <c r="B424" s="55"/>
      <c r="C424" s="56"/>
      <c r="D424" s="56"/>
      <c r="E424" s="56"/>
      <c r="F424" s="56"/>
      <c r="G424" s="56"/>
      <c r="H424" s="56"/>
      <c r="I424" s="56"/>
      <c r="J424" s="57"/>
      <c r="K424" s="56"/>
      <c r="L424" s="58"/>
      <c r="M424" s="58">
        <f>IF(L424="","",L424)</f>
      </c>
      <c r="N424" s="56"/>
      <c r="O424" s="56"/>
      <c r="P424" s="57"/>
      <c r="Q424" s="56"/>
      <c r="R424" s="56"/>
      <c r="S424" s="56"/>
      <c r="T424" s="56"/>
      <c r="U424" s="56"/>
      <c r="V424" s="57"/>
      <c r="W424">
        <f>IF(Q424="Disponible",COUNTIFS($D$2:D424,D424,$Q$2:Q424,"Disponible"),"")</f>
      </c>
      <c r="X424">
        <f>IF(W424&lt;&gt;"",D424&amp;"|"&amp;W424,"")</f>
      </c>
      <c r="Y424">
        <f>IF(X424&lt;&gt;"",IF(K424&lt;&gt;"",K424&amp;" ("&amp;M424&amp;")",M424),"")</f>
      </c>
      <c r="Z424">
        <f>IF(O424="Sí",COUNTIFS($D$2:D424,D424,$O$2:O424,"Sí"),"")</f>
      </c>
      <c r="AA424">
        <f>IF(Z424&lt;&gt;"",D424&amp;"|"&amp;Z424,"")</f>
      </c>
      <c r="AB424">
        <f>IF(AA424&lt;&gt;"",IF(K424&lt;&gt;"",K424&amp;" ("&amp;M424&amp;")",M424),"")</f>
      </c>
      <c r="AC424">
        <f>IF($B424="","fecha, ","")&amp;IF($C424="","quién lo introduce, ","")&amp;IF($I424="","motivo, ","")&amp;IF($K424="","docente, ","")&amp;IF($L424="","horario, ","")&amp;IF($N424="","duración, ","")&amp;IF($Q424="","estado, ","")&amp;IF(AND($I424="Otros",$J424=""),"detalle del motivo, ","")&amp;IF(AND($O424="Sí",$P424=""),"detalle del refuerzo, ","")&amp;IF(AND(OR($I424="Renuncia (hasta 30 nov)",$I424="Baja (desde 1 dic)",$I424="Renuncia excepcional (art. 25.3)",$I424="Traslado de expediente"),OR($E424="",$F424="",$G424="")),"quién deja la plaza, ","")&amp;IF(AND($Q424="No disponible",$R424=""),"vía de cobertura, ","")&amp;IF(AND(OR($R424="Lista de espera · propio centro",$R424="Traslado de expediente",$R424="Lista de espera · otro centro"),OR($S424="",$T424="",$U424="")),"quién ocupa la plaza, ","")</f>
      </c>
      <c r="AD424" s="24">
        <f>IF($D424="","",IF(AND(LEN($AC424)=0,LEN($AK424)=0),"Completa",IF(LEN($AC424)=0,"Revisar: "&amp;LEFT($AK424,LEN($AK424)-2),"Falta: "&amp;LEFT($AC424,LEN($AC424)-2)&amp;IF(LEN($AK424)&gt;0,"  ·  Revisar: "&amp;LEFT($AK424,LEN($AK424)-2),""))))</f>
      </c>
      <c r="AE424">
        <f>IF(AND($D424&lt;&gt;"",OR($I424="Renuncia (hasta 30 nov)",$I424="Baja (desde 1 dic)",$I424="Renuncia excepcional (art. 25.3)",$I424="Traslado de expediente")),COUNTIF($AE$1:AE423,"&gt;0")+1,"")</f>
      </c>
      <c r="AF424">
        <f>IF($Q424="Disponible",COUNTIF($AF$1:AF423,"&gt;0")+1,"")</f>
      </c>
      <c r="AG424">
        <f>IF($O424="Sí",COUNTIF($AG$1:AG423,"&gt;0")+1,"")</f>
      </c>
      <c r="AH424">
        <f>IF(AND($Q424="Disponible",$O424&lt;&gt;"Sí"),COUNTIF($AH$1:AH423,"&gt;0")+1,"")</f>
      </c>
      <c r="AI424">
        <f>IF(AND($Q424="Disponible",$K424&lt;&gt;""),COUNTIFS($K$2:K424,K424,$Q$2:Q424,"Disponible"),"")</f>
      </c>
      <c r="AJ424">
        <f>IF(AI424&lt;&gt;"",K424&amp;"|"&amp;AI424,"")</f>
      </c>
      <c r="AK424">
        <f>IF(AND($Q424="No disponible",OR($R424="Lista de espera · propio centro",$R424="Traslado de expediente",$R424="Lista de espera · otro centro"),$O424="Sí"),"la plaza ya tiene alumno y sigue marcada como refuerzo, ","")&amp;IF(AND($R424="Reconvertida en refuerzo",$O424&lt;&gt;"Sí"),"reconvertida en refuerzo pero sin marcar «En uso como refuerzo», ","")</f>
      </c>
    </row>
    <row r="425" spans="1:37">
      <c r="A425" s="20">
        <f>IF(D425&lt;&gt;"",ROW()-1,"")</f>
      </c>
      <c r="B425" s="55"/>
      <c r="C425" s="56"/>
      <c r="D425" s="56"/>
      <c r="E425" s="56"/>
      <c r="F425" s="56"/>
      <c r="G425" s="56"/>
      <c r="H425" s="56"/>
      <c r="I425" s="56"/>
      <c r="J425" s="57"/>
      <c r="K425" s="56"/>
      <c r="L425" s="58"/>
      <c r="M425" s="58">
        <f>IF(L425="","",L425)</f>
      </c>
      <c r="N425" s="56"/>
      <c r="O425" s="56"/>
      <c r="P425" s="57"/>
      <c r="Q425" s="56"/>
      <c r="R425" s="56"/>
      <c r="S425" s="56"/>
      <c r="T425" s="56"/>
      <c r="U425" s="56"/>
      <c r="V425" s="57"/>
      <c r="W425">
        <f>IF(Q425="Disponible",COUNTIFS($D$2:D425,D425,$Q$2:Q425,"Disponible"),"")</f>
      </c>
      <c r="X425">
        <f>IF(W425&lt;&gt;"",D425&amp;"|"&amp;W425,"")</f>
      </c>
      <c r="Y425">
        <f>IF(X425&lt;&gt;"",IF(K425&lt;&gt;"",K425&amp;" ("&amp;M425&amp;")",M425),"")</f>
      </c>
      <c r="Z425">
        <f>IF(O425="Sí",COUNTIFS($D$2:D425,D425,$O$2:O425,"Sí"),"")</f>
      </c>
      <c r="AA425">
        <f>IF(Z425&lt;&gt;"",D425&amp;"|"&amp;Z425,"")</f>
      </c>
      <c r="AB425">
        <f>IF(AA425&lt;&gt;"",IF(K425&lt;&gt;"",K425&amp;" ("&amp;M425&amp;")",M425),"")</f>
      </c>
      <c r="AC425">
        <f>IF($B425="","fecha, ","")&amp;IF($C425="","quién lo introduce, ","")&amp;IF($I425="","motivo, ","")&amp;IF($K425="","docente, ","")&amp;IF($L425="","horario, ","")&amp;IF($N425="","duración, ","")&amp;IF($Q425="","estado, ","")&amp;IF(AND($I425="Otros",$J425=""),"detalle del motivo, ","")&amp;IF(AND($O425="Sí",$P425=""),"detalle del refuerzo, ","")&amp;IF(AND(OR($I425="Renuncia (hasta 30 nov)",$I425="Baja (desde 1 dic)",$I425="Renuncia excepcional (art. 25.3)",$I425="Traslado de expediente"),OR($E425="",$F425="",$G425="")),"quién deja la plaza, ","")&amp;IF(AND($Q425="No disponible",$R425=""),"vía de cobertura, ","")&amp;IF(AND(OR($R425="Lista de espera · propio centro",$R425="Traslado de expediente",$R425="Lista de espera · otro centro"),OR($S425="",$T425="",$U425="")),"quién ocupa la plaza, ","")</f>
      </c>
      <c r="AD425" s="24">
        <f>IF($D425="","",IF(AND(LEN($AC425)=0,LEN($AK425)=0),"Completa",IF(LEN($AC425)=0,"Revisar: "&amp;LEFT($AK425,LEN($AK425)-2),"Falta: "&amp;LEFT($AC425,LEN($AC425)-2)&amp;IF(LEN($AK425)&gt;0,"  ·  Revisar: "&amp;LEFT($AK425,LEN($AK425)-2),""))))</f>
      </c>
      <c r="AE425">
        <f>IF(AND($D425&lt;&gt;"",OR($I425="Renuncia (hasta 30 nov)",$I425="Baja (desde 1 dic)",$I425="Renuncia excepcional (art. 25.3)",$I425="Traslado de expediente")),COUNTIF($AE$1:AE424,"&gt;0")+1,"")</f>
      </c>
      <c r="AF425">
        <f>IF($Q425="Disponible",COUNTIF($AF$1:AF424,"&gt;0")+1,"")</f>
      </c>
      <c r="AG425">
        <f>IF($O425="Sí",COUNTIF($AG$1:AG424,"&gt;0")+1,"")</f>
      </c>
      <c r="AH425">
        <f>IF(AND($Q425="Disponible",$O425&lt;&gt;"Sí"),COUNTIF($AH$1:AH424,"&gt;0")+1,"")</f>
      </c>
      <c r="AI425">
        <f>IF(AND($Q425="Disponible",$K425&lt;&gt;""),COUNTIFS($K$2:K425,K425,$Q$2:Q425,"Disponible"),"")</f>
      </c>
      <c r="AJ425">
        <f>IF(AI425&lt;&gt;"",K425&amp;"|"&amp;AI425,"")</f>
      </c>
      <c r="AK425">
        <f>IF(AND($Q425="No disponible",OR($R425="Lista de espera · propio centro",$R425="Traslado de expediente",$R425="Lista de espera · otro centro"),$O425="Sí"),"la plaza ya tiene alumno y sigue marcada como refuerzo, ","")&amp;IF(AND($R425="Reconvertida en refuerzo",$O425&lt;&gt;"Sí"),"reconvertida en refuerzo pero sin marcar «En uso como refuerzo», ","")</f>
      </c>
    </row>
    <row r="426" spans="1:37">
      <c r="A426" s="20">
        <f>IF(D426&lt;&gt;"",ROW()-1,"")</f>
      </c>
      <c r="B426" s="55"/>
      <c r="C426" s="56"/>
      <c r="D426" s="56"/>
      <c r="E426" s="56"/>
      <c r="F426" s="56"/>
      <c r="G426" s="56"/>
      <c r="H426" s="56"/>
      <c r="I426" s="56"/>
      <c r="J426" s="57"/>
      <c r="K426" s="56"/>
      <c r="L426" s="58"/>
      <c r="M426" s="58">
        <f>IF(L426="","",L426)</f>
      </c>
      <c r="N426" s="56"/>
      <c r="O426" s="56"/>
      <c r="P426" s="57"/>
      <c r="Q426" s="56"/>
      <c r="R426" s="56"/>
      <c r="S426" s="56"/>
      <c r="T426" s="56"/>
      <c r="U426" s="56"/>
      <c r="V426" s="57"/>
      <c r="W426">
        <f>IF(Q426="Disponible",COUNTIFS($D$2:D426,D426,$Q$2:Q426,"Disponible"),"")</f>
      </c>
      <c r="X426">
        <f>IF(W426&lt;&gt;"",D426&amp;"|"&amp;W426,"")</f>
      </c>
      <c r="Y426">
        <f>IF(X426&lt;&gt;"",IF(K426&lt;&gt;"",K426&amp;" ("&amp;M426&amp;")",M426),"")</f>
      </c>
      <c r="Z426">
        <f>IF(O426="Sí",COUNTIFS($D$2:D426,D426,$O$2:O426,"Sí"),"")</f>
      </c>
      <c r="AA426">
        <f>IF(Z426&lt;&gt;"",D426&amp;"|"&amp;Z426,"")</f>
      </c>
      <c r="AB426">
        <f>IF(AA426&lt;&gt;"",IF(K426&lt;&gt;"",K426&amp;" ("&amp;M426&amp;")",M426),"")</f>
      </c>
      <c r="AC426">
        <f>IF($B426="","fecha, ","")&amp;IF($C426="","quién lo introduce, ","")&amp;IF($I426="","motivo, ","")&amp;IF($K426="","docente, ","")&amp;IF($L426="","horario, ","")&amp;IF($N426="","duración, ","")&amp;IF($Q426="","estado, ","")&amp;IF(AND($I426="Otros",$J426=""),"detalle del motivo, ","")&amp;IF(AND($O426="Sí",$P426=""),"detalle del refuerzo, ","")&amp;IF(AND(OR($I426="Renuncia (hasta 30 nov)",$I426="Baja (desde 1 dic)",$I426="Renuncia excepcional (art. 25.3)",$I426="Traslado de expediente"),OR($E426="",$F426="",$G426="")),"quién deja la plaza, ","")&amp;IF(AND($Q426="No disponible",$R426=""),"vía de cobertura, ","")&amp;IF(AND(OR($R426="Lista de espera · propio centro",$R426="Traslado de expediente",$R426="Lista de espera · otro centro"),OR($S426="",$T426="",$U426="")),"quién ocupa la plaza, ","")</f>
      </c>
      <c r="AD426" s="24">
        <f>IF($D426="","",IF(AND(LEN($AC426)=0,LEN($AK426)=0),"Completa",IF(LEN($AC426)=0,"Revisar: "&amp;LEFT($AK426,LEN($AK426)-2),"Falta: "&amp;LEFT($AC426,LEN($AC426)-2)&amp;IF(LEN($AK426)&gt;0,"  ·  Revisar: "&amp;LEFT($AK426,LEN($AK426)-2),""))))</f>
      </c>
      <c r="AE426">
        <f>IF(AND($D426&lt;&gt;"",OR($I426="Renuncia (hasta 30 nov)",$I426="Baja (desde 1 dic)",$I426="Renuncia excepcional (art. 25.3)",$I426="Traslado de expediente")),COUNTIF($AE$1:AE425,"&gt;0")+1,"")</f>
      </c>
      <c r="AF426">
        <f>IF($Q426="Disponible",COUNTIF($AF$1:AF425,"&gt;0")+1,"")</f>
      </c>
      <c r="AG426">
        <f>IF($O426="Sí",COUNTIF($AG$1:AG425,"&gt;0")+1,"")</f>
      </c>
      <c r="AH426">
        <f>IF(AND($Q426="Disponible",$O426&lt;&gt;"Sí"),COUNTIF($AH$1:AH425,"&gt;0")+1,"")</f>
      </c>
      <c r="AI426">
        <f>IF(AND($Q426="Disponible",$K426&lt;&gt;""),COUNTIFS($K$2:K426,K426,$Q$2:Q426,"Disponible"),"")</f>
      </c>
      <c r="AJ426">
        <f>IF(AI426&lt;&gt;"",K426&amp;"|"&amp;AI426,"")</f>
      </c>
      <c r="AK426">
        <f>IF(AND($Q426="No disponible",OR($R426="Lista de espera · propio centro",$R426="Traslado de expediente",$R426="Lista de espera · otro centro"),$O426="Sí"),"la plaza ya tiene alumno y sigue marcada como refuerzo, ","")&amp;IF(AND($R426="Reconvertida en refuerzo",$O426&lt;&gt;"Sí"),"reconvertida en refuerzo pero sin marcar «En uso como refuerzo», ","")</f>
      </c>
    </row>
    <row r="427" spans="1:37">
      <c r="A427" s="20">
        <f>IF(D427&lt;&gt;"",ROW()-1,"")</f>
      </c>
      <c r="B427" s="55"/>
      <c r="C427" s="56"/>
      <c r="D427" s="56"/>
      <c r="E427" s="56"/>
      <c r="F427" s="56"/>
      <c r="G427" s="56"/>
      <c r="H427" s="56"/>
      <c r="I427" s="56"/>
      <c r="J427" s="57"/>
      <c r="K427" s="56"/>
      <c r="L427" s="58"/>
      <c r="M427" s="58">
        <f>IF(L427="","",L427)</f>
      </c>
      <c r="N427" s="56"/>
      <c r="O427" s="56"/>
      <c r="P427" s="57"/>
      <c r="Q427" s="56"/>
      <c r="R427" s="56"/>
      <c r="S427" s="56"/>
      <c r="T427" s="56"/>
      <c r="U427" s="56"/>
      <c r="V427" s="57"/>
      <c r="W427">
        <f>IF(Q427="Disponible",COUNTIFS($D$2:D427,D427,$Q$2:Q427,"Disponible"),"")</f>
      </c>
      <c r="X427">
        <f>IF(W427&lt;&gt;"",D427&amp;"|"&amp;W427,"")</f>
      </c>
      <c r="Y427">
        <f>IF(X427&lt;&gt;"",IF(K427&lt;&gt;"",K427&amp;" ("&amp;M427&amp;")",M427),"")</f>
      </c>
      <c r="Z427">
        <f>IF(O427="Sí",COUNTIFS($D$2:D427,D427,$O$2:O427,"Sí"),"")</f>
      </c>
      <c r="AA427">
        <f>IF(Z427&lt;&gt;"",D427&amp;"|"&amp;Z427,"")</f>
      </c>
      <c r="AB427">
        <f>IF(AA427&lt;&gt;"",IF(K427&lt;&gt;"",K427&amp;" ("&amp;M427&amp;")",M427),"")</f>
      </c>
      <c r="AC427">
        <f>IF($B427="","fecha, ","")&amp;IF($C427="","quién lo introduce, ","")&amp;IF($I427="","motivo, ","")&amp;IF($K427="","docente, ","")&amp;IF($L427="","horario, ","")&amp;IF($N427="","duración, ","")&amp;IF($Q427="","estado, ","")&amp;IF(AND($I427="Otros",$J427=""),"detalle del motivo, ","")&amp;IF(AND($O427="Sí",$P427=""),"detalle del refuerzo, ","")&amp;IF(AND(OR($I427="Renuncia (hasta 30 nov)",$I427="Baja (desde 1 dic)",$I427="Renuncia excepcional (art. 25.3)",$I427="Traslado de expediente"),OR($E427="",$F427="",$G427="")),"quién deja la plaza, ","")&amp;IF(AND($Q427="No disponible",$R427=""),"vía de cobertura, ","")&amp;IF(AND(OR($R427="Lista de espera · propio centro",$R427="Traslado de expediente",$R427="Lista de espera · otro centro"),OR($S427="",$T427="",$U427="")),"quién ocupa la plaza, ","")</f>
      </c>
      <c r="AD427" s="24">
        <f>IF($D427="","",IF(AND(LEN($AC427)=0,LEN($AK427)=0),"Completa",IF(LEN($AC427)=0,"Revisar: "&amp;LEFT($AK427,LEN($AK427)-2),"Falta: "&amp;LEFT($AC427,LEN($AC427)-2)&amp;IF(LEN($AK427)&gt;0,"  ·  Revisar: "&amp;LEFT($AK427,LEN($AK427)-2),""))))</f>
      </c>
      <c r="AE427">
        <f>IF(AND($D427&lt;&gt;"",OR($I427="Renuncia (hasta 30 nov)",$I427="Baja (desde 1 dic)",$I427="Renuncia excepcional (art. 25.3)",$I427="Traslado de expediente")),COUNTIF($AE$1:AE426,"&gt;0")+1,"")</f>
      </c>
      <c r="AF427">
        <f>IF($Q427="Disponible",COUNTIF($AF$1:AF426,"&gt;0")+1,"")</f>
      </c>
      <c r="AG427">
        <f>IF($O427="Sí",COUNTIF($AG$1:AG426,"&gt;0")+1,"")</f>
      </c>
      <c r="AH427">
        <f>IF(AND($Q427="Disponible",$O427&lt;&gt;"Sí"),COUNTIF($AH$1:AH426,"&gt;0")+1,"")</f>
      </c>
      <c r="AI427">
        <f>IF(AND($Q427="Disponible",$K427&lt;&gt;""),COUNTIFS($K$2:K427,K427,$Q$2:Q427,"Disponible"),"")</f>
      </c>
      <c r="AJ427">
        <f>IF(AI427&lt;&gt;"",K427&amp;"|"&amp;AI427,"")</f>
      </c>
      <c r="AK427">
        <f>IF(AND($Q427="No disponible",OR($R427="Lista de espera · propio centro",$R427="Traslado de expediente",$R427="Lista de espera · otro centro"),$O427="Sí"),"la plaza ya tiene alumno y sigue marcada como refuerzo, ","")&amp;IF(AND($R427="Reconvertida en refuerzo",$O427&lt;&gt;"Sí"),"reconvertida en refuerzo pero sin marcar «En uso como refuerzo», ","")</f>
      </c>
    </row>
    <row r="428" spans="1:37">
      <c r="A428" s="20">
        <f>IF(D428&lt;&gt;"",ROW()-1,"")</f>
      </c>
      <c r="B428" s="55"/>
      <c r="C428" s="56"/>
      <c r="D428" s="56"/>
      <c r="E428" s="56"/>
      <c r="F428" s="56"/>
      <c r="G428" s="56"/>
      <c r="H428" s="56"/>
      <c r="I428" s="56"/>
      <c r="J428" s="57"/>
      <c r="K428" s="56"/>
      <c r="L428" s="58"/>
      <c r="M428" s="58">
        <f>IF(L428="","",L428)</f>
      </c>
      <c r="N428" s="56"/>
      <c r="O428" s="56"/>
      <c r="P428" s="57"/>
      <c r="Q428" s="56"/>
      <c r="R428" s="56"/>
      <c r="S428" s="56"/>
      <c r="T428" s="56"/>
      <c r="U428" s="56"/>
      <c r="V428" s="57"/>
      <c r="W428">
        <f>IF(Q428="Disponible",COUNTIFS($D$2:D428,D428,$Q$2:Q428,"Disponible"),"")</f>
      </c>
      <c r="X428">
        <f>IF(W428&lt;&gt;"",D428&amp;"|"&amp;W428,"")</f>
      </c>
      <c r="Y428">
        <f>IF(X428&lt;&gt;"",IF(K428&lt;&gt;"",K428&amp;" ("&amp;M428&amp;")",M428),"")</f>
      </c>
      <c r="Z428">
        <f>IF(O428="Sí",COUNTIFS($D$2:D428,D428,$O$2:O428,"Sí"),"")</f>
      </c>
      <c r="AA428">
        <f>IF(Z428&lt;&gt;"",D428&amp;"|"&amp;Z428,"")</f>
      </c>
      <c r="AB428">
        <f>IF(AA428&lt;&gt;"",IF(K428&lt;&gt;"",K428&amp;" ("&amp;M428&amp;")",M428),"")</f>
      </c>
      <c r="AC428">
        <f>IF($B428="","fecha, ","")&amp;IF($C428="","quién lo introduce, ","")&amp;IF($I428="","motivo, ","")&amp;IF($K428="","docente, ","")&amp;IF($L428="","horario, ","")&amp;IF($N428="","duración, ","")&amp;IF($Q428="","estado, ","")&amp;IF(AND($I428="Otros",$J428=""),"detalle del motivo, ","")&amp;IF(AND($O428="Sí",$P428=""),"detalle del refuerzo, ","")&amp;IF(AND(OR($I428="Renuncia (hasta 30 nov)",$I428="Baja (desde 1 dic)",$I428="Renuncia excepcional (art. 25.3)",$I428="Traslado de expediente"),OR($E428="",$F428="",$G428="")),"quién deja la plaza, ","")&amp;IF(AND($Q428="No disponible",$R428=""),"vía de cobertura, ","")&amp;IF(AND(OR($R428="Lista de espera · propio centro",$R428="Traslado de expediente",$R428="Lista de espera · otro centro"),OR($S428="",$T428="",$U428="")),"quién ocupa la plaza, ","")</f>
      </c>
      <c r="AD428" s="24">
        <f>IF($D428="","",IF(AND(LEN($AC428)=0,LEN($AK428)=0),"Completa",IF(LEN($AC428)=0,"Revisar: "&amp;LEFT($AK428,LEN($AK428)-2),"Falta: "&amp;LEFT($AC428,LEN($AC428)-2)&amp;IF(LEN($AK428)&gt;0,"  ·  Revisar: "&amp;LEFT($AK428,LEN($AK428)-2),""))))</f>
      </c>
      <c r="AE428">
        <f>IF(AND($D428&lt;&gt;"",OR($I428="Renuncia (hasta 30 nov)",$I428="Baja (desde 1 dic)",$I428="Renuncia excepcional (art. 25.3)",$I428="Traslado de expediente")),COUNTIF($AE$1:AE427,"&gt;0")+1,"")</f>
      </c>
      <c r="AF428">
        <f>IF($Q428="Disponible",COUNTIF($AF$1:AF427,"&gt;0")+1,"")</f>
      </c>
      <c r="AG428">
        <f>IF($O428="Sí",COUNTIF($AG$1:AG427,"&gt;0")+1,"")</f>
      </c>
      <c r="AH428">
        <f>IF(AND($Q428="Disponible",$O428&lt;&gt;"Sí"),COUNTIF($AH$1:AH427,"&gt;0")+1,"")</f>
      </c>
      <c r="AI428">
        <f>IF(AND($Q428="Disponible",$K428&lt;&gt;""),COUNTIFS($K$2:K428,K428,$Q$2:Q428,"Disponible"),"")</f>
      </c>
      <c r="AJ428">
        <f>IF(AI428&lt;&gt;"",K428&amp;"|"&amp;AI428,"")</f>
      </c>
      <c r="AK428">
        <f>IF(AND($Q428="No disponible",OR($R428="Lista de espera · propio centro",$R428="Traslado de expediente",$R428="Lista de espera · otro centro"),$O428="Sí"),"la plaza ya tiene alumno y sigue marcada como refuerzo, ","")&amp;IF(AND($R428="Reconvertida en refuerzo",$O428&lt;&gt;"Sí"),"reconvertida en refuerzo pero sin marcar «En uso como refuerzo», ","")</f>
      </c>
    </row>
    <row r="429" spans="1:37">
      <c r="A429" s="20">
        <f>IF(D429&lt;&gt;"",ROW()-1,"")</f>
      </c>
      <c r="B429" s="55"/>
      <c r="C429" s="56"/>
      <c r="D429" s="56"/>
      <c r="E429" s="56"/>
      <c r="F429" s="56"/>
      <c r="G429" s="56"/>
      <c r="H429" s="56"/>
      <c r="I429" s="56"/>
      <c r="J429" s="57"/>
      <c r="K429" s="56"/>
      <c r="L429" s="58"/>
      <c r="M429" s="58">
        <f>IF(L429="","",L429)</f>
      </c>
      <c r="N429" s="56"/>
      <c r="O429" s="56"/>
      <c r="P429" s="57"/>
      <c r="Q429" s="56"/>
      <c r="R429" s="56"/>
      <c r="S429" s="56"/>
      <c r="T429" s="56"/>
      <c r="U429" s="56"/>
      <c r="V429" s="57"/>
      <c r="W429">
        <f>IF(Q429="Disponible",COUNTIFS($D$2:D429,D429,$Q$2:Q429,"Disponible"),"")</f>
      </c>
      <c r="X429">
        <f>IF(W429&lt;&gt;"",D429&amp;"|"&amp;W429,"")</f>
      </c>
      <c r="Y429">
        <f>IF(X429&lt;&gt;"",IF(K429&lt;&gt;"",K429&amp;" ("&amp;M429&amp;")",M429),"")</f>
      </c>
      <c r="Z429">
        <f>IF(O429="Sí",COUNTIFS($D$2:D429,D429,$O$2:O429,"Sí"),"")</f>
      </c>
      <c r="AA429">
        <f>IF(Z429&lt;&gt;"",D429&amp;"|"&amp;Z429,"")</f>
      </c>
      <c r="AB429">
        <f>IF(AA429&lt;&gt;"",IF(K429&lt;&gt;"",K429&amp;" ("&amp;M429&amp;")",M429),"")</f>
      </c>
      <c r="AC429">
        <f>IF($B429="","fecha, ","")&amp;IF($C429="","quién lo introduce, ","")&amp;IF($I429="","motivo, ","")&amp;IF($K429="","docente, ","")&amp;IF($L429="","horario, ","")&amp;IF($N429="","duración, ","")&amp;IF($Q429="","estado, ","")&amp;IF(AND($I429="Otros",$J429=""),"detalle del motivo, ","")&amp;IF(AND($O429="Sí",$P429=""),"detalle del refuerzo, ","")&amp;IF(AND(OR($I429="Renuncia (hasta 30 nov)",$I429="Baja (desde 1 dic)",$I429="Renuncia excepcional (art. 25.3)",$I429="Traslado de expediente"),OR($E429="",$F429="",$G429="")),"quién deja la plaza, ","")&amp;IF(AND($Q429="No disponible",$R429=""),"vía de cobertura, ","")&amp;IF(AND(OR($R429="Lista de espera · propio centro",$R429="Traslado de expediente",$R429="Lista de espera · otro centro"),OR($S429="",$T429="",$U429="")),"quién ocupa la plaza, ","")</f>
      </c>
      <c r="AD429" s="24">
        <f>IF($D429="","",IF(AND(LEN($AC429)=0,LEN($AK429)=0),"Completa",IF(LEN($AC429)=0,"Revisar: "&amp;LEFT($AK429,LEN($AK429)-2),"Falta: "&amp;LEFT($AC429,LEN($AC429)-2)&amp;IF(LEN($AK429)&gt;0,"  ·  Revisar: "&amp;LEFT($AK429,LEN($AK429)-2),""))))</f>
      </c>
      <c r="AE429">
        <f>IF(AND($D429&lt;&gt;"",OR($I429="Renuncia (hasta 30 nov)",$I429="Baja (desde 1 dic)",$I429="Renuncia excepcional (art. 25.3)",$I429="Traslado de expediente")),COUNTIF($AE$1:AE428,"&gt;0")+1,"")</f>
      </c>
      <c r="AF429">
        <f>IF($Q429="Disponible",COUNTIF($AF$1:AF428,"&gt;0")+1,"")</f>
      </c>
      <c r="AG429">
        <f>IF($O429="Sí",COUNTIF($AG$1:AG428,"&gt;0")+1,"")</f>
      </c>
      <c r="AH429">
        <f>IF(AND($Q429="Disponible",$O429&lt;&gt;"Sí"),COUNTIF($AH$1:AH428,"&gt;0")+1,"")</f>
      </c>
      <c r="AI429">
        <f>IF(AND($Q429="Disponible",$K429&lt;&gt;""),COUNTIFS($K$2:K429,K429,$Q$2:Q429,"Disponible"),"")</f>
      </c>
      <c r="AJ429">
        <f>IF(AI429&lt;&gt;"",K429&amp;"|"&amp;AI429,"")</f>
      </c>
      <c r="AK429">
        <f>IF(AND($Q429="No disponible",OR($R429="Lista de espera · propio centro",$R429="Traslado de expediente",$R429="Lista de espera · otro centro"),$O429="Sí"),"la plaza ya tiene alumno y sigue marcada como refuerzo, ","")&amp;IF(AND($R429="Reconvertida en refuerzo",$O429&lt;&gt;"Sí"),"reconvertida en refuerzo pero sin marcar «En uso como refuerzo», ","")</f>
      </c>
    </row>
    <row r="430" spans="1:37">
      <c r="A430" s="20">
        <f>IF(D430&lt;&gt;"",ROW()-1,"")</f>
      </c>
      <c r="B430" s="55"/>
      <c r="C430" s="56"/>
      <c r="D430" s="56"/>
      <c r="E430" s="56"/>
      <c r="F430" s="56"/>
      <c r="G430" s="56"/>
      <c r="H430" s="56"/>
      <c r="I430" s="56"/>
      <c r="J430" s="57"/>
      <c r="K430" s="56"/>
      <c r="L430" s="58"/>
      <c r="M430" s="58">
        <f>IF(L430="","",L430)</f>
      </c>
      <c r="N430" s="56"/>
      <c r="O430" s="56"/>
      <c r="P430" s="57"/>
      <c r="Q430" s="56"/>
      <c r="R430" s="56"/>
      <c r="S430" s="56"/>
      <c r="T430" s="56"/>
      <c r="U430" s="56"/>
      <c r="V430" s="57"/>
      <c r="W430">
        <f>IF(Q430="Disponible",COUNTIFS($D$2:D430,D430,$Q$2:Q430,"Disponible"),"")</f>
      </c>
      <c r="X430">
        <f>IF(W430&lt;&gt;"",D430&amp;"|"&amp;W430,"")</f>
      </c>
      <c r="Y430">
        <f>IF(X430&lt;&gt;"",IF(K430&lt;&gt;"",K430&amp;" ("&amp;M430&amp;")",M430),"")</f>
      </c>
      <c r="Z430">
        <f>IF(O430="Sí",COUNTIFS($D$2:D430,D430,$O$2:O430,"Sí"),"")</f>
      </c>
      <c r="AA430">
        <f>IF(Z430&lt;&gt;"",D430&amp;"|"&amp;Z430,"")</f>
      </c>
      <c r="AB430">
        <f>IF(AA430&lt;&gt;"",IF(K430&lt;&gt;"",K430&amp;" ("&amp;M430&amp;")",M430),"")</f>
      </c>
      <c r="AC430">
        <f>IF($B430="","fecha, ","")&amp;IF($C430="","quién lo introduce, ","")&amp;IF($I430="","motivo, ","")&amp;IF($K430="","docente, ","")&amp;IF($L430="","horario, ","")&amp;IF($N430="","duración, ","")&amp;IF($Q430="","estado, ","")&amp;IF(AND($I430="Otros",$J430=""),"detalle del motivo, ","")&amp;IF(AND($O430="Sí",$P430=""),"detalle del refuerzo, ","")&amp;IF(AND(OR($I430="Renuncia (hasta 30 nov)",$I430="Baja (desde 1 dic)",$I430="Renuncia excepcional (art. 25.3)",$I430="Traslado de expediente"),OR($E430="",$F430="",$G430="")),"quién deja la plaza, ","")&amp;IF(AND($Q430="No disponible",$R430=""),"vía de cobertura, ","")&amp;IF(AND(OR($R430="Lista de espera · propio centro",$R430="Traslado de expediente",$R430="Lista de espera · otro centro"),OR($S430="",$T430="",$U430="")),"quién ocupa la plaza, ","")</f>
      </c>
      <c r="AD430" s="24">
        <f>IF($D430="","",IF(AND(LEN($AC430)=0,LEN($AK430)=0),"Completa",IF(LEN($AC430)=0,"Revisar: "&amp;LEFT($AK430,LEN($AK430)-2),"Falta: "&amp;LEFT($AC430,LEN($AC430)-2)&amp;IF(LEN($AK430)&gt;0,"  ·  Revisar: "&amp;LEFT($AK430,LEN($AK430)-2),""))))</f>
      </c>
      <c r="AE430">
        <f>IF(AND($D430&lt;&gt;"",OR($I430="Renuncia (hasta 30 nov)",$I430="Baja (desde 1 dic)",$I430="Renuncia excepcional (art. 25.3)",$I430="Traslado de expediente")),COUNTIF($AE$1:AE429,"&gt;0")+1,"")</f>
      </c>
      <c r="AF430">
        <f>IF($Q430="Disponible",COUNTIF($AF$1:AF429,"&gt;0")+1,"")</f>
      </c>
      <c r="AG430">
        <f>IF($O430="Sí",COUNTIF($AG$1:AG429,"&gt;0")+1,"")</f>
      </c>
      <c r="AH430">
        <f>IF(AND($Q430="Disponible",$O430&lt;&gt;"Sí"),COUNTIF($AH$1:AH429,"&gt;0")+1,"")</f>
      </c>
      <c r="AI430">
        <f>IF(AND($Q430="Disponible",$K430&lt;&gt;""),COUNTIFS($K$2:K430,K430,$Q$2:Q430,"Disponible"),"")</f>
      </c>
      <c r="AJ430">
        <f>IF(AI430&lt;&gt;"",K430&amp;"|"&amp;AI430,"")</f>
      </c>
      <c r="AK430">
        <f>IF(AND($Q430="No disponible",OR($R430="Lista de espera · propio centro",$R430="Traslado de expediente",$R430="Lista de espera · otro centro"),$O430="Sí"),"la plaza ya tiene alumno y sigue marcada como refuerzo, ","")&amp;IF(AND($R430="Reconvertida en refuerzo",$O430&lt;&gt;"Sí"),"reconvertida en refuerzo pero sin marcar «En uso como refuerzo», ","")</f>
      </c>
    </row>
    <row r="431" spans="1:37">
      <c r="A431" s="20">
        <f>IF(D431&lt;&gt;"",ROW()-1,"")</f>
      </c>
      <c r="B431" s="55"/>
      <c r="C431" s="56"/>
      <c r="D431" s="56"/>
      <c r="E431" s="56"/>
      <c r="F431" s="56"/>
      <c r="G431" s="56"/>
      <c r="H431" s="56"/>
      <c r="I431" s="56"/>
      <c r="J431" s="57"/>
      <c r="K431" s="56"/>
      <c r="L431" s="58"/>
      <c r="M431" s="58">
        <f>IF(L431="","",L431)</f>
      </c>
      <c r="N431" s="56"/>
      <c r="O431" s="56"/>
      <c r="P431" s="57"/>
      <c r="Q431" s="56"/>
      <c r="R431" s="56"/>
      <c r="S431" s="56"/>
      <c r="T431" s="56"/>
      <c r="U431" s="56"/>
      <c r="V431" s="57"/>
      <c r="W431">
        <f>IF(Q431="Disponible",COUNTIFS($D$2:D431,D431,$Q$2:Q431,"Disponible"),"")</f>
      </c>
      <c r="X431">
        <f>IF(W431&lt;&gt;"",D431&amp;"|"&amp;W431,"")</f>
      </c>
      <c r="Y431">
        <f>IF(X431&lt;&gt;"",IF(K431&lt;&gt;"",K431&amp;" ("&amp;M431&amp;")",M431),"")</f>
      </c>
      <c r="Z431">
        <f>IF(O431="Sí",COUNTIFS($D$2:D431,D431,$O$2:O431,"Sí"),"")</f>
      </c>
      <c r="AA431">
        <f>IF(Z431&lt;&gt;"",D431&amp;"|"&amp;Z431,"")</f>
      </c>
      <c r="AB431">
        <f>IF(AA431&lt;&gt;"",IF(K431&lt;&gt;"",K431&amp;" ("&amp;M431&amp;")",M431),"")</f>
      </c>
      <c r="AC431">
        <f>IF($B431="","fecha, ","")&amp;IF($C431="","quién lo introduce, ","")&amp;IF($I431="","motivo, ","")&amp;IF($K431="","docente, ","")&amp;IF($L431="","horario, ","")&amp;IF($N431="","duración, ","")&amp;IF($Q431="","estado, ","")&amp;IF(AND($I431="Otros",$J431=""),"detalle del motivo, ","")&amp;IF(AND($O431="Sí",$P431=""),"detalle del refuerzo, ","")&amp;IF(AND(OR($I431="Renuncia (hasta 30 nov)",$I431="Baja (desde 1 dic)",$I431="Renuncia excepcional (art. 25.3)",$I431="Traslado de expediente"),OR($E431="",$F431="",$G431="")),"quién deja la plaza, ","")&amp;IF(AND($Q431="No disponible",$R431=""),"vía de cobertura, ","")&amp;IF(AND(OR($R431="Lista de espera · propio centro",$R431="Traslado de expediente",$R431="Lista de espera · otro centro"),OR($S431="",$T431="",$U431="")),"quién ocupa la plaza, ","")</f>
      </c>
      <c r="AD431" s="24">
        <f>IF($D431="","",IF(AND(LEN($AC431)=0,LEN($AK431)=0),"Completa",IF(LEN($AC431)=0,"Revisar: "&amp;LEFT($AK431,LEN($AK431)-2),"Falta: "&amp;LEFT($AC431,LEN($AC431)-2)&amp;IF(LEN($AK431)&gt;0,"  ·  Revisar: "&amp;LEFT($AK431,LEN($AK431)-2),""))))</f>
      </c>
      <c r="AE431">
        <f>IF(AND($D431&lt;&gt;"",OR($I431="Renuncia (hasta 30 nov)",$I431="Baja (desde 1 dic)",$I431="Renuncia excepcional (art. 25.3)",$I431="Traslado de expediente")),COUNTIF($AE$1:AE430,"&gt;0")+1,"")</f>
      </c>
      <c r="AF431">
        <f>IF($Q431="Disponible",COUNTIF($AF$1:AF430,"&gt;0")+1,"")</f>
      </c>
      <c r="AG431">
        <f>IF($O431="Sí",COUNTIF($AG$1:AG430,"&gt;0")+1,"")</f>
      </c>
      <c r="AH431">
        <f>IF(AND($Q431="Disponible",$O431&lt;&gt;"Sí"),COUNTIF($AH$1:AH430,"&gt;0")+1,"")</f>
      </c>
      <c r="AI431">
        <f>IF(AND($Q431="Disponible",$K431&lt;&gt;""),COUNTIFS($K$2:K431,K431,$Q$2:Q431,"Disponible"),"")</f>
      </c>
      <c r="AJ431">
        <f>IF(AI431&lt;&gt;"",K431&amp;"|"&amp;AI431,"")</f>
      </c>
      <c r="AK431">
        <f>IF(AND($Q431="No disponible",OR($R431="Lista de espera · propio centro",$R431="Traslado de expediente",$R431="Lista de espera · otro centro"),$O431="Sí"),"la plaza ya tiene alumno y sigue marcada como refuerzo, ","")&amp;IF(AND($R431="Reconvertida en refuerzo",$O431&lt;&gt;"Sí"),"reconvertida en refuerzo pero sin marcar «En uso como refuerzo», ","")</f>
      </c>
    </row>
    <row r="432" spans="1:37">
      <c r="A432" s="20">
        <f>IF(D432&lt;&gt;"",ROW()-1,"")</f>
      </c>
      <c r="B432" s="55"/>
      <c r="C432" s="56"/>
      <c r="D432" s="56"/>
      <c r="E432" s="56"/>
      <c r="F432" s="56"/>
      <c r="G432" s="56"/>
      <c r="H432" s="56"/>
      <c r="I432" s="56"/>
      <c r="J432" s="57"/>
      <c r="K432" s="56"/>
      <c r="L432" s="58"/>
      <c r="M432" s="58">
        <f>IF(L432="","",L432)</f>
      </c>
      <c r="N432" s="56"/>
      <c r="O432" s="56"/>
      <c r="P432" s="57"/>
      <c r="Q432" s="56"/>
      <c r="R432" s="56"/>
      <c r="S432" s="56"/>
      <c r="T432" s="56"/>
      <c r="U432" s="56"/>
      <c r="V432" s="57"/>
      <c r="W432">
        <f>IF(Q432="Disponible",COUNTIFS($D$2:D432,D432,$Q$2:Q432,"Disponible"),"")</f>
      </c>
      <c r="X432">
        <f>IF(W432&lt;&gt;"",D432&amp;"|"&amp;W432,"")</f>
      </c>
      <c r="Y432">
        <f>IF(X432&lt;&gt;"",IF(K432&lt;&gt;"",K432&amp;" ("&amp;M432&amp;")",M432),"")</f>
      </c>
      <c r="Z432">
        <f>IF(O432="Sí",COUNTIFS($D$2:D432,D432,$O$2:O432,"Sí"),"")</f>
      </c>
      <c r="AA432">
        <f>IF(Z432&lt;&gt;"",D432&amp;"|"&amp;Z432,"")</f>
      </c>
      <c r="AB432">
        <f>IF(AA432&lt;&gt;"",IF(K432&lt;&gt;"",K432&amp;" ("&amp;M432&amp;")",M432),"")</f>
      </c>
      <c r="AC432">
        <f>IF($B432="","fecha, ","")&amp;IF($C432="","quién lo introduce, ","")&amp;IF($I432="","motivo, ","")&amp;IF($K432="","docente, ","")&amp;IF($L432="","horario, ","")&amp;IF($N432="","duración, ","")&amp;IF($Q432="","estado, ","")&amp;IF(AND($I432="Otros",$J432=""),"detalle del motivo, ","")&amp;IF(AND($O432="Sí",$P432=""),"detalle del refuerzo, ","")&amp;IF(AND(OR($I432="Renuncia (hasta 30 nov)",$I432="Baja (desde 1 dic)",$I432="Renuncia excepcional (art. 25.3)",$I432="Traslado de expediente"),OR($E432="",$F432="",$G432="")),"quién deja la plaza, ","")&amp;IF(AND($Q432="No disponible",$R432=""),"vía de cobertura, ","")&amp;IF(AND(OR($R432="Lista de espera · propio centro",$R432="Traslado de expediente",$R432="Lista de espera · otro centro"),OR($S432="",$T432="",$U432="")),"quién ocupa la plaza, ","")</f>
      </c>
      <c r="AD432" s="24">
        <f>IF($D432="","",IF(AND(LEN($AC432)=0,LEN($AK432)=0),"Completa",IF(LEN($AC432)=0,"Revisar: "&amp;LEFT($AK432,LEN($AK432)-2),"Falta: "&amp;LEFT($AC432,LEN($AC432)-2)&amp;IF(LEN($AK432)&gt;0,"  ·  Revisar: "&amp;LEFT($AK432,LEN($AK432)-2),""))))</f>
      </c>
      <c r="AE432">
        <f>IF(AND($D432&lt;&gt;"",OR($I432="Renuncia (hasta 30 nov)",$I432="Baja (desde 1 dic)",$I432="Renuncia excepcional (art. 25.3)",$I432="Traslado de expediente")),COUNTIF($AE$1:AE431,"&gt;0")+1,"")</f>
      </c>
      <c r="AF432">
        <f>IF($Q432="Disponible",COUNTIF($AF$1:AF431,"&gt;0")+1,"")</f>
      </c>
      <c r="AG432">
        <f>IF($O432="Sí",COUNTIF($AG$1:AG431,"&gt;0")+1,"")</f>
      </c>
      <c r="AH432">
        <f>IF(AND($Q432="Disponible",$O432&lt;&gt;"Sí"),COUNTIF($AH$1:AH431,"&gt;0")+1,"")</f>
      </c>
      <c r="AI432">
        <f>IF(AND($Q432="Disponible",$K432&lt;&gt;""),COUNTIFS($K$2:K432,K432,$Q$2:Q432,"Disponible"),"")</f>
      </c>
      <c r="AJ432">
        <f>IF(AI432&lt;&gt;"",K432&amp;"|"&amp;AI432,"")</f>
      </c>
      <c r="AK432">
        <f>IF(AND($Q432="No disponible",OR($R432="Lista de espera · propio centro",$R432="Traslado de expediente",$R432="Lista de espera · otro centro"),$O432="Sí"),"la plaza ya tiene alumno y sigue marcada como refuerzo, ","")&amp;IF(AND($R432="Reconvertida en refuerzo",$O432&lt;&gt;"Sí"),"reconvertida en refuerzo pero sin marcar «En uso como refuerzo», ","")</f>
      </c>
    </row>
    <row r="433" spans="1:37">
      <c r="A433" s="20">
        <f>IF(D433&lt;&gt;"",ROW()-1,"")</f>
      </c>
      <c r="B433" s="55"/>
      <c r="C433" s="56"/>
      <c r="D433" s="56"/>
      <c r="E433" s="56"/>
      <c r="F433" s="56"/>
      <c r="G433" s="56"/>
      <c r="H433" s="56"/>
      <c r="I433" s="56"/>
      <c r="J433" s="57"/>
      <c r="K433" s="56"/>
      <c r="L433" s="58"/>
      <c r="M433" s="58">
        <f>IF(L433="","",L433)</f>
      </c>
      <c r="N433" s="56"/>
      <c r="O433" s="56"/>
      <c r="P433" s="57"/>
      <c r="Q433" s="56"/>
      <c r="R433" s="56"/>
      <c r="S433" s="56"/>
      <c r="T433" s="56"/>
      <c r="U433" s="56"/>
      <c r="V433" s="57"/>
      <c r="W433">
        <f>IF(Q433="Disponible",COUNTIFS($D$2:D433,D433,$Q$2:Q433,"Disponible"),"")</f>
      </c>
      <c r="X433">
        <f>IF(W433&lt;&gt;"",D433&amp;"|"&amp;W433,"")</f>
      </c>
      <c r="Y433">
        <f>IF(X433&lt;&gt;"",IF(K433&lt;&gt;"",K433&amp;" ("&amp;M433&amp;")",M433),"")</f>
      </c>
      <c r="Z433">
        <f>IF(O433="Sí",COUNTIFS($D$2:D433,D433,$O$2:O433,"Sí"),"")</f>
      </c>
      <c r="AA433">
        <f>IF(Z433&lt;&gt;"",D433&amp;"|"&amp;Z433,"")</f>
      </c>
      <c r="AB433">
        <f>IF(AA433&lt;&gt;"",IF(K433&lt;&gt;"",K433&amp;" ("&amp;M433&amp;")",M433),"")</f>
      </c>
      <c r="AC433">
        <f>IF($B433="","fecha, ","")&amp;IF($C433="","quién lo introduce, ","")&amp;IF($I433="","motivo, ","")&amp;IF($K433="","docente, ","")&amp;IF($L433="","horario, ","")&amp;IF($N433="","duración, ","")&amp;IF($Q433="","estado, ","")&amp;IF(AND($I433="Otros",$J433=""),"detalle del motivo, ","")&amp;IF(AND($O433="Sí",$P433=""),"detalle del refuerzo, ","")&amp;IF(AND(OR($I433="Renuncia (hasta 30 nov)",$I433="Baja (desde 1 dic)",$I433="Renuncia excepcional (art. 25.3)",$I433="Traslado de expediente"),OR($E433="",$F433="",$G433="")),"quién deja la plaza, ","")&amp;IF(AND($Q433="No disponible",$R433=""),"vía de cobertura, ","")&amp;IF(AND(OR($R433="Lista de espera · propio centro",$R433="Traslado de expediente",$R433="Lista de espera · otro centro"),OR($S433="",$T433="",$U433="")),"quién ocupa la plaza, ","")</f>
      </c>
      <c r="AD433" s="24">
        <f>IF($D433="","",IF(AND(LEN($AC433)=0,LEN($AK433)=0),"Completa",IF(LEN($AC433)=0,"Revisar: "&amp;LEFT($AK433,LEN($AK433)-2),"Falta: "&amp;LEFT($AC433,LEN($AC433)-2)&amp;IF(LEN($AK433)&gt;0,"  ·  Revisar: "&amp;LEFT($AK433,LEN($AK433)-2),""))))</f>
      </c>
      <c r="AE433">
        <f>IF(AND($D433&lt;&gt;"",OR($I433="Renuncia (hasta 30 nov)",$I433="Baja (desde 1 dic)",$I433="Renuncia excepcional (art. 25.3)",$I433="Traslado de expediente")),COUNTIF($AE$1:AE432,"&gt;0")+1,"")</f>
      </c>
      <c r="AF433">
        <f>IF($Q433="Disponible",COUNTIF($AF$1:AF432,"&gt;0")+1,"")</f>
      </c>
      <c r="AG433">
        <f>IF($O433="Sí",COUNTIF($AG$1:AG432,"&gt;0")+1,"")</f>
      </c>
      <c r="AH433">
        <f>IF(AND($Q433="Disponible",$O433&lt;&gt;"Sí"),COUNTIF($AH$1:AH432,"&gt;0")+1,"")</f>
      </c>
      <c r="AI433">
        <f>IF(AND($Q433="Disponible",$K433&lt;&gt;""),COUNTIFS($K$2:K433,K433,$Q$2:Q433,"Disponible"),"")</f>
      </c>
      <c r="AJ433">
        <f>IF(AI433&lt;&gt;"",K433&amp;"|"&amp;AI433,"")</f>
      </c>
      <c r="AK433">
        <f>IF(AND($Q433="No disponible",OR($R433="Lista de espera · propio centro",$R433="Traslado de expediente",$R433="Lista de espera · otro centro"),$O433="Sí"),"la plaza ya tiene alumno y sigue marcada como refuerzo, ","")&amp;IF(AND($R433="Reconvertida en refuerzo",$O433&lt;&gt;"Sí"),"reconvertida en refuerzo pero sin marcar «En uso como refuerzo», ","")</f>
      </c>
    </row>
    <row r="434" spans="1:37">
      <c r="A434" s="20">
        <f>IF(D434&lt;&gt;"",ROW()-1,"")</f>
      </c>
      <c r="B434" s="55"/>
      <c r="C434" s="56"/>
      <c r="D434" s="56"/>
      <c r="E434" s="56"/>
      <c r="F434" s="56"/>
      <c r="G434" s="56"/>
      <c r="H434" s="56"/>
      <c r="I434" s="56"/>
      <c r="J434" s="57"/>
      <c r="K434" s="56"/>
      <c r="L434" s="58"/>
      <c r="M434" s="58">
        <f>IF(L434="","",L434)</f>
      </c>
      <c r="N434" s="56"/>
      <c r="O434" s="56"/>
      <c r="P434" s="57"/>
      <c r="Q434" s="56"/>
      <c r="R434" s="56"/>
      <c r="S434" s="56"/>
      <c r="T434" s="56"/>
      <c r="U434" s="56"/>
      <c r="V434" s="57"/>
      <c r="W434">
        <f>IF(Q434="Disponible",COUNTIFS($D$2:D434,D434,$Q$2:Q434,"Disponible"),"")</f>
      </c>
      <c r="X434">
        <f>IF(W434&lt;&gt;"",D434&amp;"|"&amp;W434,"")</f>
      </c>
      <c r="Y434">
        <f>IF(X434&lt;&gt;"",IF(K434&lt;&gt;"",K434&amp;" ("&amp;M434&amp;")",M434),"")</f>
      </c>
      <c r="Z434">
        <f>IF(O434="Sí",COUNTIFS($D$2:D434,D434,$O$2:O434,"Sí"),"")</f>
      </c>
      <c r="AA434">
        <f>IF(Z434&lt;&gt;"",D434&amp;"|"&amp;Z434,"")</f>
      </c>
      <c r="AB434">
        <f>IF(AA434&lt;&gt;"",IF(K434&lt;&gt;"",K434&amp;" ("&amp;M434&amp;")",M434),"")</f>
      </c>
      <c r="AC434">
        <f>IF($B434="","fecha, ","")&amp;IF($C434="","quién lo introduce, ","")&amp;IF($I434="","motivo, ","")&amp;IF($K434="","docente, ","")&amp;IF($L434="","horario, ","")&amp;IF($N434="","duración, ","")&amp;IF($Q434="","estado, ","")&amp;IF(AND($I434="Otros",$J434=""),"detalle del motivo, ","")&amp;IF(AND($O434="Sí",$P434=""),"detalle del refuerzo, ","")&amp;IF(AND(OR($I434="Renuncia (hasta 30 nov)",$I434="Baja (desde 1 dic)",$I434="Renuncia excepcional (art. 25.3)",$I434="Traslado de expediente"),OR($E434="",$F434="",$G434="")),"quién deja la plaza, ","")&amp;IF(AND($Q434="No disponible",$R434=""),"vía de cobertura, ","")&amp;IF(AND(OR($R434="Lista de espera · propio centro",$R434="Traslado de expediente",$R434="Lista de espera · otro centro"),OR($S434="",$T434="",$U434="")),"quién ocupa la plaza, ","")</f>
      </c>
      <c r="AD434" s="24">
        <f>IF($D434="","",IF(AND(LEN($AC434)=0,LEN($AK434)=0),"Completa",IF(LEN($AC434)=0,"Revisar: "&amp;LEFT($AK434,LEN($AK434)-2),"Falta: "&amp;LEFT($AC434,LEN($AC434)-2)&amp;IF(LEN($AK434)&gt;0,"  ·  Revisar: "&amp;LEFT($AK434,LEN($AK434)-2),""))))</f>
      </c>
      <c r="AE434">
        <f>IF(AND($D434&lt;&gt;"",OR($I434="Renuncia (hasta 30 nov)",$I434="Baja (desde 1 dic)",$I434="Renuncia excepcional (art. 25.3)",$I434="Traslado de expediente")),COUNTIF($AE$1:AE433,"&gt;0")+1,"")</f>
      </c>
      <c r="AF434">
        <f>IF($Q434="Disponible",COUNTIF($AF$1:AF433,"&gt;0")+1,"")</f>
      </c>
      <c r="AG434">
        <f>IF($O434="Sí",COUNTIF($AG$1:AG433,"&gt;0")+1,"")</f>
      </c>
      <c r="AH434">
        <f>IF(AND($Q434="Disponible",$O434&lt;&gt;"Sí"),COUNTIF($AH$1:AH433,"&gt;0")+1,"")</f>
      </c>
      <c r="AI434">
        <f>IF(AND($Q434="Disponible",$K434&lt;&gt;""),COUNTIFS($K$2:K434,K434,$Q$2:Q434,"Disponible"),"")</f>
      </c>
      <c r="AJ434">
        <f>IF(AI434&lt;&gt;"",K434&amp;"|"&amp;AI434,"")</f>
      </c>
      <c r="AK434">
        <f>IF(AND($Q434="No disponible",OR($R434="Lista de espera · propio centro",$R434="Traslado de expediente",$R434="Lista de espera · otro centro"),$O434="Sí"),"la plaza ya tiene alumno y sigue marcada como refuerzo, ","")&amp;IF(AND($R434="Reconvertida en refuerzo",$O434&lt;&gt;"Sí"),"reconvertida en refuerzo pero sin marcar «En uso como refuerzo», ","")</f>
      </c>
    </row>
    <row r="435" spans="1:37">
      <c r="A435" s="20">
        <f>IF(D435&lt;&gt;"",ROW()-1,"")</f>
      </c>
      <c r="B435" s="55"/>
      <c r="C435" s="56"/>
      <c r="D435" s="56"/>
      <c r="E435" s="56"/>
      <c r="F435" s="56"/>
      <c r="G435" s="56"/>
      <c r="H435" s="56"/>
      <c r="I435" s="56"/>
      <c r="J435" s="57"/>
      <c r="K435" s="56"/>
      <c r="L435" s="58"/>
      <c r="M435" s="58">
        <f>IF(L435="","",L435)</f>
      </c>
      <c r="N435" s="56"/>
      <c r="O435" s="56"/>
      <c r="P435" s="57"/>
      <c r="Q435" s="56"/>
      <c r="R435" s="56"/>
      <c r="S435" s="56"/>
      <c r="T435" s="56"/>
      <c r="U435" s="56"/>
      <c r="V435" s="57"/>
      <c r="W435">
        <f>IF(Q435="Disponible",COUNTIFS($D$2:D435,D435,$Q$2:Q435,"Disponible"),"")</f>
      </c>
      <c r="X435">
        <f>IF(W435&lt;&gt;"",D435&amp;"|"&amp;W435,"")</f>
      </c>
      <c r="Y435">
        <f>IF(X435&lt;&gt;"",IF(K435&lt;&gt;"",K435&amp;" ("&amp;M435&amp;")",M435),"")</f>
      </c>
      <c r="Z435">
        <f>IF(O435="Sí",COUNTIFS($D$2:D435,D435,$O$2:O435,"Sí"),"")</f>
      </c>
      <c r="AA435">
        <f>IF(Z435&lt;&gt;"",D435&amp;"|"&amp;Z435,"")</f>
      </c>
      <c r="AB435">
        <f>IF(AA435&lt;&gt;"",IF(K435&lt;&gt;"",K435&amp;" ("&amp;M435&amp;")",M435),"")</f>
      </c>
      <c r="AC435">
        <f>IF($B435="","fecha, ","")&amp;IF($C435="","quién lo introduce, ","")&amp;IF($I435="","motivo, ","")&amp;IF($K435="","docente, ","")&amp;IF($L435="","horario, ","")&amp;IF($N435="","duración, ","")&amp;IF($Q435="","estado, ","")&amp;IF(AND($I435="Otros",$J435=""),"detalle del motivo, ","")&amp;IF(AND($O435="Sí",$P435=""),"detalle del refuerzo, ","")&amp;IF(AND(OR($I435="Renuncia (hasta 30 nov)",$I435="Baja (desde 1 dic)",$I435="Renuncia excepcional (art. 25.3)",$I435="Traslado de expediente"),OR($E435="",$F435="",$G435="")),"quién deja la plaza, ","")&amp;IF(AND($Q435="No disponible",$R435=""),"vía de cobertura, ","")&amp;IF(AND(OR($R435="Lista de espera · propio centro",$R435="Traslado de expediente",$R435="Lista de espera · otro centro"),OR($S435="",$T435="",$U435="")),"quién ocupa la plaza, ","")</f>
      </c>
      <c r="AD435" s="24">
        <f>IF($D435="","",IF(AND(LEN($AC435)=0,LEN($AK435)=0),"Completa",IF(LEN($AC435)=0,"Revisar: "&amp;LEFT($AK435,LEN($AK435)-2),"Falta: "&amp;LEFT($AC435,LEN($AC435)-2)&amp;IF(LEN($AK435)&gt;0,"  ·  Revisar: "&amp;LEFT($AK435,LEN($AK435)-2),""))))</f>
      </c>
      <c r="AE435">
        <f>IF(AND($D435&lt;&gt;"",OR($I435="Renuncia (hasta 30 nov)",$I435="Baja (desde 1 dic)",$I435="Renuncia excepcional (art. 25.3)",$I435="Traslado de expediente")),COUNTIF($AE$1:AE434,"&gt;0")+1,"")</f>
      </c>
      <c r="AF435">
        <f>IF($Q435="Disponible",COUNTIF($AF$1:AF434,"&gt;0")+1,"")</f>
      </c>
      <c r="AG435">
        <f>IF($O435="Sí",COUNTIF($AG$1:AG434,"&gt;0")+1,"")</f>
      </c>
      <c r="AH435">
        <f>IF(AND($Q435="Disponible",$O435&lt;&gt;"Sí"),COUNTIF($AH$1:AH434,"&gt;0")+1,"")</f>
      </c>
      <c r="AI435">
        <f>IF(AND($Q435="Disponible",$K435&lt;&gt;""),COUNTIFS($K$2:K435,K435,$Q$2:Q435,"Disponible"),"")</f>
      </c>
      <c r="AJ435">
        <f>IF(AI435&lt;&gt;"",K435&amp;"|"&amp;AI435,"")</f>
      </c>
      <c r="AK435">
        <f>IF(AND($Q435="No disponible",OR($R435="Lista de espera · propio centro",$R435="Traslado de expediente",$R435="Lista de espera · otro centro"),$O435="Sí"),"la plaza ya tiene alumno y sigue marcada como refuerzo, ","")&amp;IF(AND($R435="Reconvertida en refuerzo",$O435&lt;&gt;"Sí"),"reconvertida en refuerzo pero sin marcar «En uso como refuerzo», ","")</f>
      </c>
    </row>
    <row r="436" spans="1:37">
      <c r="A436" s="20">
        <f>IF(D436&lt;&gt;"",ROW()-1,"")</f>
      </c>
      <c r="B436" s="55"/>
      <c r="C436" s="56"/>
      <c r="D436" s="56"/>
      <c r="E436" s="56"/>
      <c r="F436" s="56"/>
      <c r="G436" s="56"/>
      <c r="H436" s="56"/>
      <c r="I436" s="56"/>
      <c r="J436" s="57"/>
      <c r="K436" s="56"/>
      <c r="L436" s="58"/>
      <c r="M436" s="58">
        <f>IF(L436="","",L436)</f>
      </c>
      <c r="N436" s="56"/>
      <c r="O436" s="56"/>
      <c r="P436" s="57"/>
      <c r="Q436" s="56"/>
      <c r="R436" s="56"/>
      <c r="S436" s="56"/>
      <c r="T436" s="56"/>
      <c r="U436" s="56"/>
      <c r="V436" s="57"/>
      <c r="W436">
        <f>IF(Q436="Disponible",COUNTIFS($D$2:D436,D436,$Q$2:Q436,"Disponible"),"")</f>
      </c>
      <c r="X436">
        <f>IF(W436&lt;&gt;"",D436&amp;"|"&amp;W436,"")</f>
      </c>
      <c r="Y436">
        <f>IF(X436&lt;&gt;"",IF(K436&lt;&gt;"",K436&amp;" ("&amp;M436&amp;")",M436),"")</f>
      </c>
      <c r="Z436">
        <f>IF(O436="Sí",COUNTIFS($D$2:D436,D436,$O$2:O436,"Sí"),"")</f>
      </c>
      <c r="AA436">
        <f>IF(Z436&lt;&gt;"",D436&amp;"|"&amp;Z436,"")</f>
      </c>
      <c r="AB436">
        <f>IF(AA436&lt;&gt;"",IF(K436&lt;&gt;"",K436&amp;" ("&amp;M436&amp;")",M436),"")</f>
      </c>
      <c r="AC436">
        <f>IF($B436="","fecha, ","")&amp;IF($C436="","quién lo introduce, ","")&amp;IF($I436="","motivo, ","")&amp;IF($K436="","docente, ","")&amp;IF($L436="","horario, ","")&amp;IF($N436="","duración, ","")&amp;IF($Q436="","estado, ","")&amp;IF(AND($I436="Otros",$J436=""),"detalle del motivo, ","")&amp;IF(AND($O436="Sí",$P436=""),"detalle del refuerzo, ","")&amp;IF(AND(OR($I436="Renuncia (hasta 30 nov)",$I436="Baja (desde 1 dic)",$I436="Renuncia excepcional (art. 25.3)",$I436="Traslado de expediente"),OR($E436="",$F436="",$G436="")),"quién deja la plaza, ","")&amp;IF(AND($Q436="No disponible",$R436=""),"vía de cobertura, ","")&amp;IF(AND(OR($R436="Lista de espera · propio centro",$R436="Traslado de expediente",$R436="Lista de espera · otro centro"),OR($S436="",$T436="",$U436="")),"quién ocupa la plaza, ","")</f>
      </c>
      <c r="AD436" s="24">
        <f>IF($D436="","",IF(AND(LEN($AC436)=0,LEN($AK436)=0),"Completa",IF(LEN($AC436)=0,"Revisar: "&amp;LEFT($AK436,LEN($AK436)-2),"Falta: "&amp;LEFT($AC436,LEN($AC436)-2)&amp;IF(LEN($AK436)&gt;0,"  ·  Revisar: "&amp;LEFT($AK436,LEN($AK436)-2),""))))</f>
      </c>
      <c r="AE436">
        <f>IF(AND($D436&lt;&gt;"",OR($I436="Renuncia (hasta 30 nov)",$I436="Baja (desde 1 dic)",$I436="Renuncia excepcional (art. 25.3)",$I436="Traslado de expediente")),COUNTIF($AE$1:AE435,"&gt;0")+1,"")</f>
      </c>
      <c r="AF436">
        <f>IF($Q436="Disponible",COUNTIF($AF$1:AF435,"&gt;0")+1,"")</f>
      </c>
      <c r="AG436">
        <f>IF($O436="Sí",COUNTIF($AG$1:AG435,"&gt;0")+1,"")</f>
      </c>
      <c r="AH436">
        <f>IF(AND($Q436="Disponible",$O436&lt;&gt;"Sí"),COUNTIF($AH$1:AH435,"&gt;0")+1,"")</f>
      </c>
      <c r="AI436">
        <f>IF(AND($Q436="Disponible",$K436&lt;&gt;""),COUNTIFS($K$2:K436,K436,$Q$2:Q436,"Disponible"),"")</f>
      </c>
      <c r="AJ436">
        <f>IF(AI436&lt;&gt;"",K436&amp;"|"&amp;AI436,"")</f>
      </c>
      <c r="AK436">
        <f>IF(AND($Q436="No disponible",OR($R436="Lista de espera · propio centro",$R436="Traslado de expediente",$R436="Lista de espera · otro centro"),$O436="Sí"),"la plaza ya tiene alumno y sigue marcada como refuerzo, ","")&amp;IF(AND($R436="Reconvertida en refuerzo",$O436&lt;&gt;"Sí"),"reconvertida en refuerzo pero sin marcar «En uso como refuerzo», ","")</f>
      </c>
    </row>
    <row r="437" spans="1:37">
      <c r="A437" s="20">
        <f>IF(D437&lt;&gt;"",ROW()-1,"")</f>
      </c>
      <c r="B437" s="55"/>
      <c r="C437" s="56"/>
      <c r="D437" s="56"/>
      <c r="E437" s="56"/>
      <c r="F437" s="56"/>
      <c r="G437" s="56"/>
      <c r="H437" s="56"/>
      <c r="I437" s="56"/>
      <c r="J437" s="57"/>
      <c r="K437" s="56"/>
      <c r="L437" s="58"/>
      <c r="M437" s="58">
        <f>IF(L437="","",L437)</f>
      </c>
      <c r="N437" s="56"/>
      <c r="O437" s="56"/>
      <c r="P437" s="57"/>
      <c r="Q437" s="56"/>
      <c r="R437" s="56"/>
      <c r="S437" s="56"/>
      <c r="T437" s="56"/>
      <c r="U437" s="56"/>
      <c r="V437" s="57"/>
      <c r="W437">
        <f>IF(Q437="Disponible",COUNTIFS($D$2:D437,D437,$Q$2:Q437,"Disponible"),"")</f>
      </c>
      <c r="X437">
        <f>IF(W437&lt;&gt;"",D437&amp;"|"&amp;W437,"")</f>
      </c>
      <c r="Y437">
        <f>IF(X437&lt;&gt;"",IF(K437&lt;&gt;"",K437&amp;" ("&amp;M437&amp;")",M437),"")</f>
      </c>
      <c r="Z437">
        <f>IF(O437="Sí",COUNTIFS($D$2:D437,D437,$O$2:O437,"Sí"),"")</f>
      </c>
      <c r="AA437">
        <f>IF(Z437&lt;&gt;"",D437&amp;"|"&amp;Z437,"")</f>
      </c>
      <c r="AB437">
        <f>IF(AA437&lt;&gt;"",IF(K437&lt;&gt;"",K437&amp;" ("&amp;M437&amp;")",M437),"")</f>
      </c>
      <c r="AC437">
        <f>IF($B437="","fecha, ","")&amp;IF($C437="","quién lo introduce, ","")&amp;IF($I437="","motivo, ","")&amp;IF($K437="","docente, ","")&amp;IF($L437="","horario, ","")&amp;IF($N437="","duración, ","")&amp;IF($Q437="","estado, ","")&amp;IF(AND($I437="Otros",$J437=""),"detalle del motivo, ","")&amp;IF(AND($O437="Sí",$P437=""),"detalle del refuerzo, ","")&amp;IF(AND(OR($I437="Renuncia (hasta 30 nov)",$I437="Baja (desde 1 dic)",$I437="Renuncia excepcional (art. 25.3)",$I437="Traslado de expediente"),OR($E437="",$F437="",$G437="")),"quién deja la plaza, ","")&amp;IF(AND($Q437="No disponible",$R437=""),"vía de cobertura, ","")&amp;IF(AND(OR($R437="Lista de espera · propio centro",$R437="Traslado de expediente",$R437="Lista de espera · otro centro"),OR($S437="",$T437="",$U437="")),"quién ocupa la plaza, ","")</f>
      </c>
      <c r="AD437" s="24">
        <f>IF($D437="","",IF(AND(LEN($AC437)=0,LEN($AK437)=0),"Completa",IF(LEN($AC437)=0,"Revisar: "&amp;LEFT($AK437,LEN($AK437)-2),"Falta: "&amp;LEFT($AC437,LEN($AC437)-2)&amp;IF(LEN($AK437)&gt;0,"  ·  Revisar: "&amp;LEFT($AK437,LEN($AK437)-2),""))))</f>
      </c>
      <c r="AE437">
        <f>IF(AND($D437&lt;&gt;"",OR($I437="Renuncia (hasta 30 nov)",$I437="Baja (desde 1 dic)",$I437="Renuncia excepcional (art. 25.3)",$I437="Traslado de expediente")),COUNTIF($AE$1:AE436,"&gt;0")+1,"")</f>
      </c>
      <c r="AF437">
        <f>IF($Q437="Disponible",COUNTIF($AF$1:AF436,"&gt;0")+1,"")</f>
      </c>
      <c r="AG437">
        <f>IF($O437="Sí",COUNTIF($AG$1:AG436,"&gt;0")+1,"")</f>
      </c>
      <c r="AH437">
        <f>IF(AND($Q437="Disponible",$O437&lt;&gt;"Sí"),COUNTIF($AH$1:AH436,"&gt;0")+1,"")</f>
      </c>
      <c r="AI437">
        <f>IF(AND($Q437="Disponible",$K437&lt;&gt;""),COUNTIFS($K$2:K437,K437,$Q$2:Q437,"Disponible"),"")</f>
      </c>
      <c r="AJ437">
        <f>IF(AI437&lt;&gt;"",K437&amp;"|"&amp;AI437,"")</f>
      </c>
      <c r="AK437">
        <f>IF(AND($Q437="No disponible",OR($R437="Lista de espera · propio centro",$R437="Traslado de expediente",$R437="Lista de espera · otro centro"),$O437="Sí"),"la plaza ya tiene alumno y sigue marcada como refuerzo, ","")&amp;IF(AND($R437="Reconvertida en refuerzo",$O437&lt;&gt;"Sí"),"reconvertida en refuerzo pero sin marcar «En uso como refuerzo», ","")</f>
      </c>
    </row>
    <row r="438" spans="1:37">
      <c r="A438" s="20">
        <f>IF(D438&lt;&gt;"",ROW()-1,"")</f>
      </c>
      <c r="B438" s="55"/>
      <c r="C438" s="56"/>
      <c r="D438" s="56"/>
      <c r="E438" s="56"/>
      <c r="F438" s="56"/>
      <c r="G438" s="56"/>
      <c r="H438" s="56"/>
      <c r="I438" s="56"/>
      <c r="J438" s="57"/>
      <c r="K438" s="56"/>
      <c r="L438" s="58"/>
      <c r="M438" s="58">
        <f>IF(L438="","",L438)</f>
      </c>
      <c r="N438" s="56"/>
      <c r="O438" s="56"/>
      <c r="P438" s="57"/>
      <c r="Q438" s="56"/>
      <c r="R438" s="56"/>
      <c r="S438" s="56"/>
      <c r="T438" s="56"/>
      <c r="U438" s="56"/>
      <c r="V438" s="57"/>
      <c r="W438">
        <f>IF(Q438="Disponible",COUNTIFS($D$2:D438,D438,$Q$2:Q438,"Disponible"),"")</f>
      </c>
      <c r="X438">
        <f>IF(W438&lt;&gt;"",D438&amp;"|"&amp;W438,"")</f>
      </c>
      <c r="Y438">
        <f>IF(X438&lt;&gt;"",IF(K438&lt;&gt;"",K438&amp;" ("&amp;M438&amp;")",M438),"")</f>
      </c>
      <c r="Z438">
        <f>IF(O438="Sí",COUNTIFS($D$2:D438,D438,$O$2:O438,"Sí"),"")</f>
      </c>
      <c r="AA438">
        <f>IF(Z438&lt;&gt;"",D438&amp;"|"&amp;Z438,"")</f>
      </c>
      <c r="AB438">
        <f>IF(AA438&lt;&gt;"",IF(K438&lt;&gt;"",K438&amp;" ("&amp;M438&amp;")",M438),"")</f>
      </c>
      <c r="AC438">
        <f>IF($B438="","fecha, ","")&amp;IF($C438="","quién lo introduce, ","")&amp;IF($I438="","motivo, ","")&amp;IF($K438="","docente, ","")&amp;IF($L438="","horario, ","")&amp;IF($N438="","duración, ","")&amp;IF($Q438="","estado, ","")&amp;IF(AND($I438="Otros",$J438=""),"detalle del motivo, ","")&amp;IF(AND($O438="Sí",$P438=""),"detalle del refuerzo, ","")&amp;IF(AND(OR($I438="Renuncia (hasta 30 nov)",$I438="Baja (desde 1 dic)",$I438="Renuncia excepcional (art. 25.3)",$I438="Traslado de expediente"),OR($E438="",$F438="",$G438="")),"quién deja la plaza, ","")&amp;IF(AND($Q438="No disponible",$R438=""),"vía de cobertura, ","")&amp;IF(AND(OR($R438="Lista de espera · propio centro",$R438="Traslado de expediente",$R438="Lista de espera · otro centro"),OR($S438="",$T438="",$U438="")),"quién ocupa la plaza, ","")</f>
      </c>
      <c r="AD438" s="24">
        <f>IF($D438="","",IF(AND(LEN($AC438)=0,LEN($AK438)=0),"Completa",IF(LEN($AC438)=0,"Revisar: "&amp;LEFT($AK438,LEN($AK438)-2),"Falta: "&amp;LEFT($AC438,LEN($AC438)-2)&amp;IF(LEN($AK438)&gt;0,"  ·  Revisar: "&amp;LEFT($AK438,LEN($AK438)-2),""))))</f>
      </c>
      <c r="AE438">
        <f>IF(AND($D438&lt;&gt;"",OR($I438="Renuncia (hasta 30 nov)",$I438="Baja (desde 1 dic)",$I438="Renuncia excepcional (art. 25.3)",$I438="Traslado de expediente")),COUNTIF($AE$1:AE437,"&gt;0")+1,"")</f>
      </c>
      <c r="AF438">
        <f>IF($Q438="Disponible",COUNTIF($AF$1:AF437,"&gt;0")+1,"")</f>
      </c>
      <c r="AG438">
        <f>IF($O438="Sí",COUNTIF($AG$1:AG437,"&gt;0")+1,"")</f>
      </c>
      <c r="AH438">
        <f>IF(AND($Q438="Disponible",$O438&lt;&gt;"Sí"),COUNTIF($AH$1:AH437,"&gt;0")+1,"")</f>
      </c>
      <c r="AI438">
        <f>IF(AND($Q438="Disponible",$K438&lt;&gt;""),COUNTIFS($K$2:K438,K438,$Q$2:Q438,"Disponible"),"")</f>
      </c>
      <c r="AJ438">
        <f>IF(AI438&lt;&gt;"",K438&amp;"|"&amp;AI438,"")</f>
      </c>
      <c r="AK438">
        <f>IF(AND($Q438="No disponible",OR($R438="Lista de espera · propio centro",$R438="Traslado de expediente",$R438="Lista de espera · otro centro"),$O438="Sí"),"la plaza ya tiene alumno y sigue marcada como refuerzo, ","")&amp;IF(AND($R438="Reconvertida en refuerzo",$O438&lt;&gt;"Sí"),"reconvertida en refuerzo pero sin marcar «En uso como refuerzo», ","")</f>
      </c>
    </row>
    <row r="439" spans="1:37">
      <c r="A439" s="20">
        <f>IF(D439&lt;&gt;"",ROW()-1,"")</f>
      </c>
      <c r="B439" s="55"/>
      <c r="C439" s="56"/>
      <c r="D439" s="56"/>
      <c r="E439" s="56"/>
      <c r="F439" s="56"/>
      <c r="G439" s="56"/>
      <c r="H439" s="56"/>
      <c r="I439" s="56"/>
      <c r="J439" s="57"/>
      <c r="K439" s="56"/>
      <c r="L439" s="58"/>
      <c r="M439" s="58">
        <f>IF(L439="","",L439)</f>
      </c>
      <c r="N439" s="56"/>
      <c r="O439" s="56"/>
      <c r="P439" s="57"/>
      <c r="Q439" s="56"/>
      <c r="R439" s="56"/>
      <c r="S439" s="56"/>
      <c r="T439" s="56"/>
      <c r="U439" s="56"/>
      <c r="V439" s="57"/>
      <c r="W439">
        <f>IF(Q439="Disponible",COUNTIFS($D$2:D439,D439,$Q$2:Q439,"Disponible"),"")</f>
      </c>
      <c r="X439">
        <f>IF(W439&lt;&gt;"",D439&amp;"|"&amp;W439,"")</f>
      </c>
      <c r="Y439">
        <f>IF(X439&lt;&gt;"",IF(K439&lt;&gt;"",K439&amp;" ("&amp;M439&amp;")",M439),"")</f>
      </c>
      <c r="Z439">
        <f>IF(O439="Sí",COUNTIFS($D$2:D439,D439,$O$2:O439,"Sí"),"")</f>
      </c>
      <c r="AA439">
        <f>IF(Z439&lt;&gt;"",D439&amp;"|"&amp;Z439,"")</f>
      </c>
      <c r="AB439">
        <f>IF(AA439&lt;&gt;"",IF(K439&lt;&gt;"",K439&amp;" ("&amp;M439&amp;")",M439),"")</f>
      </c>
      <c r="AC439">
        <f>IF($B439="","fecha, ","")&amp;IF($C439="","quién lo introduce, ","")&amp;IF($I439="","motivo, ","")&amp;IF($K439="","docente, ","")&amp;IF($L439="","horario, ","")&amp;IF($N439="","duración, ","")&amp;IF($Q439="","estado, ","")&amp;IF(AND($I439="Otros",$J439=""),"detalle del motivo, ","")&amp;IF(AND($O439="Sí",$P439=""),"detalle del refuerzo, ","")&amp;IF(AND(OR($I439="Renuncia (hasta 30 nov)",$I439="Baja (desde 1 dic)",$I439="Renuncia excepcional (art. 25.3)",$I439="Traslado de expediente"),OR($E439="",$F439="",$G439="")),"quién deja la plaza, ","")&amp;IF(AND($Q439="No disponible",$R439=""),"vía de cobertura, ","")&amp;IF(AND(OR($R439="Lista de espera · propio centro",$R439="Traslado de expediente",$R439="Lista de espera · otro centro"),OR($S439="",$T439="",$U439="")),"quién ocupa la plaza, ","")</f>
      </c>
      <c r="AD439" s="24">
        <f>IF($D439="","",IF(AND(LEN($AC439)=0,LEN($AK439)=0),"Completa",IF(LEN($AC439)=0,"Revisar: "&amp;LEFT($AK439,LEN($AK439)-2),"Falta: "&amp;LEFT($AC439,LEN($AC439)-2)&amp;IF(LEN($AK439)&gt;0,"  ·  Revisar: "&amp;LEFT($AK439,LEN($AK439)-2),""))))</f>
      </c>
      <c r="AE439">
        <f>IF(AND($D439&lt;&gt;"",OR($I439="Renuncia (hasta 30 nov)",$I439="Baja (desde 1 dic)",$I439="Renuncia excepcional (art. 25.3)",$I439="Traslado de expediente")),COUNTIF($AE$1:AE438,"&gt;0")+1,"")</f>
      </c>
      <c r="AF439">
        <f>IF($Q439="Disponible",COUNTIF($AF$1:AF438,"&gt;0")+1,"")</f>
      </c>
      <c r="AG439">
        <f>IF($O439="Sí",COUNTIF($AG$1:AG438,"&gt;0")+1,"")</f>
      </c>
      <c r="AH439">
        <f>IF(AND($Q439="Disponible",$O439&lt;&gt;"Sí"),COUNTIF($AH$1:AH438,"&gt;0")+1,"")</f>
      </c>
      <c r="AI439">
        <f>IF(AND($Q439="Disponible",$K439&lt;&gt;""),COUNTIFS($K$2:K439,K439,$Q$2:Q439,"Disponible"),"")</f>
      </c>
      <c r="AJ439">
        <f>IF(AI439&lt;&gt;"",K439&amp;"|"&amp;AI439,"")</f>
      </c>
      <c r="AK439">
        <f>IF(AND($Q439="No disponible",OR($R439="Lista de espera · propio centro",$R439="Traslado de expediente",$R439="Lista de espera · otro centro"),$O439="Sí"),"la plaza ya tiene alumno y sigue marcada como refuerzo, ","")&amp;IF(AND($R439="Reconvertida en refuerzo",$O439&lt;&gt;"Sí"),"reconvertida en refuerzo pero sin marcar «En uso como refuerzo», ","")</f>
      </c>
    </row>
    <row r="440" spans="1:37">
      <c r="A440" s="20">
        <f>IF(D440&lt;&gt;"",ROW()-1,"")</f>
      </c>
      <c r="B440" s="55"/>
      <c r="C440" s="56"/>
      <c r="D440" s="56"/>
      <c r="E440" s="56"/>
      <c r="F440" s="56"/>
      <c r="G440" s="56"/>
      <c r="H440" s="56"/>
      <c r="I440" s="56"/>
      <c r="J440" s="57"/>
      <c r="K440" s="56"/>
      <c r="L440" s="58"/>
      <c r="M440" s="58">
        <f>IF(L440="","",L440)</f>
      </c>
      <c r="N440" s="56"/>
      <c r="O440" s="56"/>
      <c r="P440" s="57"/>
      <c r="Q440" s="56"/>
      <c r="R440" s="56"/>
      <c r="S440" s="56"/>
      <c r="T440" s="56"/>
      <c r="U440" s="56"/>
      <c r="V440" s="57"/>
      <c r="W440">
        <f>IF(Q440="Disponible",COUNTIFS($D$2:D440,D440,$Q$2:Q440,"Disponible"),"")</f>
      </c>
      <c r="X440">
        <f>IF(W440&lt;&gt;"",D440&amp;"|"&amp;W440,"")</f>
      </c>
      <c r="Y440">
        <f>IF(X440&lt;&gt;"",IF(K440&lt;&gt;"",K440&amp;" ("&amp;M440&amp;")",M440),"")</f>
      </c>
      <c r="Z440">
        <f>IF(O440="Sí",COUNTIFS($D$2:D440,D440,$O$2:O440,"Sí"),"")</f>
      </c>
      <c r="AA440">
        <f>IF(Z440&lt;&gt;"",D440&amp;"|"&amp;Z440,"")</f>
      </c>
      <c r="AB440">
        <f>IF(AA440&lt;&gt;"",IF(K440&lt;&gt;"",K440&amp;" ("&amp;M440&amp;")",M440),"")</f>
      </c>
      <c r="AC440">
        <f>IF($B440="","fecha, ","")&amp;IF($C440="","quién lo introduce, ","")&amp;IF($I440="","motivo, ","")&amp;IF($K440="","docente, ","")&amp;IF($L440="","horario, ","")&amp;IF($N440="","duración, ","")&amp;IF($Q440="","estado, ","")&amp;IF(AND($I440="Otros",$J440=""),"detalle del motivo, ","")&amp;IF(AND($O440="Sí",$P440=""),"detalle del refuerzo, ","")&amp;IF(AND(OR($I440="Renuncia (hasta 30 nov)",$I440="Baja (desde 1 dic)",$I440="Renuncia excepcional (art. 25.3)",$I440="Traslado de expediente"),OR($E440="",$F440="",$G440="")),"quién deja la plaza, ","")&amp;IF(AND($Q440="No disponible",$R440=""),"vía de cobertura, ","")&amp;IF(AND(OR($R440="Lista de espera · propio centro",$R440="Traslado de expediente",$R440="Lista de espera · otro centro"),OR($S440="",$T440="",$U440="")),"quién ocupa la plaza, ","")</f>
      </c>
      <c r="AD440" s="24">
        <f>IF($D440="","",IF(AND(LEN($AC440)=0,LEN($AK440)=0),"Completa",IF(LEN($AC440)=0,"Revisar: "&amp;LEFT($AK440,LEN($AK440)-2),"Falta: "&amp;LEFT($AC440,LEN($AC440)-2)&amp;IF(LEN($AK440)&gt;0,"  ·  Revisar: "&amp;LEFT($AK440,LEN($AK440)-2),""))))</f>
      </c>
      <c r="AE440">
        <f>IF(AND($D440&lt;&gt;"",OR($I440="Renuncia (hasta 30 nov)",$I440="Baja (desde 1 dic)",$I440="Renuncia excepcional (art. 25.3)",$I440="Traslado de expediente")),COUNTIF($AE$1:AE439,"&gt;0")+1,"")</f>
      </c>
      <c r="AF440">
        <f>IF($Q440="Disponible",COUNTIF($AF$1:AF439,"&gt;0")+1,"")</f>
      </c>
      <c r="AG440">
        <f>IF($O440="Sí",COUNTIF($AG$1:AG439,"&gt;0")+1,"")</f>
      </c>
      <c r="AH440">
        <f>IF(AND($Q440="Disponible",$O440&lt;&gt;"Sí"),COUNTIF($AH$1:AH439,"&gt;0")+1,"")</f>
      </c>
      <c r="AI440">
        <f>IF(AND($Q440="Disponible",$K440&lt;&gt;""),COUNTIFS($K$2:K440,K440,$Q$2:Q440,"Disponible"),"")</f>
      </c>
      <c r="AJ440">
        <f>IF(AI440&lt;&gt;"",K440&amp;"|"&amp;AI440,"")</f>
      </c>
      <c r="AK440">
        <f>IF(AND($Q440="No disponible",OR($R440="Lista de espera · propio centro",$R440="Traslado de expediente",$R440="Lista de espera · otro centro"),$O440="Sí"),"la plaza ya tiene alumno y sigue marcada como refuerzo, ","")&amp;IF(AND($R440="Reconvertida en refuerzo",$O440&lt;&gt;"Sí"),"reconvertida en refuerzo pero sin marcar «En uso como refuerzo», ","")</f>
      </c>
    </row>
    <row r="441" spans="1:37">
      <c r="A441" s="20">
        <f>IF(D441&lt;&gt;"",ROW()-1,"")</f>
      </c>
      <c r="B441" s="55"/>
      <c r="C441" s="56"/>
      <c r="D441" s="56"/>
      <c r="E441" s="56"/>
      <c r="F441" s="56"/>
      <c r="G441" s="56"/>
      <c r="H441" s="56"/>
      <c r="I441" s="56"/>
      <c r="J441" s="57"/>
      <c r="K441" s="56"/>
      <c r="L441" s="58"/>
      <c r="M441" s="58">
        <f>IF(L441="","",L441)</f>
      </c>
      <c r="N441" s="56"/>
      <c r="O441" s="56"/>
      <c r="P441" s="57"/>
      <c r="Q441" s="56"/>
      <c r="R441" s="56"/>
      <c r="S441" s="56"/>
      <c r="T441" s="56"/>
      <c r="U441" s="56"/>
      <c r="V441" s="57"/>
      <c r="W441">
        <f>IF(Q441="Disponible",COUNTIFS($D$2:D441,D441,$Q$2:Q441,"Disponible"),"")</f>
      </c>
      <c r="X441">
        <f>IF(W441&lt;&gt;"",D441&amp;"|"&amp;W441,"")</f>
      </c>
      <c r="Y441">
        <f>IF(X441&lt;&gt;"",IF(K441&lt;&gt;"",K441&amp;" ("&amp;M441&amp;")",M441),"")</f>
      </c>
      <c r="Z441">
        <f>IF(O441="Sí",COUNTIFS($D$2:D441,D441,$O$2:O441,"Sí"),"")</f>
      </c>
      <c r="AA441">
        <f>IF(Z441&lt;&gt;"",D441&amp;"|"&amp;Z441,"")</f>
      </c>
      <c r="AB441">
        <f>IF(AA441&lt;&gt;"",IF(K441&lt;&gt;"",K441&amp;" ("&amp;M441&amp;")",M441),"")</f>
      </c>
      <c r="AC441">
        <f>IF($B441="","fecha, ","")&amp;IF($C441="","quién lo introduce, ","")&amp;IF($I441="","motivo, ","")&amp;IF($K441="","docente, ","")&amp;IF($L441="","horario, ","")&amp;IF($N441="","duración, ","")&amp;IF($Q441="","estado, ","")&amp;IF(AND($I441="Otros",$J441=""),"detalle del motivo, ","")&amp;IF(AND($O441="Sí",$P441=""),"detalle del refuerzo, ","")&amp;IF(AND(OR($I441="Renuncia (hasta 30 nov)",$I441="Baja (desde 1 dic)",$I441="Renuncia excepcional (art. 25.3)",$I441="Traslado de expediente"),OR($E441="",$F441="",$G441="")),"quién deja la plaza, ","")&amp;IF(AND($Q441="No disponible",$R441=""),"vía de cobertura, ","")&amp;IF(AND(OR($R441="Lista de espera · propio centro",$R441="Traslado de expediente",$R441="Lista de espera · otro centro"),OR($S441="",$T441="",$U441="")),"quién ocupa la plaza, ","")</f>
      </c>
      <c r="AD441" s="24">
        <f>IF($D441="","",IF(AND(LEN($AC441)=0,LEN($AK441)=0),"Completa",IF(LEN($AC441)=0,"Revisar: "&amp;LEFT($AK441,LEN($AK441)-2),"Falta: "&amp;LEFT($AC441,LEN($AC441)-2)&amp;IF(LEN($AK441)&gt;0,"  ·  Revisar: "&amp;LEFT($AK441,LEN($AK441)-2),""))))</f>
      </c>
      <c r="AE441">
        <f>IF(AND($D441&lt;&gt;"",OR($I441="Renuncia (hasta 30 nov)",$I441="Baja (desde 1 dic)",$I441="Renuncia excepcional (art. 25.3)",$I441="Traslado de expediente")),COUNTIF($AE$1:AE440,"&gt;0")+1,"")</f>
      </c>
      <c r="AF441">
        <f>IF($Q441="Disponible",COUNTIF($AF$1:AF440,"&gt;0")+1,"")</f>
      </c>
      <c r="AG441">
        <f>IF($O441="Sí",COUNTIF($AG$1:AG440,"&gt;0")+1,"")</f>
      </c>
      <c r="AH441">
        <f>IF(AND($Q441="Disponible",$O441&lt;&gt;"Sí"),COUNTIF($AH$1:AH440,"&gt;0")+1,"")</f>
      </c>
      <c r="AI441">
        <f>IF(AND($Q441="Disponible",$K441&lt;&gt;""),COUNTIFS($K$2:K441,K441,$Q$2:Q441,"Disponible"),"")</f>
      </c>
      <c r="AJ441">
        <f>IF(AI441&lt;&gt;"",K441&amp;"|"&amp;AI441,"")</f>
      </c>
      <c r="AK441">
        <f>IF(AND($Q441="No disponible",OR($R441="Lista de espera · propio centro",$R441="Traslado de expediente",$R441="Lista de espera · otro centro"),$O441="Sí"),"la plaza ya tiene alumno y sigue marcada como refuerzo, ","")&amp;IF(AND($R441="Reconvertida en refuerzo",$O441&lt;&gt;"Sí"),"reconvertida en refuerzo pero sin marcar «En uso como refuerzo», ","")</f>
      </c>
    </row>
    <row r="442" spans="1:37">
      <c r="A442" s="20">
        <f>IF(D442&lt;&gt;"",ROW()-1,"")</f>
      </c>
      <c r="B442" s="55"/>
      <c r="C442" s="56"/>
      <c r="D442" s="56"/>
      <c r="E442" s="56"/>
      <c r="F442" s="56"/>
      <c r="G442" s="56"/>
      <c r="H442" s="56"/>
      <c r="I442" s="56"/>
      <c r="J442" s="57"/>
      <c r="K442" s="56"/>
      <c r="L442" s="58"/>
      <c r="M442" s="58">
        <f>IF(L442="","",L442)</f>
      </c>
      <c r="N442" s="56"/>
      <c r="O442" s="56"/>
      <c r="P442" s="57"/>
      <c r="Q442" s="56"/>
      <c r="R442" s="56"/>
      <c r="S442" s="56"/>
      <c r="T442" s="56"/>
      <c r="U442" s="56"/>
      <c r="V442" s="57"/>
      <c r="W442">
        <f>IF(Q442="Disponible",COUNTIFS($D$2:D442,D442,$Q$2:Q442,"Disponible"),"")</f>
      </c>
      <c r="X442">
        <f>IF(W442&lt;&gt;"",D442&amp;"|"&amp;W442,"")</f>
      </c>
      <c r="Y442">
        <f>IF(X442&lt;&gt;"",IF(K442&lt;&gt;"",K442&amp;" ("&amp;M442&amp;")",M442),"")</f>
      </c>
      <c r="Z442">
        <f>IF(O442="Sí",COUNTIFS($D$2:D442,D442,$O$2:O442,"Sí"),"")</f>
      </c>
      <c r="AA442">
        <f>IF(Z442&lt;&gt;"",D442&amp;"|"&amp;Z442,"")</f>
      </c>
      <c r="AB442">
        <f>IF(AA442&lt;&gt;"",IF(K442&lt;&gt;"",K442&amp;" ("&amp;M442&amp;")",M442),"")</f>
      </c>
      <c r="AC442">
        <f>IF($B442="","fecha, ","")&amp;IF($C442="","quién lo introduce, ","")&amp;IF($I442="","motivo, ","")&amp;IF($K442="","docente, ","")&amp;IF($L442="","horario, ","")&amp;IF($N442="","duración, ","")&amp;IF($Q442="","estado, ","")&amp;IF(AND($I442="Otros",$J442=""),"detalle del motivo, ","")&amp;IF(AND($O442="Sí",$P442=""),"detalle del refuerzo, ","")&amp;IF(AND(OR($I442="Renuncia (hasta 30 nov)",$I442="Baja (desde 1 dic)",$I442="Renuncia excepcional (art. 25.3)",$I442="Traslado de expediente"),OR($E442="",$F442="",$G442="")),"quién deja la plaza, ","")&amp;IF(AND($Q442="No disponible",$R442=""),"vía de cobertura, ","")&amp;IF(AND(OR($R442="Lista de espera · propio centro",$R442="Traslado de expediente",$R442="Lista de espera · otro centro"),OR($S442="",$T442="",$U442="")),"quién ocupa la plaza, ","")</f>
      </c>
      <c r="AD442" s="24">
        <f>IF($D442="","",IF(AND(LEN($AC442)=0,LEN($AK442)=0),"Completa",IF(LEN($AC442)=0,"Revisar: "&amp;LEFT($AK442,LEN($AK442)-2),"Falta: "&amp;LEFT($AC442,LEN($AC442)-2)&amp;IF(LEN($AK442)&gt;0,"  ·  Revisar: "&amp;LEFT($AK442,LEN($AK442)-2),""))))</f>
      </c>
      <c r="AE442">
        <f>IF(AND($D442&lt;&gt;"",OR($I442="Renuncia (hasta 30 nov)",$I442="Baja (desde 1 dic)",$I442="Renuncia excepcional (art. 25.3)",$I442="Traslado de expediente")),COUNTIF($AE$1:AE441,"&gt;0")+1,"")</f>
      </c>
      <c r="AF442">
        <f>IF($Q442="Disponible",COUNTIF($AF$1:AF441,"&gt;0")+1,"")</f>
      </c>
      <c r="AG442">
        <f>IF($O442="Sí",COUNTIF($AG$1:AG441,"&gt;0")+1,"")</f>
      </c>
      <c r="AH442">
        <f>IF(AND($Q442="Disponible",$O442&lt;&gt;"Sí"),COUNTIF($AH$1:AH441,"&gt;0")+1,"")</f>
      </c>
      <c r="AI442">
        <f>IF(AND($Q442="Disponible",$K442&lt;&gt;""),COUNTIFS($K$2:K442,K442,$Q$2:Q442,"Disponible"),"")</f>
      </c>
      <c r="AJ442">
        <f>IF(AI442&lt;&gt;"",K442&amp;"|"&amp;AI442,"")</f>
      </c>
      <c r="AK442">
        <f>IF(AND($Q442="No disponible",OR($R442="Lista de espera · propio centro",$R442="Traslado de expediente",$R442="Lista de espera · otro centro"),$O442="Sí"),"la plaza ya tiene alumno y sigue marcada como refuerzo, ","")&amp;IF(AND($R442="Reconvertida en refuerzo",$O442&lt;&gt;"Sí"),"reconvertida en refuerzo pero sin marcar «En uso como refuerzo», ","")</f>
      </c>
    </row>
    <row r="443" spans="1:37">
      <c r="A443" s="20">
        <f>IF(D443&lt;&gt;"",ROW()-1,"")</f>
      </c>
      <c r="B443" s="55"/>
      <c r="C443" s="56"/>
      <c r="D443" s="56"/>
      <c r="E443" s="56"/>
      <c r="F443" s="56"/>
      <c r="G443" s="56"/>
      <c r="H443" s="56"/>
      <c r="I443" s="56"/>
      <c r="J443" s="57"/>
      <c r="K443" s="56"/>
      <c r="L443" s="58"/>
      <c r="M443" s="58">
        <f>IF(L443="","",L443)</f>
      </c>
      <c r="N443" s="56"/>
      <c r="O443" s="56"/>
      <c r="P443" s="57"/>
      <c r="Q443" s="56"/>
      <c r="R443" s="56"/>
      <c r="S443" s="56"/>
      <c r="T443" s="56"/>
      <c r="U443" s="56"/>
      <c r="V443" s="57"/>
      <c r="W443">
        <f>IF(Q443="Disponible",COUNTIFS($D$2:D443,D443,$Q$2:Q443,"Disponible"),"")</f>
      </c>
      <c r="X443">
        <f>IF(W443&lt;&gt;"",D443&amp;"|"&amp;W443,"")</f>
      </c>
      <c r="Y443">
        <f>IF(X443&lt;&gt;"",IF(K443&lt;&gt;"",K443&amp;" ("&amp;M443&amp;")",M443),"")</f>
      </c>
      <c r="Z443">
        <f>IF(O443="Sí",COUNTIFS($D$2:D443,D443,$O$2:O443,"Sí"),"")</f>
      </c>
      <c r="AA443">
        <f>IF(Z443&lt;&gt;"",D443&amp;"|"&amp;Z443,"")</f>
      </c>
      <c r="AB443">
        <f>IF(AA443&lt;&gt;"",IF(K443&lt;&gt;"",K443&amp;" ("&amp;M443&amp;")",M443),"")</f>
      </c>
      <c r="AC443">
        <f>IF($B443="","fecha, ","")&amp;IF($C443="","quién lo introduce, ","")&amp;IF($I443="","motivo, ","")&amp;IF($K443="","docente, ","")&amp;IF($L443="","horario, ","")&amp;IF($N443="","duración, ","")&amp;IF($Q443="","estado, ","")&amp;IF(AND($I443="Otros",$J443=""),"detalle del motivo, ","")&amp;IF(AND($O443="Sí",$P443=""),"detalle del refuerzo, ","")&amp;IF(AND(OR($I443="Renuncia (hasta 30 nov)",$I443="Baja (desde 1 dic)",$I443="Renuncia excepcional (art. 25.3)",$I443="Traslado de expediente"),OR($E443="",$F443="",$G443="")),"quién deja la plaza, ","")&amp;IF(AND($Q443="No disponible",$R443=""),"vía de cobertura, ","")&amp;IF(AND(OR($R443="Lista de espera · propio centro",$R443="Traslado de expediente",$R443="Lista de espera · otro centro"),OR($S443="",$T443="",$U443="")),"quién ocupa la plaza, ","")</f>
      </c>
      <c r="AD443" s="24">
        <f>IF($D443="","",IF(AND(LEN($AC443)=0,LEN($AK443)=0),"Completa",IF(LEN($AC443)=0,"Revisar: "&amp;LEFT($AK443,LEN($AK443)-2),"Falta: "&amp;LEFT($AC443,LEN($AC443)-2)&amp;IF(LEN($AK443)&gt;0,"  ·  Revisar: "&amp;LEFT($AK443,LEN($AK443)-2),""))))</f>
      </c>
      <c r="AE443">
        <f>IF(AND($D443&lt;&gt;"",OR($I443="Renuncia (hasta 30 nov)",$I443="Baja (desde 1 dic)",$I443="Renuncia excepcional (art. 25.3)",$I443="Traslado de expediente")),COUNTIF($AE$1:AE442,"&gt;0")+1,"")</f>
      </c>
      <c r="AF443">
        <f>IF($Q443="Disponible",COUNTIF($AF$1:AF442,"&gt;0")+1,"")</f>
      </c>
      <c r="AG443">
        <f>IF($O443="Sí",COUNTIF($AG$1:AG442,"&gt;0")+1,"")</f>
      </c>
      <c r="AH443">
        <f>IF(AND($Q443="Disponible",$O443&lt;&gt;"Sí"),COUNTIF($AH$1:AH442,"&gt;0")+1,"")</f>
      </c>
      <c r="AI443">
        <f>IF(AND($Q443="Disponible",$K443&lt;&gt;""),COUNTIFS($K$2:K443,K443,$Q$2:Q443,"Disponible"),"")</f>
      </c>
      <c r="AJ443">
        <f>IF(AI443&lt;&gt;"",K443&amp;"|"&amp;AI443,"")</f>
      </c>
      <c r="AK443">
        <f>IF(AND($Q443="No disponible",OR($R443="Lista de espera · propio centro",$R443="Traslado de expediente",$R443="Lista de espera · otro centro"),$O443="Sí"),"la plaza ya tiene alumno y sigue marcada como refuerzo, ","")&amp;IF(AND($R443="Reconvertida en refuerzo",$O443&lt;&gt;"Sí"),"reconvertida en refuerzo pero sin marcar «En uso como refuerzo», ","")</f>
      </c>
    </row>
    <row r="444" spans="1:37">
      <c r="A444" s="20">
        <f>IF(D444&lt;&gt;"",ROW()-1,"")</f>
      </c>
      <c r="B444" s="55"/>
      <c r="C444" s="56"/>
      <c r="D444" s="56"/>
      <c r="E444" s="56"/>
      <c r="F444" s="56"/>
      <c r="G444" s="56"/>
      <c r="H444" s="56"/>
      <c r="I444" s="56"/>
      <c r="J444" s="57"/>
      <c r="K444" s="56"/>
      <c r="L444" s="58"/>
      <c r="M444" s="58">
        <f>IF(L444="","",L444)</f>
      </c>
      <c r="N444" s="56"/>
      <c r="O444" s="56"/>
      <c r="P444" s="57"/>
      <c r="Q444" s="56"/>
      <c r="R444" s="56"/>
      <c r="S444" s="56"/>
      <c r="T444" s="56"/>
      <c r="U444" s="56"/>
      <c r="V444" s="57"/>
      <c r="W444">
        <f>IF(Q444="Disponible",COUNTIFS($D$2:D444,D444,$Q$2:Q444,"Disponible"),"")</f>
      </c>
      <c r="X444">
        <f>IF(W444&lt;&gt;"",D444&amp;"|"&amp;W444,"")</f>
      </c>
      <c r="Y444">
        <f>IF(X444&lt;&gt;"",IF(K444&lt;&gt;"",K444&amp;" ("&amp;M444&amp;")",M444),"")</f>
      </c>
      <c r="Z444">
        <f>IF(O444="Sí",COUNTIFS($D$2:D444,D444,$O$2:O444,"Sí"),"")</f>
      </c>
      <c r="AA444">
        <f>IF(Z444&lt;&gt;"",D444&amp;"|"&amp;Z444,"")</f>
      </c>
      <c r="AB444">
        <f>IF(AA444&lt;&gt;"",IF(K444&lt;&gt;"",K444&amp;" ("&amp;M444&amp;")",M444),"")</f>
      </c>
      <c r="AC444">
        <f>IF($B444="","fecha, ","")&amp;IF($C444="","quién lo introduce, ","")&amp;IF($I444="","motivo, ","")&amp;IF($K444="","docente, ","")&amp;IF($L444="","horario, ","")&amp;IF($N444="","duración, ","")&amp;IF($Q444="","estado, ","")&amp;IF(AND($I444="Otros",$J444=""),"detalle del motivo, ","")&amp;IF(AND($O444="Sí",$P444=""),"detalle del refuerzo, ","")&amp;IF(AND(OR($I444="Renuncia (hasta 30 nov)",$I444="Baja (desde 1 dic)",$I444="Renuncia excepcional (art. 25.3)",$I444="Traslado de expediente"),OR($E444="",$F444="",$G444="")),"quién deja la plaza, ","")&amp;IF(AND($Q444="No disponible",$R444=""),"vía de cobertura, ","")&amp;IF(AND(OR($R444="Lista de espera · propio centro",$R444="Traslado de expediente",$R444="Lista de espera · otro centro"),OR($S444="",$T444="",$U444="")),"quién ocupa la plaza, ","")</f>
      </c>
      <c r="AD444" s="24">
        <f>IF($D444="","",IF(AND(LEN($AC444)=0,LEN($AK444)=0),"Completa",IF(LEN($AC444)=0,"Revisar: "&amp;LEFT($AK444,LEN($AK444)-2),"Falta: "&amp;LEFT($AC444,LEN($AC444)-2)&amp;IF(LEN($AK444)&gt;0,"  ·  Revisar: "&amp;LEFT($AK444,LEN($AK444)-2),""))))</f>
      </c>
      <c r="AE444">
        <f>IF(AND($D444&lt;&gt;"",OR($I444="Renuncia (hasta 30 nov)",$I444="Baja (desde 1 dic)",$I444="Renuncia excepcional (art. 25.3)",$I444="Traslado de expediente")),COUNTIF($AE$1:AE443,"&gt;0")+1,"")</f>
      </c>
      <c r="AF444">
        <f>IF($Q444="Disponible",COUNTIF($AF$1:AF443,"&gt;0")+1,"")</f>
      </c>
      <c r="AG444">
        <f>IF($O444="Sí",COUNTIF($AG$1:AG443,"&gt;0")+1,"")</f>
      </c>
      <c r="AH444">
        <f>IF(AND($Q444="Disponible",$O444&lt;&gt;"Sí"),COUNTIF($AH$1:AH443,"&gt;0")+1,"")</f>
      </c>
      <c r="AI444">
        <f>IF(AND($Q444="Disponible",$K444&lt;&gt;""),COUNTIFS($K$2:K444,K444,$Q$2:Q444,"Disponible"),"")</f>
      </c>
      <c r="AJ444">
        <f>IF(AI444&lt;&gt;"",K444&amp;"|"&amp;AI444,"")</f>
      </c>
      <c r="AK444">
        <f>IF(AND($Q444="No disponible",OR($R444="Lista de espera · propio centro",$R444="Traslado de expediente",$R444="Lista de espera · otro centro"),$O444="Sí"),"la plaza ya tiene alumno y sigue marcada como refuerzo, ","")&amp;IF(AND($R444="Reconvertida en refuerzo",$O444&lt;&gt;"Sí"),"reconvertida en refuerzo pero sin marcar «En uso como refuerzo», ","")</f>
      </c>
    </row>
    <row r="445" spans="1:37">
      <c r="A445" s="20">
        <f>IF(D445&lt;&gt;"",ROW()-1,"")</f>
      </c>
      <c r="B445" s="55"/>
      <c r="C445" s="56"/>
      <c r="D445" s="56"/>
      <c r="E445" s="56"/>
      <c r="F445" s="56"/>
      <c r="G445" s="56"/>
      <c r="H445" s="56"/>
      <c r="I445" s="56"/>
      <c r="J445" s="57"/>
      <c r="K445" s="56"/>
      <c r="L445" s="58"/>
      <c r="M445" s="58">
        <f>IF(L445="","",L445)</f>
      </c>
      <c r="N445" s="56"/>
      <c r="O445" s="56"/>
      <c r="P445" s="57"/>
      <c r="Q445" s="56"/>
      <c r="R445" s="56"/>
      <c r="S445" s="56"/>
      <c r="T445" s="56"/>
      <c r="U445" s="56"/>
      <c r="V445" s="57"/>
      <c r="W445">
        <f>IF(Q445="Disponible",COUNTIFS($D$2:D445,D445,$Q$2:Q445,"Disponible"),"")</f>
      </c>
      <c r="X445">
        <f>IF(W445&lt;&gt;"",D445&amp;"|"&amp;W445,"")</f>
      </c>
      <c r="Y445">
        <f>IF(X445&lt;&gt;"",IF(K445&lt;&gt;"",K445&amp;" ("&amp;M445&amp;")",M445),"")</f>
      </c>
      <c r="Z445">
        <f>IF(O445="Sí",COUNTIFS($D$2:D445,D445,$O$2:O445,"Sí"),"")</f>
      </c>
      <c r="AA445">
        <f>IF(Z445&lt;&gt;"",D445&amp;"|"&amp;Z445,"")</f>
      </c>
      <c r="AB445">
        <f>IF(AA445&lt;&gt;"",IF(K445&lt;&gt;"",K445&amp;" ("&amp;M445&amp;")",M445),"")</f>
      </c>
      <c r="AC445">
        <f>IF($B445="","fecha, ","")&amp;IF($C445="","quién lo introduce, ","")&amp;IF($I445="","motivo, ","")&amp;IF($K445="","docente, ","")&amp;IF($L445="","horario, ","")&amp;IF($N445="","duración, ","")&amp;IF($Q445="","estado, ","")&amp;IF(AND($I445="Otros",$J445=""),"detalle del motivo, ","")&amp;IF(AND($O445="Sí",$P445=""),"detalle del refuerzo, ","")&amp;IF(AND(OR($I445="Renuncia (hasta 30 nov)",$I445="Baja (desde 1 dic)",$I445="Renuncia excepcional (art. 25.3)",$I445="Traslado de expediente"),OR($E445="",$F445="",$G445="")),"quién deja la plaza, ","")&amp;IF(AND($Q445="No disponible",$R445=""),"vía de cobertura, ","")&amp;IF(AND(OR($R445="Lista de espera · propio centro",$R445="Traslado de expediente",$R445="Lista de espera · otro centro"),OR($S445="",$T445="",$U445="")),"quién ocupa la plaza, ","")</f>
      </c>
      <c r="AD445" s="24">
        <f>IF($D445="","",IF(AND(LEN($AC445)=0,LEN($AK445)=0),"Completa",IF(LEN($AC445)=0,"Revisar: "&amp;LEFT($AK445,LEN($AK445)-2),"Falta: "&amp;LEFT($AC445,LEN($AC445)-2)&amp;IF(LEN($AK445)&gt;0,"  ·  Revisar: "&amp;LEFT($AK445,LEN($AK445)-2),""))))</f>
      </c>
      <c r="AE445">
        <f>IF(AND($D445&lt;&gt;"",OR($I445="Renuncia (hasta 30 nov)",$I445="Baja (desde 1 dic)",$I445="Renuncia excepcional (art. 25.3)",$I445="Traslado de expediente")),COUNTIF($AE$1:AE444,"&gt;0")+1,"")</f>
      </c>
      <c r="AF445">
        <f>IF($Q445="Disponible",COUNTIF($AF$1:AF444,"&gt;0")+1,"")</f>
      </c>
      <c r="AG445">
        <f>IF($O445="Sí",COUNTIF($AG$1:AG444,"&gt;0")+1,"")</f>
      </c>
      <c r="AH445">
        <f>IF(AND($Q445="Disponible",$O445&lt;&gt;"Sí"),COUNTIF($AH$1:AH444,"&gt;0")+1,"")</f>
      </c>
      <c r="AI445">
        <f>IF(AND($Q445="Disponible",$K445&lt;&gt;""),COUNTIFS($K$2:K445,K445,$Q$2:Q445,"Disponible"),"")</f>
      </c>
      <c r="AJ445">
        <f>IF(AI445&lt;&gt;"",K445&amp;"|"&amp;AI445,"")</f>
      </c>
      <c r="AK445">
        <f>IF(AND($Q445="No disponible",OR($R445="Lista de espera · propio centro",$R445="Traslado de expediente",$R445="Lista de espera · otro centro"),$O445="Sí"),"la plaza ya tiene alumno y sigue marcada como refuerzo, ","")&amp;IF(AND($R445="Reconvertida en refuerzo",$O445&lt;&gt;"Sí"),"reconvertida en refuerzo pero sin marcar «En uso como refuerzo», ","")</f>
      </c>
    </row>
    <row r="446" spans="1:37">
      <c r="A446" s="20">
        <f>IF(D446&lt;&gt;"",ROW()-1,"")</f>
      </c>
      <c r="B446" s="55"/>
      <c r="C446" s="56"/>
      <c r="D446" s="56"/>
      <c r="E446" s="56"/>
      <c r="F446" s="56"/>
      <c r="G446" s="56"/>
      <c r="H446" s="56"/>
      <c r="I446" s="56"/>
      <c r="J446" s="57"/>
      <c r="K446" s="56"/>
      <c r="L446" s="58"/>
      <c r="M446" s="58">
        <f>IF(L446="","",L446)</f>
      </c>
      <c r="N446" s="56"/>
      <c r="O446" s="56"/>
      <c r="P446" s="57"/>
      <c r="Q446" s="56"/>
      <c r="R446" s="56"/>
      <c r="S446" s="56"/>
      <c r="T446" s="56"/>
      <c r="U446" s="56"/>
      <c r="V446" s="57"/>
      <c r="W446">
        <f>IF(Q446="Disponible",COUNTIFS($D$2:D446,D446,$Q$2:Q446,"Disponible"),"")</f>
      </c>
      <c r="X446">
        <f>IF(W446&lt;&gt;"",D446&amp;"|"&amp;W446,"")</f>
      </c>
      <c r="Y446">
        <f>IF(X446&lt;&gt;"",IF(K446&lt;&gt;"",K446&amp;" ("&amp;M446&amp;")",M446),"")</f>
      </c>
      <c r="Z446">
        <f>IF(O446="Sí",COUNTIFS($D$2:D446,D446,$O$2:O446,"Sí"),"")</f>
      </c>
      <c r="AA446">
        <f>IF(Z446&lt;&gt;"",D446&amp;"|"&amp;Z446,"")</f>
      </c>
      <c r="AB446">
        <f>IF(AA446&lt;&gt;"",IF(K446&lt;&gt;"",K446&amp;" ("&amp;M446&amp;")",M446),"")</f>
      </c>
      <c r="AC446">
        <f>IF($B446="","fecha, ","")&amp;IF($C446="","quién lo introduce, ","")&amp;IF($I446="","motivo, ","")&amp;IF($K446="","docente, ","")&amp;IF($L446="","horario, ","")&amp;IF($N446="","duración, ","")&amp;IF($Q446="","estado, ","")&amp;IF(AND($I446="Otros",$J446=""),"detalle del motivo, ","")&amp;IF(AND($O446="Sí",$P446=""),"detalle del refuerzo, ","")&amp;IF(AND(OR($I446="Renuncia (hasta 30 nov)",$I446="Baja (desde 1 dic)",$I446="Renuncia excepcional (art. 25.3)",$I446="Traslado de expediente"),OR($E446="",$F446="",$G446="")),"quién deja la plaza, ","")&amp;IF(AND($Q446="No disponible",$R446=""),"vía de cobertura, ","")&amp;IF(AND(OR($R446="Lista de espera · propio centro",$R446="Traslado de expediente",$R446="Lista de espera · otro centro"),OR($S446="",$T446="",$U446="")),"quién ocupa la plaza, ","")</f>
      </c>
      <c r="AD446" s="24">
        <f>IF($D446="","",IF(AND(LEN($AC446)=0,LEN($AK446)=0),"Completa",IF(LEN($AC446)=0,"Revisar: "&amp;LEFT($AK446,LEN($AK446)-2),"Falta: "&amp;LEFT($AC446,LEN($AC446)-2)&amp;IF(LEN($AK446)&gt;0,"  ·  Revisar: "&amp;LEFT($AK446,LEN($AK446)-2),""))))</f>
      </c>
      <c r="AE446">
        <f>IF(AND($D446&lt;&gt;"",OR($I446="Renuncia (hasta 30 nov)",$I446="Baja (desde 1 dic)",$I446="Renuncia excepcional (art. 25.3)",$I446="Traslado de expediente")),COUNTIF($AE$1:AE445,"&gt;0")+1,"")</f>
      </c>
      <c r="AF446">
        <f>IF($Q446="Disponible",COUNTIF($AF$1:AF445,"&gt;0")+1,"")</f>
      </c>
      <c r="AG446">
        <f>IF($O446="Sí",COUNTIF($AG$1:AG445,"&gt;0")+1,"")</f>
      </c>
      <c r="AH446">
        <f>IF(AND($Q446="Disponible",$O446&lt;&gt;"Sí"),COUNTIF($AH$1:AH445,"&gt;0")+1,"")</f>
      </c>
      <c r="AI446">
        <f>IF(AND($Q446="Disponible",$K446&lt;&gt;""),COUNTIFS($K$2:K446,K446,$Q$2:Q446,"Disponible"),"")</f>
      </c>
      <c r="AJ446">
        <f>IF(AI446&lt;&gt;"",K446&amp;"|"&amp;AI446,"")</f>
      </c>
      <c r="AK446">
        <f>IF(AND($Q446="No disponible",OR($R446="Lista de espera · propio centro",$R446="Traslado de expediente",$R446="Lista de espera · otro centro"),$O446="Sí"),"la plaza ya tiene alumno y sigue marcada como refuerzo, ","")&amp;IF(AND($R446="Reconvertida en refuerzo",$O446&lt;&gt;"Sí"),"reconvertida en refuerzo pero sin marcar «En uso como refuerzo», ","")</f>
      </c>
    </row>
    <row r="447" spans="1:37">
      <c r="A447" s="20">
        <f>IF(D447&lt;&gt;"",ROW()-1,"")</f>
      </c>
      <c r="B447" s="55"/>
      <c r="C447" s="56"/>
      <c r="D447" s="56"/>
      <c r="E447" s="56"/>
      <c r="F447" s="56"/>
      <c r="G447" s="56"/>
      <c r="H447" s="56"/>
      <c r="I447" s="56"/>
      <c r="J447" s="57"/>
      <c r="K447" s="56"/>
      <c r="L447" s="58"/>
      <c r="M447" s="58">
        <f>IF(L447="","",L447)</f>
      </c>
      <c r="N447" s="56"/>
      <c r="O447" s="56"/>
      <c r="P447" s="57"/>
      <c r="Q447" s="56"/>
      <c r="R447" s="56"/>
      <c r="S447" s="56"/>
      <c r="T447" s="56"/>
      <c r="U447" s="56"/>
      <c r="V447" s="57"/>
      <c r="W447">
        <f>IF(Q447="Disponible",COUNTIFS($D$2:D447,D447,$Q$2:Q447,"Disponible"),"")</f>
      </c>
      <c r="X447">
        <f>IF(W447&lt;&gt;"",D447&amp;"|"&amp;W447,"")</f>
      </c>
      <c r="Y447">
        <f>IF(X447&lt;&gt;"",IF(K447&lt;&gt;"",K447&amp;" ("&amp;M447&amp;")",M447),"")</f>
      </c>
      <c r="Z447">
        <f>IF(O447="Sí",COUNTIFS($D$2:D447,D447,$O$2:O447,"Sí"),"")</f>
      </c>
      <c r="AA447">
        <f>IF(Z447&lt;&gt;"",D447&amp;"|"&amp;Z447,"")</f>
      </c>
      <c r="AB447">
        <f>IF(AA447&lt;&gt;"",IF(K447&lt;&gt;"",K447&amp;" ("&amp;M447&amp;")",M447),"")</f>
      </c>
      <c r="AC447">
        <f>IF($B447="","fecha, ","")&amp;IF($C447="","quién lo introduce, ","")&amp;IF($I447="","motivo, ","")&amp;IF($K447="","docente, ","")&amp;IF($L447="","horario, ","")&amp;IF($N447="","duración, ","")&amp;IF($Q447="","estado, ","")&amp;IF(AND($I447="Otros",$J447=""),"detalle del motivo, ","")&amp;IF(AND($O447="Sí",$P447=""),"detalle del refuerzo, ","")&amp;IF(AND(OR($I447="Renuncia (hasta 30 nov)",$I447="Baja (desde 1 dic)",$I447="Renuncia excepcional (art. 25.3)",$I447="Traslado de expediente"),OR($E447="",$F447="",$G447="")),"quién deja la plaza, ","")&amp;IF(AND($Q447="No disponible",$R447=""),"vía de cobertura, ","")&amp;IF(AND(OR($R447="Lista de espera · propio centro",$R447="Traslado de expediente",$R447="Lista de espera · otro centro"),OR($S447="",$T447="",$U447="")),"quién ocupa la plaza, ","")</f>
      </c>
      <c r="AD447" s="24">
        <f>IF($D447="","",IF(AND(LEN($AC447)=0,LEN($AK447)=0),"Completa",IF(LEN($AC447)=0,"Revisar: "&amp;LEFT($AK447,LEN($AK447)-2),"Falta: "&amp;LEFT($AC447,LEN($AC447)-2)&amp;IF(LEN($AK447)&gt;0,"  ·  Revisar: "&amp;LEFT($AK447,LEN($AK447)-2),""))))</f>
      </c>
      <c r="AE447">
        <f>IF(AND($D447&lt;&gt;"",OR($I447="Renuncia (hasta 30 nov)",$I447="Baja (desde 1 dic)",$I447="Renuncia excepcional (art. 25.3)",$I447="Traslado de expediente")),COUNTIF($AE$1:AE446,"&gt;0")+1,"")</f>
      </c>
      <c r="AF447">
        <f>IF($Q447="Disponible",COUNTIF($AF$1:AF446,"&gt;0")+1,"")</f>
      </c>
      <c r="AG447">
        <f>IF($O447="Sí",COUNTIF($AG$1:AG446,"&gt;0")+1,"")</f>
      </c>
      <c r="AH447">
        <f>IF(AND($Q447="Disponible",$O447&lt;&gt;"Sí"),COUNTIF($AH$1:AH446,"&gt;0")+1,"")</f>
      </c>
      <c r="AI447">
        <f>IF(AND($Q447="Disponible",$K447&lt;&gt;""),COUNTIFS($K$2:K447,K447,$Q$2:Q447,"Disponible"),"")</f>
      </c>
      <c r="AJ447">
        <f>IF(AI447&lt;&gt;"",K447&amp;"|"&amp;AI447,"")</f>
      </c>
      <c r="AK447">
        <f>IF(AND($Q447="No disponible",OR($R447="Lista de espera · propio centro",$R447="Traslado de expediente",$R447="Lista de espera · otro centro"),$O447="Sí"),"la plaza ya tiene alumno y sigue marcada como refuerzo, ","")&amp;IF(AND($R447="Reconvertida en refuerzo",$O447&lt;&gt;"Sí"),"reconvertida en refuerzo pero sin marcar «En uso como refuerzo», ","")</f>
      </c>
    </row>
    <row r="448" spans="1:37">
      <c r="A448" s="20">
        <f>IF(D448&lt;&gt;"",ROW()-1,"")</f>
      </c>
      <c r="B448" s="55"/>
      <c r="C448" s="56"/>
      <c r="D448" s="56"/>
      <c r="E448" s="56"/>
      <c r="F448" s="56"/>
      <c r="G448" s="56"/>
      <c r="H448" s="56"/>
      <c r="I448" s="56"/>
      <c r="J448" s="57"/>
      <c r="K448" s="56"/>
      <c r="L448" s="58"/>
      <c r="M448" s="58">
        <f>IF(L448="","",L448)</f>
      </c>
      <c r="N448" s="56"/>
      <c r="O448" s="56"/>
      <c r="P448" s="57"/>
      <c r="Q448" s="56"/>
      <c r="R448" s="56"/>
      <c r="S448" s="56"/>
      <c r="T448" s="56"/>
      <c r="U448" s="56"/>
      <c r="V448" s="57"/>
      <c r="W448">
        <f>IF(Q448="Disponible",COUNTIFS($D$2:D448,D448,$Q$2:Q448,"Disponible"),"")</f>
      </c>
      <c r="X448">
        <f>IF(W448&lt;&gt;"",D448&amp;"|"&amp;W448,"")</f>
      </c>
      <c r="Y448">
        <f>IF(X448&lt;&gt;"",IF(K448&lt;&gt;"",K448&amp;" ("&amp;M448&amp;")",M448),"")</f>
      </c>
      <c r="Z448">
        <f>IF(O448="Sí",COUNTIFS($D$2:D448,D448,$O$2:O448,"Sí"),"")</f>
      </c>
      <c r="AA448">
        <f>IF(Z448&lt;&gt;"",D448&amp;"|"&amp;Z448,"")</f>
      </c>
      <c r="AB448">
        <f>IF(AA448&lt;&gt;"",IF(K448&lt;&gt;"",K448&amp;" ("&amp;M448&amp;")",M448),"")</f>
      </c>
      <c r="AC448">
        <f>IF($B448="","fecha, ","")&amp;IF($C448="","quién lo introduce, ","")&amp;IF($I448="","motivo, ","")&amp;IF($K448="","docente, ","")&amp;IF($L448="","horario, ","")&amp;IF($N448="","duración, ","")&amp;IF($Q448="","estado, ","")&amp;IF(AND($I448="Otros",$J448=""),"detalle del motivo, ","")&amp;IF(AND($O448="Sí",$P448=""),"detalle del refuerzo, ","")&amp;IF(AND(OR($I448="Renuncia (hasta 30 nov)",$I448="Baja (desde 1 dic)",$I448="Renuncia excepcional (art. 25.3)",$I448="Traslado de expediente"),OR($E448="",$F448="",$G448="")),"quién deja la plaza, ","")&amp;IF(AND($Q448="No disponible",$R448=""),"vía de cobertura, ","")&amp;IF(AND(OR($R448="Lista de espera · propio centro",$R448="Traslado de expediente",$R448="Lista de espera · otro centro"),OR($S448="",$T448="",$U448="")),"quién ocupa la plaza, ","")</f>
      </c>
      <c r="AD448" s="24">
        <f>IF($D448="","",IF(AND(LEN($AC448)=0,LEN($AK448)=0),"Completa",IF(LEN($AC448)=0,"Revisar: "&amp;LEFT($AK448,LEN($AK448)-2),"Falta: "&amp;LEFT($AC448,LEN($AC448)-2)&amp;IF(LEN($AK448)&gt;0,"  ·  Revisar: "&amp;LEFT($AK448,LEN($AK448)-2),""))))</f>
      </c>
      <c r="AE448">
        <f>IF(AND($D448&lt;&gt;"",OR($I448="Renuncia (hasta 30 nov)",$I448="Baja (desde 1 dic)",$I448="Renuncia excepcional (art. 25.3)",$I448="Traslado de expediente")),COUNTIF($AE$1:AE447,"&gt;0")+1,"")</f>
      </c>
      <c r="AF448">
        <f>IF($Q448="Disponible",COUNTIF($AF$1:AF447,"&gt;0")+1,"")</f>
      </c>
      <c r="AG448">
        <f>IF($O448="Sí",COUNTIF($AG$1:AG447,"&gt;0")+1,"")</f>
      </c>
      <c r="AH448">
        <f>IF(AND($Q448="Disponible",$O448&lt;&gt;"Sí"),COUNTIF($AH$1:AH447,"&gt;0")+1,"")</f>
      </c>
      <c r="AI448">
        <f>IF(AND($Q448="Disponible",$K448&lt;&gt;""),COUNTIFS($K$2:K448,K448,$Q$2:Q448,"Disponible"),"")</f>
      </c>
      <c r="AJ448">
        <f>IF(AI448&lt;&gt;"",K448&amp;"|"&amp;AI448,"")</f>
      </c>
      <c r="AK448">
        <f>IF(AND($Q448="No disponible",OR($R448="Lista de espera · propio centro",$R448="Traslado de expediente",$R448="Lista de espera · otro centro"),$O448="Sí"),"la plaza ya tiene alumno y sigue marcada como refuerzo, ","")&amp;IF(AND($R448="Reconvertida en refuerzo",$O448&lt;&gt;"Sí"),"reconvertida en refuerzo pero sin marcar «En uso como refuerzo», ","")</f>
      </c>
    </row>
    <row r="449" spans="1:37">
      <c r="A449" s="20">
        <f>IF(D449&lt;&gt;"",ROW()-1,"")</f>
      </c>
      <c r="B449" s="55"/>
      <c r="C449" s="56"/>
      <c r="D449" s="56"/>
      <c r="E449" s="56"/>
      <c r="F449" s="56"/>
      <c r="G449" s="56"/>
      <c r="H449" s="56"/>
      <c r="I449" s="56"/>
      <c r="J449" s="57"/>
      <c r="K449" s="56"/>
      <c r="L449" s="58"/>
      <c r="M449" s="58">
        <f>IF(L449="","",L449)</f>
      </c>
      <c r="N449" s="56"/>
      <c r="O449" s="56"/>
      <c r="P449" s="57"/>
      <c r="Q449" s="56"/>
      <c r="R449" s="56"/>
      <c r="S449" s="56"/>
      <c r="T449" s="56"/>
      <c r="U449" s="56"/>
      <c r="V449" s="57"/>
      <c r="W449">
        <f>IF(Q449="Disponible",COUNTIFS($D$2:D449,D449,$Q$2:Q449,"Disponible"),"")</f>
      </c>
      <c r="X449">
        <f>IF(W449&lt;&gt;"",D449&amp;"|"&amp;W449,"")</f>
      </c>
      <c r="Y449">
        <f>IF(X449&lt;&gt;"",IF(K449&lt;&gt;"",K449&amp;" ("&amp;M449&amp;")",M449),"")</f>
      </c>
      <c r="Z449">
        <f>IF(O449="Sí",COUNTIFS($D$2:D449,D449,$O$2:O449,"Sí"),"")</f>
      </c>
      <c r="AA449">
        <f>IF(Z449&lt;&gt;"",D449&amp;"|"&amp;Z449,"")</f>
      </c>
      <c r="AB449">
        <f>IF(AA449&lt;&gt;"",IF(K449&lt;&gt;"",K449&amp;" ("&amp;M449&amp;")",M449),"")</f>
      </c>
      <c r="AC449">
        <f>IF($B449="","fecha, ","")&amp;IF($C449="","quién lo introduce, ","")&amp;IF($I449="","motivo, ","")&amp;IF($K449="","docente, ","")&amp;IF($L449="","horario, ","")&amp;IF($N449="","duración, ","")&amp;IF($Q449="","estado, ","")&amp;IF(AND($I449="Otros",$J449=""),"detalle del motivo, ","")&amp;IF(AND($O449="Sí",$P449=""),"detalle del refuerzo, ","")&amp;IF(AND(OR($I449="Renuncia (hasta 30 nov)",$I449="Baja (desde 1 dic)",$I449="Renuncia excepcional (art. 25.3)",$I449="Traslado de expediente"),OR($E449="",$F449="",$G449="")),"quién deja la plaza, ","")&amp;IF(AND($Q449="No disponible",$R449=""),"vía de cobertura, ","")&amp;IF(AND(OR($R449="Lista de espera · propio centro",$R449="Traslado de expediente",$R449="Lista de espera · otro centro"),OR($S449="",$T449="",$U449="")),"quién ocupa la plaza, ","")</f>
      </c>
      <c r="AD449" s="24">
        <f>IF($D449="","",IF(AND(LEN($AC449)=0,LEN($AK449)=0),"Completa",IF(LEN($AC449)=0,"Revisar: "&amp;LEFT($AK449,LEN($AK449)-2),"Falta: "&amp;LEFT($AC449,LEN($AC449)-2)&amp;IF(LEN($AK449)&gt;0,"  ·  Revisar: "&amp;LEFT($AK449,LEN($AK449)-2),""))))</f>
      </c>
      <c r="AE449">
        <f>IF(AND($D449&lt;&gt;"",OR($I449="Renuncia (hasta 30 nov)",$I449="Baja (desde 1 dic)",$I449="Renuncia excepcional (art. 25.3)",$I449="Traslado de expediente")),COUNTIF($AE$1:AE448,"&gt;0")+1,"")</f>
      </c>
      <c r="AF449">
        <f>IF($Q449="Disponible",COUNTIF($AF$1:AF448,"&gt;0")+1,"")</f>
      </c>
      <c r="AG449">
        <f>IF($O449="Sí",COUNTIF($AG$1:AG448,"&gt;0")+1,"")</f>
      </c>
      <c r="AH449">
        <f>IF(AND($Q449="Disponible",$O449&lt;&gt;"Sí"),COUNTIF($AH$1:AH448,"&gt;0")+1,"")</f>
      </c>
      <c r="AI449">
        <f>IF(AND($Q449="Disponible",$K449&lt;&gt;""),COUNTIFS($K$2:K449,K449,$Q$2:Q449,"Disponible"),"")</f>
      </c>
      <c r="AJ449">
        <f>IF(AI449&lt;&gt;"",K449&amp;"|"&amp;AI449,"")</f>
      </c>
      <c r="AK449">
        <f>IF(AND($Q449="No disponible",OR($R449="Lista de espera · propio centro",$R449="Traslado de expediente",$R449="Lista de espera · otro centro"),$O449="Sí"),"la plaza ya tiene alumno y sigue marcada como refuerzo, ","")&amp;IF(AND($R449="Reconvertida en refuerzo",$O449&lt;&gt;"Sí"),"reconvertida en refuerzo pero sin marcar «En uso como refuerzo», ","")</f>
      </c>
    </row>
    <row r="450" spans="1:37">
      <c r="A450" s="20">
        <f>IF(D450&lt;&gt;"",ROW()-1,"")</f>
      </c>
      <c r="B450" s="55"/>
      <c r="C450" s="56"/>
      <c r="D450" s="56"/>
      <c r="E450" s="56"/>
      <c r="F450" s="56"/>
      <c r="G450" s="56"/>
      <c r="H450" s="56"/>
      <c r="I450" s="56"/>
      <c r="J450" s="57"/>
      <c r="K450" s="56"/>
      <c r="L450" s="58"/>
      <c r="M450" s="58">
        <f>IF(L450="","",L450)</f>
      </c>
      <c r="N450" s="56"/>
      <c r="O450" s="56"/>
      <c r="P450" s="57"/>
      <c r="Q450" s="56"/>
      <c r="R450" s="56"/>
      <c r="S450" s="56"/>
      <c r="T450" s="56"/>
      <c r="U450" s="56"/>
      <c r="V450" s="57"/>
      <c r="W450">
        <f>IF(Q450="Disponible",COUNTIFS($D$2:D450,D450,$Q$2:Q450,"Disponible"),"")</f>
      </c>
      <c r="X450">
        <f>IF(W450&lt;&gt;"",D450&amp;"|"&amp;W450,"")</f>
      </c>
      <c r="Y450">
        <f>IF(X450&lt;&gt;"",IF(K450&lt;&gt;"",K450&amp;" ("&amp;M450&amp;")",M450),"")</f>
      </c>
      <c r="Z450">
        <f>IF(O450="Sí",COUNTIFS($D$2:D450,D450,$O$2:O450,"Sí"),"")</f>
      </c>
      <c r="AA450">
        <f>IF(Z450&lt;&gt;"",D450&amp;"|"&amp;Z450,"")</f>
      </c>
      <c r="AB450">
        <f>IF(AA450&lt;&gt;"",IF(K450&lt;&gt;"",K450&amp;" ("&amp;M450&amp;")",M450),"")</f>
      </c>
      <c r="AC450">
        <f>IF($B450="","fecha, ","")&amp;IF($C450="","quién lo introduce, ","")&amp;IF($I450="","motivo, ","")&amp;IF($K450="","docente, ","")&amp;IF($L450="","horario, ","")&amp;IF($N450="","duración, ","")&amp;IF($Q450="","estado, ","")&amp;IF(AND($I450="Otros",$J450=""),"detalle del motivo, ","")&amp;IF(AND($O450="Sí",$P450=""),"detalle del refuerzo, ","")&amp;IF(AND(OR($I450="Renuncia (hasta 30 nov)",$I450="Baja (desde 1 dic)",$I450="Renuncia excepcional (art. 25.3)",$I450="Traslado de expediente"),OR($E450="",$F450="",$G450="")),"quién deja la plaza, ","")&amp;IF(AND($Q450="No disponible",$R450=""),"vía de cobertura, ","")&amp;IF(AND(OR($R450="Lista de espera · propio centro",$R450="Traslado de expediente",$R450="Lista de espera · otro centro"),OR($S450="",$T450="",$U450="")),"quién ocupa la plaza, ","")</f>
      </c>
      <c r="AD450" s="24">
        <f>IF($D450="","",IF(AND(LEN($AC450)=0,LEN($AK450)=0),"Completa",IF(LEN($AC450)=0,"Revisar: "&amp;LEFT($AK450,LEN($AK450)-2),"Falta: "&amp;LEFT($AC450,LEN($AC450)-2)&amp;IF(LEN($AK450)&gt;0,"  ·  Revisar: "&amp;LEFT($AK450,LEN($AK450)-2),""))))</f>
      </c>
      <c r="AE450">
        <f>IF(AND($D450&lt;&gt;"",OR($I450="Renuncia (hasta 30 nov)",$I450="Baja (desde 1 dic)",$I450="Renuncia excepcional (art. 25.3)",$I450="Traslado de expediente")),COUNTIF($AE$1:AE449,"&gt;0")+1,"")</f>
      </c>
      <c r="AF450">
        <f>IF($Q450="Disponible",COUNTIF($AF$1:AF449,"&gt;0")+1,"")</f>
      </c>
      <c r="AG450">
        <f>IF($O450="Sí",COUNTIF($AG$1:AG449,"&gt;0")+1,"")</f>
      </c>
      <c r="AH450">
        <f>IF(AND($Q450="Disponible",$O450&lt;&gt;"Sí"),COUNTIF($AH$1:AH449,"&gt;0")+1,"")</f>
      </c>
      <c r="AI450">
        <f>IF(AND($Q450="Disponible",$K450&lt;&gt;""),COUNTIFS($K$2:K450,K450,$Q$2:Q450,"Disponible"),"")</f>
      </c>
      <c r="AJ450">
        <f>IF(AI450&lt;&gt;"",K450&amp;"|"&amp;AI450,"")</f>
      </c>
      <c r="AK450">
        <f>IF(AND($Q450="No disponible",OR($R450="Lista de espera · propio centro",$R450="Traslado de expediente",$R450="Lista de espera · otro centro"),$O450="Sí"),"la plaza ya tiene alumno y sigue marcada como refuerzo, ","")&amp;IF(AND($R450="Reconvertida en refuerzo",$O450&lt;&gt;"Sí"),"reconvertida en refuerzo pero sin marcar «En uso como refuerzo», ","")</f>
      </c>
    </row>
    <row r="451" spans="1:37">
      <c r="A451" s="20">
        <f>IF(D451&lt;&gt;"",ROW()-1,"")</f>
      </c>
      <c r="B451" s="55"/>
      <c r="C451" s="56"/>
      <c r="D451" s="56"/>
      <c r="E451" s="56"/>
      <c r="F451" s="56"/>
      <c r="G451" s="56"/>
      <c r="H451" s="56"/>
      <c r="I451" s="56"/>
      <c r="J451" s="57"/>
      <c r="K451" s="56"/>
      <c r="L451" s="58"/>
      <c r="M451" s="58">
        <f>IF(L451="","",L451)</f>
      </c>
      <c r="N451" s="56"/>
      <c r="O451" s="56"/>
      <c r="P451" s="57"/>
      <c r="Q451" s="56"/>
      <c r="R451" s="56"/>
      <c r="S451" s="56"/>
      <c r="T451" s="56"/>
      <c r="U451" s="56"/>
      <c r="V451" s="57"/>
      <c r="W451">
        <f>IF(Q451="Disponible",COUNTIFS($D$2:D451,D451,$Q$2:Q451,"Disponible"),"")</f>
      </c>
      <c r="X451">
        <f>IF(W451&lt;&gt;"",D451&amp;"|"&amp;W451,"")</f>
      </c>
      <c r="Y451">
        <f>IF(X451&lt;&gt;"",IF(K451&lt;&gt;"",K451&amp;" ("&amp;M451&amp;")",M451),"")</f>
      </c>
      <c r="Z451">
        <f>IF(O451="Sí",COUNTIFS($D$2:D451,D451,$O$2:O451,"Sí"),"")</f>
      </c>
      <c r="AA451">
        <f>IF(Z451&lt;&gt;"",D451&amp;"|"&amp;Z451,"")</f>
      </c>
      <c r="AB451">
        <f>IF(AA451&lt;&gt;"",IF(K451&lt;&gt;"",K451&amp;" ("&amp;M451&amp;")",M451),"")</f>
      </c>
      <c r="AC451">
        <f>IF($B451="","fecha, ","")&amp;IF($C451="","quién lo introduce, ","")&amp;IF($I451="","motivo, ","")&amp;IF($K451="","docente, ","")&amp;IF($L451="","horario, ","")&amp;IF($N451="","duración, ","")&amp;IF($Q451="","estado, ","")&amp;IF(AND($I451="Otros",$J451=""),"detalle del motivo, ","")&amp;IF(AND($O451="Sí",$P451=""),"detalle del refuerzo, ","")&amp;IF(AND(OR($I451="Renuncia (hasta 30 nov)",$I451="Baja (desde 1 dic)",$I451="Renuncia excepcional (art. 25.3)",$I451="Traslado de expediente"),OR($E451="",$F451="",$G451="")),"quién deja la plaza, ","")&amp;IF(AND($Q451="No disponible",$R451=""),"vía de cobertura, ","")&amp;IF(AND(OR($R451="Lista de espera · propio centro",$R451="Traslado de expediente",$R451="Lista de espera · otro centro"),OR($S451="",$T451="",$U451="")),"quién ocupa la plaza, ","")</f>
      </c>
      <c r="AD451" s="24">
        <f>IF($D451="","",IF(AND(LEN($AC451)=0,LEN($AK451)=0),"Completa",IF(LEN($AC451)=0,"Revisar: "&amp;LEFT($AK451,LEN($AK451)-2),"Falta: "&amp;LEFT($AC451,LEN($AC451)-2)&amp;IF(LEN($AK451)&gt;0,"  ·  Revisar: "&amp;LEFT($AK451,LEN($AK451)-2),""))))</f>
      </c>
      <c r="AE451">
        <f>IF(AND($D451&lt;&gt;"",OR($I451="Renuncia (hasta 30 nov)",$I451="Baja (desde 1 dic)",$I451="Renuncia excepcional (art. 25.3)",$I451="Traslado de expediente")),COUNTIF($AE$1:AE450,"&gt;0")+1,"")</f>
      </c>
      <c r="AF451">
        <f>IF($Q451="Disponible",COUNTIF($AF$1:AF450,"&gt;0")+1,"")</f>
      </c>
      <c r="AG451">
        <f>IF($O451="Sí",COUNTIF($AG$1:AG450,"&gt;0")+1,"")</f>
      </c>
      <c r="AH451">
        <f>IF(AND($Q451="Disponible",$O451&lt;&gt;"Sí"),COUNTIF($AH$1:AH450,"&gt;0")+1,"")</f>
      </c>
      <c r="AI451">
        <f>IF(AND($Q451="Disponible",$K451&lt;&gt;""),COUNTIFS($K$2:K451,K451,$Q$2:Q451,"Disponible"),"")</f>
      </c>
      <c r="AJ451">
        <f>IF(AI451&lt;&gt;"",K451&amp;"|"&amp;AI451,"")</f>
      </c>
      <c r="AK451">
        <f>IF(AND($Q451="No disponible",OR($R451="Lista de espera · propio centro",$R451="Traslado de expediente",$R451="Lista de espera · otro centro"),$O451="Sí"),"la plaza ya tiene alumno y sigue marcada como refuerzo, ","")&amp;IF(AND($R451="Reconvertida en refuerzo",$O451&lt;&gt;"Sí"),"reconvertida en refuerzo pero sin marcar «En uso como refuerzo», ","")</f>
      </c>
    </row>
    <row r="452" spans="1:37">
      <c r="A452" s="20">
        <f>IF(D452&lt;&gt;"",ROW()-1,"")</f>
      </c>
      <c r="B452" s="55"/>
      <c r="C452" s="56"/>
      <c r="D452" s="56"/>
      <c r="E452" s="56"/>
      <c r="F452" s="56"/>
      <c r="G452" s="56"/>
      <c r="H452" s="56"/>
      <c r="I452" s="56"/>
      <c r="J452" s="57"/>
      <c r="K452" s="56"/>
      <c r="L452" s="58"/>
      <c r="M452" s="58">
        <f>IF(L452="","",L452)</f>
      </c>
      <c r="N452" s="56"/>
      <c r="O452" s="56"/>
      <c r="P452" s="57"/>
      <c r="Q452" s="56"/>
      <c r="R452" s="56"/>
      <c r="S452" s="56"/>
      <c r="T452" s="56"/>
      <c r="U452" s="56"/>
      <c r="V452" s="57"/>
      <c r="W452">
        <f>IF(Q452="Disponible",COUNTIFS($D$2:D452,D452,$Q$2:Q452,"Disponible"),"")</f>
      </c>
      <c r="X452">
        <f>IF(W452&lt;&gt;"",D452&amp;"|"&amp;W452,"")</f>
      </c>
      <c r="Y452">
        <f>IF(X452&lt;&gt;"",IF(K452&lt;&gt;"",K452&amp;" ("&amp;M452&amp;")",M452),"")</f>
      </c>
      <c r="Z452">
        <f>IF(O452="Sí",COUNTIFS($D$2:D452,D452,$O$2:O452,"Sí"),"")</f>
      </c>
      <c r="AA452">
        <f>IF(Z452&lt;&gt;"",D452&amp;"|"&amp;Z452,"")</f>
      </c>
      <c r="AB452">
        <f>IF(AA452&lt;&gt;"",IF(K452&lt;&gt;"",K452&amp;" ("&amp;M452&amp;")",M452),"")</f>
      </c>
      <c r="AC452">
        <f>IF($B452="","fecha, ","")&amp;IF($C452="","quién lo introduce, ","")&amp;IF($I452="","motivo, ","")&amp;IF($K452="","docente, ","")&amp;IF($L452="","horario, ","")&amp;IF($N452="","duración, ","")&amp;IF($Q452="","estado, ","")&amp;IF(AND($I452="Otros",$J452=""),"detalle del motivo, ","")&amp;IF(AND($O452="Sí",$P452=""),"detalle del refuerzo, ","")&amp;IF(AND(OR($I452="Renuncia (hasta 30 nov)",$I452="Baja (desde 1 dic)",$I452="Renuncia excepcional (art. 25.3)",$I452="Traslado de expediente"),OR($E452="",$F452="",$G452="")),"quién deja la plaza, ","")&amp;IF(AND($Q452="No disponible",$R452=""),"vía de cobertura, ","")&amp;IF(AND(OR($R452="Lista de espera · propio centro",$R452="Traslado de expediente",$R452="Lista de espera · otro centro"),OR($S452="",$T452="",$U452="")),"quién ocupa la plaza, ","")</f>
      </c>
      <c r="AD452" s="24">
        <f>IF($D452="","",IF(AND(LEN($AC452)=0,LEN($AK452)=0),"Completa",IF(LEN($AC452)=0,"Revisar: "&amp;LEFT($AK452,LEN($AK452)-2),"Falta: "&amp;LEFT($AC452,LEN($AC452)-2)&amp;IF(LEN($AK452)&gt;0,"  ·  Revisar: "&amp;LEFT($AK452,LEN($AK452)-2),""))))</f>
      </c>
      <c r="AE452">
        <f>IF(AND($D452&lt;&gt;"",OR($I452="Renuncia (hasta 30 nov)",$I452="Baja (desde 1 dic)",$I452="Renuncia excepcional (art. 25.3)",$I452="Traslado de expediente")),COUNTIF($AE$1:AE451,"&gt;0")+1,"")</f>
      </c>
      <c r="AF452">
        <f>IF($Q452="Disponible",COUNTIF($AF$1:AF451,"&gt;0")+1,"")</f>
      </c>
      <c r="AG452">
        <f>IF($O452="Sí",COUNTIF($AG$1:AG451,"&gt;0")+1,"")</f>
      </c>
      <c r="AH452">
        <f>IF(AND($Q452="Disponible",$O452&lt;&gt;"Sí"),COUNTIF($AH$1:AH451,"&gt;0")+1,"")</f>
      </c>
      <c r="AI452">
        <f>IF(AND($Q452="Disponible",$K452&lt;&gt;""),COUNTIFS($K$2:K452,K452,$Q$2:Q452,"Disponible"),"")</f>
      </c>
      <c r="AJ452">
        <f>IF(AI452&lt;&gt;"",K452&amp;"|"&amp;AI452,"")</f>
      </c>
      <c r="AK452">
        <f>IF(AND($Q452="No disponible",OR($R452="Lista de espera · propio centro",$R452="Traslado de expediente",$R452="Lista de espera · otro centro"),$O452="Sí"),"la plaza ya tiene alumno y sigue marcada como refuerzo, ","")&amp;IF(AND($R452="Reconvertida en refuerzo",$O452&lt;&gt;"Sí"),"reconvertida en refuerzo pero sin marcar «En uso como refuerzo», ","")</f>
      </c>
    </row>
    <row r="453" spans="1:37">
      <c r="A453" s="20">
        <f>IF(D453&lt;&gt;"",ROW()-1,"")</f>
      </c>
      <c r="B453" s="55"/>
      <c r="C453" s="56"/>
      <c r="D453" s="56"/>
      <c r="E453" s="56"/>
      <c r="F453" s="56"/>
      <c r="G453" s="56"/>
      <c r="H453" s="56"/>
      <c r="I453" s="56"/>
      <c r="J453" s="57"/>
      <c r="K453" s="56"/>
      <c r="L453" s="58"/>
      <c r="M453" s="58">
        <f>IF(L453="","",L453)</f>
      </c>
      <c r="N453" s="56"/>
      <c r="O453" s="56"/>
      <c r="P453" s="57"/>
      <c r="Q453" s="56"/>
      <c r="R453" s="56"/>
      <c r="S453" s="56"/>
      <c r="T453" s="56"/>
      <c r="U453" s="56"/>
      <c r="V453" s="57"/>
      <c r="W453">
        <f>IF(Q453="Disponible",COUNTIFS($D$2:D453,D453,$Q$2:Q453,"Disponible"),"")</f>
      </c>
      <c r="X453">
        <f>IF(W453&lt;&gt;"",D453&amp;"|"&amp;W453,"")</f>
      </c>
      <c r="Y453">
        <f>IF(X453&lt;&gt;"",IF(K453&lt;&gt;"",K453&amp;" ("&amp;M453&amp;")",M453),"")</f>
      </c>
      <c r="Z453">
        <f>IF(O453="Sí",COUNTIFS($D$2:D453,D453,$O$2:O453,"Sí"),"")</f>
      </c>
      <c r="AA453">
        <f>IF(Z453&lt;&gt;"",D453&amp;"|"&amp;Z453,"")</f>
      </c>
      <c r="AB453">
        <f>IF(AA453&lt;&gt;"",IF(K453&lt;&gt;"",K453&amp;" ("&amp;M453&amp;")",M453),"")</f>
      </c>
      <c r="AC453">
        <f>IF($B453="","fecha, ","")&amp;IF($C453="","quién lo introduce, ","")&amp;IF($I453="","motivo, ","")&amp;IF($K453="","docente, ","")&amp;IF($L453="","horario, ","")&amp;IF($N453="","duración, ","")&amp;IF($Q453="","estado, ","")&amp;IF(AND($I453="Otros",$J453=""),"detalle del motivo, ","")&amp;IF(AND($O453="Sí",$P453=""),"detalle del refuerzo, ","")&amp;IF(AND(OR($I453="Renuncia (hasta 30 nov)",$I453="Baja (desde 1 dic)",$I453="Renuncia excepcional (art. 25.3)",$I453="Traslado de expediente"),OR($E453="",$F453="",$G453="")),"quién deja la plaza, ","")&amp;IF(AND($Q453="No disponible",$R453=""),"vía de cobertura, ","")&amp;IF(AND(OR($R453="Lista de espera · propio centro",$R453="Traslado de expediente",$R453="Lista de espera · otro centro"),OR($S453="",$T453="",$U453="")),"quién ocupa la plaza, ","")</f>
      </c>
      <c r="AD453" s="24">
        <f>IF($D453="","",IF(AND(LEN($AC453)=0,LEN($AK453)=0),"Completa",IF(LEN($AC453)=0,"Revisar: "&amp;LEFT($AK453,LEN($AK453)-2),"Falta: "&amp;LEFT($AC453,LEN($AC453)-2)&amp;IF(LEN($AK453)&gt;0,"  ·  Revisar: "&amp;LEFT($AK453,LEN($AK453)-2),""))))</f>
      </c>
      <c r="AE453">
        <f>IF(AND($D453&lt;&gt;"",OR($I453="Renuncia (hasta 30 nov)",$I453="Baja (desde 1 dic)",$I453="Renuncia excepcional (art. 25.3)",$I453="Traslado de expediente")),COUNTIF($AE$1:AE452,"&gt;0")+1,"")</f>
      </c>
      <c r="AF453">
        <f>IF($Q453="Disponible",COUNTIF($AF$1:AF452,"&gt;0")+1,"")</f>
      </c>
      <c r="AG453">
        <f>IF($O453="Sí",COUNTIF($AG$1:AG452,"&gt;0")+1,"")</f>
      </c>
      <c r="AH453">
        <f>IF(AND($Q453="Disponible",$O453&lt;&gt;"Sí"),COUNTIF($AH$1:AH452,"&gt;0")+1,"")</f>
      </c>
      <c r="AI453">
        <f>IF(AND($Q453="Disponible",$K453&lt;&gt;""),COUNTIFS($K$2:K453,K453,$Q$2:Q453,"Disponible"),"")</f>
      </c>
      <c r="AJ453">
        <f>IF(AI453&lt;&gt;"",K453&amp;"|"&amp;AI453,"")</f>
      </c>
      <c r="AK453">
        <f>IF(AND($Q453="No disponible",OR($R453="Lista de espera · propio centro",$R453="Traslado de expediente",$R453="Lista de espera · otro centro"),$O453="Sí"),"la plaza ya tiene alumno y sigue marcada como refuerzo, ","")&amp;IF(AND($R453="Reconvertida en refuerzo",$O453&lt;&gt;"Sí"),"reconvertida en refuerzo pero sin marcar «En uso como refuerzo», ","")</f>
      </c>
    </row>
    <row r="454" spans="1:37">
      <c r="A454" s="20">
        <f>IF(D454&lt;&gt;"",ROW()-1,"")</f>
      </c>
      <c r="B454" s="55"/>
      <c r="C454" s="56"/>
      <c r="D454" s="56"/>
      <c r="E454" s="56"/>
      <c r="F454" s="56"/>
      <c r="G454" s="56"/>
      <c r="H454" s="56"/>
      <c r="I454" s="56"/>
      <c r="J454" s="57"/>
      <c r="K454" s="56"/>
      <c r="L454" s="58"/>
      <c r="M454" s="58">
        <f>IF(L454="","",L454)</f>
      </c>
      <c r="N454" s="56"/>
      <c r="O454" s="56"/>
      <c r="P454" s="57"/>
      <c r="Q454" s="56"/>
      <c r="R454" s="56"/>
      <c r="S454" s="56"/>
      <c r="T454" s="56"/>
      <c r="U454" s="56"/>
      <c r="V454" s="57"/>
      <c r="W454">
        <f>IF(Q454="Disponible",COUNTIFS($D$2:D454,D454,$Q$2:Q454,"Disponible"),"")</f>
      </c>
      <c r="X454">
        <f>IF(W454&lt;&gt;"",D454&amp;"|"&amp;W454,"")</f>
      </c>
      <c r="Y454">
        <f>IF(X454&lt;&gt;"",IF(K454&lt;&gt;"",K454&amp;" ("&amp;M454&amp;")",M454),"")</f>
      </c>
      <c r="Z454">
        <f>IF(O454="Sí",COUNTIFS($D$2:D454,D454,$O$2:O454,"Sí"),"")</f>
      </c>
      <c r="AA454">
        <f>IF(Z454&lt;&gt;"",D454&amp;"|"&amp;Z454,"")</f>
      </c>
      <c r="AB454">
        <f>IF(AA454&lt;&gt;"",IF(K454&lt;&gt;"",K454&amp;" ("&amp;M454&amp;")",M454),"")</f>
      </c>
      <c r="AC454">
        <f>IF($B454="","fecha, ","")&amp;IF($C454="","quién lo introduce, ","")&amp;IF($I454="","motivo, ","")&amp;IF($K454="","docente, ","")&amp;IF($L454="","horario, ","")&amp;IF($N454="","duración, ","")&amp;IF($Q454="","estado, ","")&amp;IF(AND($I454="Otros",$J454=""),"detalle del motivo, ","")&amp;IF(AND($O454="Sí",$P454=""),"detalle del refuerzo, ","")&amp;IF(AND(OR($I454="Renuncia (hasta 30 nov)",$I454="Baja (desde 1 dic)",$I454="Renuncia excepcional (art. 25.3)",$I454="Traslado de expediente"),OR($E454="",$F454="",$G454="")),"quién deja la plaza, ","")&amp;IF(AND($Q454="No disponible",$R454=""),"vía de cobertura, ","")&amp;IF(AND(OR($R454="Lista de espera · propio centro",$R454="Traslado de expediente",$R454="Lista de espera · otro centro"),OR($S454="",$T454="",$U454="")),"quién ocupa la plaza, ","")</f>
      </c>
      <c r="AD454" s="24">
        <f>IF($D454="","",IF(AND(LEN($AC454)=0,LEN($AK454)=0),"Completa",IF(LEN($AC454)=0,"Revisar: "&amp;LEFT($AK454,LEN($AK454)-2),"Falta: "&amp;LEFT($AC454,LEN($AC454)-2)&amp;IF(LEN($AK454)&gt;0,"  ·  Revisar: "&amp;LEFT($AK454,LEN($AK454)-2),""))))</f>
      </c>
      <c r="AE454">
        <f>IF(AND($D454&lt;&gt;"",OR($I454="Renuncia (hasta 30 nov)",$I454="Baja (desde 1 dic)",$I454="Renuncia excepcional (art. 25.3)",$I454="Traslado de expediente")),COUNTIF($AE$1:AE453,"&gt;0")+1,"")</f>
      </c>
      <c r="AF454">
        <f>IF($Q454="Disponible",COUNTIF($AF$1:AF453,"&gt;0")+1,"")</f>
      </c>
      <c r="AG454">
        <f>IF($O454="Sí",COUNTIF($AG$1:AG453,"&gt;0")+1,"")</f>
      </c>
      <c r="AH454">
        <f>IF(AND($Q454="Disponible",$O454&lt;&gt;"Sí"),COUNTIF($AH$1:AH453,"&gt;0")+1,"")</f>
      </c>
      <c r="AI454">
        <f>IF(AND($Q454="Disponible",$K454&lt;&gt;""),COUNTIFS($K$2:K454,K454,$Q$2:Q454,"Disponible"),"")</f>
      </c>
      <c r="AJ454">
        <f>IF(AI454&lt;&gt;"",K454&amp;"|"&amp;AI454,"")</f>
      </c>
      <c r="AK454">
        <f>IF(AND($Q454="No disponible",OR($R454="Lista de espera · propio centro",$R454="Traslado de expediente",$R454="Lista de espera · otro centro"),$O454="Sí"),"la plaza ya tiene alumno y sigue marcada como refuerzo, ","")&amp;IF(AND($R454="Reconvertida en refuerzo",$O454&lt;&gt;"Sí"),"reconvertida en refuerzo pero sin marcar «En uso como refuerzo», ","")</f>
      </c>
    </row>
    <row r="455" spans="1:37">
      <c r="A455" s="20">
        <f>IF(D455&lt;&gt;"",ROW()-1,"")</f>
      </c>
      <c r="B455" s="55"/>
      <c r="C455" s="56"/>
      <c r="D455" s="56"/>
      <c r="E455" s="56"/>
      <c r="F455" s="56"/>
      <c r="G455" s="56"/>
      <c r="H455" s="56"/>
      <c r="I455" s="56"/>
      <c r="J455" s="57"/>
      <c r="K455" s="56"/>
      <c r="L455" s="58"/>
      <c r="M455" s="58">
        <f>IF(L455="","",L455)</f>
      </c>
      <c r="N455" s="56"/>
      <c r="O455" s="56"/>
      <c r="P455" s="57"/>
      <c r="Q455" s="56"/>
      <c r="R455" s="56"/>
      <c r="S455" s="56"/>
      <c r="T455" s="56"/>
      <c r="U455" s="56"/>
      <c r="V455" s="57"/>
      <c r="W455">
        <f>IF(Q455="Disponible",COUNTIFS($D$2:D455,D455,$Q$2:Q455,"Disponible"),"")</f>
      </c>
      <c r="X455">
        <f>IF(W455&lt;&gt;"",D455&amp;"|"&amp;W455,"")</f>
      </c>
      <c r="Y455">
        <f>IF(X455&lt;&gt;"",IF(K455&lt;&gt;"",K455&amp;" ("&amp;M455&amp;")",M455),"")</f>
      </c>
      <c r="Z455">
        <f>IF(O455="Sí",COUNTIFS($D$2:D455,D455,$O$2:O455,"Sí"),"")</f>
      </c>
      <c r="AA455">
        <f>IF(Z455&lt;&gt;"",D455&amp;"|"&amp;Z455,"")</f>
      </c>
      <c r="AB455">
        <f>IF(AA455&lt;&gt;"",IF(K455&lt;&gt;"",K455&amp;" ("&amp;M455&amp;")",M455),"")</f>
      </c>
      <c r="AC455">
        <f>IF($B455="","fecha, ","")&amp;IF($C455="","quién lo introduce, ","")&amp;IF($I455="","motivo, ","")&amp;IF($K455="","docente, ","")&amp;IF($L455="","horario, ","")&amp;IF($N455="","duración, ","")&amp;IF($Q455="","estado, ","")&amp;IF(AND($I455="Otros",$J455=""),"detalle del motivo, ","")&amp;IF(AND($O455="Sí",$P455=""),"detalle del refuerzo, ","")&amp;IF(AND(OR($I455="Renuncia (hasta 30 nov)",$I455="Baja (desde 1 dic)",$I455="Renuncia excepcional (art. 25.3)",$I455="Traslado de expediente"),OR($E455="",$F455="",$G455="")),"quién deja la plaza, ","")&amp;IF(AND($Q455="No disponible",$R455=""),"vía de cobertura, ","")&amp;IF(AND(OR($R455="Lista de espera · propio centro",$R455="Traslado de expediente",$R455="Lista de espera · otro centro"),OR($S455="",$T455="",$U455="")),"quién ocupa la plaza, ","")</f>
      </c>
      <c r="AD455" s="24">
        <f>IF($D455="","",IF(AND(LEN($AC455)=0,LEN($AK455)=0),"Completa",IF(LEN($AC455)=0,"Revisar: "&amp;LEFT($AK455,LEN($AK455)-2),"Falta: "&amp;LEFT($AC455,LEN($AC455)-2)&amp;IF(LEN($AK455)&gt;0,"  ·  Revisar: "&amp;LEFT($AK455,LEN($AK455)-2),""))))</f>
      </c>
      <c r="AE455">
        <f>IF(AND($D455&lt;&gt;"",OR($I455="Renuncia (hasta 30 nov)",$I455="Baja (desde 1 dic)",$I455="Renuncia excepcional (art. 25.3)",$I455="Traslado de expediente")),COUNTIF($AE$1:AE454,"&gt;0")+1,"")</f>
      </c>
      <c r="AF455">
        <f>IF($Q455="Disponible",COUNTIF($AF$1:AF454,"&gt;0")+1,"")</f>
      </c>
      <c r="AG455">
        <f>IF($O455="Sí",COUNTIF($AG$1:AG454,"&gt;0")+1,"")</f>
      </c>
      <c r="AH455">
        <f>IF(AND($Q455="Disponible",$O455&lt;&gt;"Sí"),COUNTIF($AH$1:AH454,"&gt;0")+1,"")</f>
      </c>
      <c r="AI455">
        <f>IF(AND($Q455="Disponible",$K455&lt;&gt;""),COUNTIFS($K$2:K455,K455,$Q$2:Q455,"Disponible"),"")</f>
      </c>
      <c r="AJ455">
        <f>IF(AI455&lt;&gt;"",K455&amp;"|"&amp;AI455,"")</f>
      </c>
      <c r="AK455">
        <f>IF(AND($Q455="No disponible",OR($R455="Lista de espera · propio centro",$R455="Traslado de expediente",$R455="Lista de espera · otro centro"),$O455="Sí"),"la plaza ya tiene alumno y sigue marcada como refuerzo, ","")&amp;IF(AND($R455="Reconvertida en refuerzo",$O455&lt;&gt;"Sí"),"reconvertida en refuerzo pero sin marcar «En uso como refuerzo», ","")</f>
      </c>
    </row>
    <row r="456" spans="1:37">
      <c r="A456" s="20">
        <f>IF(D456&lt;&gt;"",ROW()-1,"")</f>
      </c>
      <c r="B456" s="55"/>
      <c r="C456" s="56"/>
      <c r="D456" s="56"/>
      <c r="E456" s="56"/>
      <c r="F456" s="56"/>
      <c r="G456" s="56"/>
      <c r="H456" s="56"/>
      <c r="I456" s="56"/>
      <c r="J456" s="57"/>
      <c r="K456" s="56"/>
      <c r="L456" s="58"/>
      <c r="M456" s="58">
        <f>IF(L456="","",L456)</f>
      </c>
      <c r="N456" s="56"/>
      <c r="O456" s="56"/>
      <c r="P456" s="57"/>
      <c r="Q456" s="56"/>
      <c r="R456" s="56"/>
      <c r="S456" s="56"/>
      <c r="T456" s="56"/>
      <c r="U456" s="56"/>
      <c r="V456" s="57"/>
      <c r="W456">
        <f>IF(Q456="Disponible",COUNTIFS($D$2:D456,D456,$Q$2:Q456,"Disponible"),"")</f>
      </c>
      <c r="X456">
        <f>IF(W456&lt;&gt;"",D456&amp;"|"&amp;W456,"")</f>
      </c>
      <c r="Y456">
        <f>IF(X456&lt;&gt;"",IF(K456&lt;&gt;"",K456&amp;" ("&amp;M456&amp;")",M456),"")</f>
      </c>
      <c r="Z456">
        <f>IF(O456="Sí",COUNTIFS($D$2:D456,D456,$O$2:O456,"Sí"),"")</f>
      </c>
      <c r="AA456">
        <f>IF(Z456&lt;&gt;"",D456&amp;"|"&amp;Z456,"")</f>
      </c>
      <c r="AB456">
        <f>IF(AA456&lt;&gt;"",IF(K456&lt;&gt;"",K456&amp;" ("&amp;M456&amp;")",M456),"")</f>
      </c>
      <c r="AC456">
        <f>IF($B456="","fecha, ","")&amp;IF($C456="","quién lo introduce, ","")&amp;IF($I456="","motivo, ","")&amp;IF($K456="","docente, ","")&amp;IF($L456="","horario, ","")&amp;IF($N456="","duración, ","")&amp;IF($Q456="","estado, ","")&amp;IF(AND($I456="Otros",$J456=""),"detalle del motivo, ","")&amp;IF(AND($O456="Sí",$P456=""),"detalle del refuerzo, ","")&amp;IF(AND(OR($I456="Renuncia (hasta 30 nov)",$I456="Baja (desde 1 dic)",$I456="Renuncia excepcional (art. 25.3)",$I456="Traslado de expediente"),OR($E456="",$F456="",$G456="")),"quién deja la plaza, ","")&amp;IF(AND($Q456="No disponible",$R456=""),"vía de cobertura, ","")&amp;IF(AND(OR($R456="Lista de espera · propio centro",$R456="Traslado de expediente",$R456="Lista de espera · otro centro"),OR($S456="",$T456="",$U456="")),"quién ocupa la plaza, ","")</f>
      </c>
      <c r="AD456" s="24">
        <f>IF($D456="","",IF(AND(LEN($AC456)=0,LEN($AK456)=0),"Completa",IF(LEN($AC456)=0,"Revisar: "&amp;LEFT($AK456,LEN($AK456)-2),"Falta: "&amp;LEFT($AC456,LEN($AC456)-2)&amp;IF(LEN($AK456)&gt;0,"  ·  Revisar: "&amp;LEFT($AK456,LEN($AK456)-2),""))))</f>
      </c>
      <c r="AE456">
        <f>IF(AND($D456&lt;&gt;"",OR($I456="Renuncia (hasta 30 nov)",$I456="Baja (desde 1 dic)",$I456="Renuncia excepcional (art. 25.3)",$I456="Traslado de expediente")),COUNTIF($AE$1:AE455,"&gt;0")+1,"")</f>
      </c>
      <c r="AF456">
        <f>IF($Q456="Disponible",COUNTIF($AF$1:AF455,"&gt;0")+1,"")</f>
      </c>
      <c r="AG456">
        <f>IF($O456="Sí",COUNTIF($AG$1:AG455,"&gt;0")+1,"")</f>
      </c>
      <c r="AH456">
        <f>IF(AND($Q456="Disponible",$O456&lt;&gt;"Sí"),COUNTIF($AH$1:AH455,"&gt;0")+1,"")</f>
      </c>
      <c r="AI456">
        <f>IF(AND($Q456="Disponible",$K456&lt;&gt;""),COUNTIFS($K$2:K456,K456,$Q$2:Q456,"Disponible"),"")</f>
      </c>
      <c r="AJ456">
        <f>IF(AI456&lt;&gt;"",K456&amp;"|"&amp;AI456,"")</f>
      </c>
      <c r="AK456">
        <f>IF(AND($Q456="No disponible",OR($R456="Lista de espera · propio centro",$R456="Traslado de expediente",$R456="Lista de espera · otro centro"),$O456="Sí"),"la plaza ya tiene alumno y sigue marcada como refuerzo, ","")&amp;IF(AND($R456="Reconvertida en refuerzo",$O456&lt;&gt;"Sí"),"reconvertida en refuerzo pero sin marcar «En uso como refuerzo», ","")</f>
      </c>
    </row>
    <row r="457" spans="1:37">
      <c r="A457" s="20">
        <f>IF(D457&lt;&gt;"",ROW()-1,"")</f>
      </c>
      <c r="B457" s="55"/>
      <c r="C457" s="56"/>
      <c r="D457" s="56"/>
      <c r="E457" s="56"/>
      <c r="F457" s="56"/>
      <c r="G457" s="56"/>
      <c r="H457" s="56"/>
      <c r="I457" s="56"/>
      <c r="J457" s="57"/>
      <c r="K457" s="56"/>
      <c r="L457" s="58"/>
      <c r="M457" s="58">
        <f>IF(L457="","",L457)</f>
      </c>
      <c r="N457" s="56"/>
      <c r="O457" s="56"/>
      <c r="P457" s="57"/>
      <c r="Q457" s="56"/>
      <c r="R457" s="56"/>
      <c r="S457" s="56"/>
      <c r="T457" s="56"/>
      <c r="U457" s="56"/>
      <c r="V457" s="57"/>
      <c r="W457">
        <f>IF(Q457="Disponible",COUNTIFS($D$2:D457,D457,$Q$2:Q457,"Disponible"),"")</f>
      </c>
      <c r="X457">
        <f>IF(W457&lt;&gt;"",D457&amp;"|"&amp;W457,"")</f>
      </c>
      <c r="Y457">
        <f>IF(X457&lt;&gt;"",IF(K457&lt;&gt;"",K457&amp;" ("&amp;M457&amp;")",M457),"")</f>
      </c>
      <c r="Z457">
        <f>IF(O457="Sí",COUNTIFS($D$2:D457,D457,$O$2:O457,"Sí"),"")</f>
      </c>
      <c r="AA457">
        <f>IF(Z457&lt;&gt;"",D457&amp;"|"&amp;Z457,"")</f>
      </c>
      <c r="AB457">
        <f>IF(AA457&lt;&gt;"",IF(K457&lt;&gt;"",K457&amp;" ("&amp;M457&amp;")",M457),"")</f>
      </c>
      <c r="AC457">
        <f>IF($B457="","fecha, ","")&amp;IF($C457="","quién lo introduce, ","")&amp;IF($I457="","motivo, ","")&amp;IF($K457="","docente, ","")&amp;IF($L457="","horario, ","")&amp;IF($N457="","duración, ","")&amp;IF($Q457="","estado, ","")&amp;IF(AND($I457="Otros",$J457=""),"detalle del motivo, ","")&amp;IF(AND($O457="Sí",$P457=""),"detalle del refuerzo, ","")&amp;IF(AND(OR($I457="Renuncia (hasta 30 nov)",$I457="Baja (desde 1 dic)",$I457="Renuncia excepcional (art. 25.3)",$I457="Traslado de expediente"),OR($E457="",$F457="",$G457="")),"quién deja la plaza, ","")&amp;IF(AND($Q457="No disponible",$R457=""),"vía de cobertura, ","")&amp;IF(AND(OR($R457="Lista de espera · propio centro",$R457="Traslado de expediente",$R457="Lista de espera · otro centro"),OR($S457="",$T457="",$U457="")),"quién ocupa la plaza, ","")</f>
      </c>
      <c r="AD457" s="24">
        <f>IF($D457="","",IF(AND(LEN($AC457)=0,LEN($AK457)=0),"Completa",IF(LEN($AC457)=0,"Revisar: "&amp;LEFT($AK457,LEN($AK457)-2),"Falta: "&amp;LEFT($AC457,LEN($AC457)-2)&amp;IF(LEN($AK457)&gt;0,"  ·  Revisar: "&amp;LEFT($AK457,LEN($AK457)-2),""))))</f>
      </c>
      <c r="AE457">
        <f>IF(AND($D457&lt;&gt;"",OR($I457="Renuncia (hasta 30 nov)",$I457="Baja (desde 1 dic)",$I457="Renuncia excepcional (art. 25.3)",$I457="Traslado de expediente")),COUNTIF($AE$1:AE456,"&gt;0")+1,"")</f>
      </c>
      <c r="AF457">
        <f>IF($Q457="Disponible",COUNTIF($AF$1:AF456,"&gt;0")+1,"")</f>
      </c>
      <c r="AG457">
        <f>IF($O457="Sí",COUNTIF($AG$1:AG456,"&gt;0")+1,"")</f>
      </c>
      <c r="AH457">
        <f>IF(AND($Q457="Disponible",$O457&lt;&gt;"Sí"),COUNTIF($AH$1:AH456,"&gt;0")+1,"")</f>
      </c>
      <c r="AI457">
        <f>IF(AND($Q457="Disponible",$K457&lt;&gt;""),COUNTIFS($K$2:K457,K457,$Q$2:Q457,"Disponible"),"")</f>
      </c>
      <c r="AJ457">
        <f>IF(AI457&lt;&gt;"",K457&amp;"|"&amp;AI457,"")</f>
      </c>
      <c r="AK457">
        <f>IF(AND($Q457="No disponible",OR($R457="Lista de espera · propio centro",$R457="Traslado de expediente",$R457="Lista de espera · otro centro"),$O457="Sí"),"la plaza ya tiene alumno y sigue marcada como refuerzo, ","")&amp;IF(AND($R457="Reconvertida en refuerzo",$O457&lt;&gt;"Sí"),"reconvertida en refuerzo pero sin marcar «En uso como refuerzo», ","")</f>
      </c>
    </row>
    <row r="458" spans="1:37">
      <c r="A458" s="20">
        <f>IF(D458&lt;&gt;"",ROW()-1,"")</f>
      </c>
      <c r="B458" s="55"/>
      <c r="C458" s="56"/>
      <c r="D458" s="56"/>
      <c r="E458" s="56"/>
      <c r="F458" s="56"/>
      <c r="G458" s="56"/>
      <c r="H458" s="56"/>
      <c r="I458" s="56"/>
      <c r="J458" s="57"/>
      <c r="K458" s="56"/>
      <c r="L458" s="58"/>
      <c r="M458" s="58">
        <f>IF(L458="","",L458)</f>
      </c>
      <c r="N458" s="56"/>
      <c r="O458" s="56"/>
      <c r="P458" s="57"/>
      <c r="Q458" s="56"/>
      <c r="R458" s="56"/>
      <c r="S458" s="56"/>
      <c r="T458" s="56"/>
      <c r="U458" s="56"/>
      <c r="V458" s="57"/>
      <c r="W458">
        <f>IF(Q458="Disponible",COUNTIFS($D$2:D458,D458,$Q$2:Q458,"Disponible"),"")</f>
      </c>
      <c r="X458">
        <f>IF(W458&lt;&gt;"",D458&amp;"|"&amp;W458,"")</f>
      </c>
      <c r="Y458">
        <f>IF(X458&lt;&gt;"",IF(K458&lt;&gt;"",K458&amp;" ("&amp;M458&amp;")",M458),"")</f>
      </c>
      <c r="Z458">
        <f>IF(O458="Sí",COUNTIFS($D$2:D458,D458,$O$2:O458,"Sí"),"")</f>
      </c>
      <c r="AA458">
        <f>IF(Z458&lt;&gt;"",D458&amp;"|"&amp;Z458,"")</f>
      </c>
      <c r="AB458">
        <f>IF(AA458&lt;&gt;"",IF(K458&lt;&gt;"",K458&amp;" ("&amp;M458&amp;")",M458),"")</f>
      </c>
      <c r="AC458">
        <f>IF($B458="","fecha, ","")&amp;IF($C458="","quién lo introduce, ","")&amp;IF($I458="","motivo, ","")&amp;IF($K458="","docente, ","")&amp;IF($L458="","horario, ","")&amp;IF($N458="","duración, ","")&amp;IF($Q458="","estado, ","")&amp;IF(AND($I458="Otros",$J458=""),"detalle del motivo, ","")&amp;IF(AND($O458="Sí",$P458=""),"detalle del refuerzo, ","")&amp;IF(AND(OR($I458="Renuncia (hasta 30 nov)",$I458="Baja (desde 1 dic)",$I458="Renuncia excepcional (art. 25.3)",$I458="Traslado de expediente"),OR($E458="",$F458="",$G458="")),"quién deja la plaza, ","")&amp;IF(AND($Q458="No disponible",$R458=""),"vía de cobertura, ","")&amp;IF(AND(OR($R458="Lista de espera · propio centro",$R458="Traslado de expediente",$R458="Lista de espera · otro centro"),OR($S458="",$T458="",$U458="")),"quién ocupa la plaza, ","")</f>
      </c>
      <c r="AD458" s="24">
        <f>IF($D458="","",IF(AND(LEN($AC458)=0,LEN($AK458)=0),"Completa",IF(LEN($AC458)=0,"Revisar: "&amp;LEFT($AK458,LEN($AK458)-2),"Falta: "&amp;LEFT($AC458,LEN($AC458)-2)&amp;IF(LEN($AK458)&gt;0,"  ·  Revisar: "&amp;LEFT($AK458,LEN($AK458)-2),""))))</f>
      </c>
      <c r="AE458">
        <f>IF(AND($D458&lt;&gt;"",OR($I458="Renuncia (hasta 30 nov)",$I458="Baja (desde 1 dic)",$I458="Renuncia excepcional (art. 25.3)",$I458="Traslado de expediente")),COUNTIF($AE$1:AE457,"&gt;0")+1,"")</f>
      </c>
      <c r="AF458">
        <f>IF($Q458="Disponible",COUNTIF($AF$1:AF457,"&gt;0")+1,"")</f>
      </c>
      <c r="AG458">
        <f>IF($O458="Sí",COUNTIF($AG$1:AG457,"&gt;0")+1,"")</f>
      </c>
      <c r="AH458">
        <f>IF(AND($Q458="Disponible",$O458&lt;&gt;"Sí"),COUNTIF($AH$1:AH457,"&gt;0")+1,"")</f>
      </c>
      <c r="AI458">
        <f>IF(AND($Q458="Disponible",$K458&lt;&gt;""),COUNTIFS($K$2:K458,K458,$Q$2:Q458,"Disponible"),"")</f>
      </c>
      <c r="AJ458">
        <f>IF(AI458&lt;&gt;"",K458&amp;"|"&amp;AI458,"")</f>
      </c>
      <c r="AK458">
        <f>IF(AND($Q458="No disponible",OR($R458="Lista de espera · propio centro",$R458="Traslado de expediente",$R458="Lista de espera · otro centro"),$O458="Sí"),"la plaza ya tiene alumno y sigue marcada como refuerzo, ","")&amp;IF(AND($R458="Reconvertida en refuerzo",$O458&lt;&gt;"Sí"),"reconvertida en refuerzo pero sin marcar «En uso como refuerzo», ","")</f>
      </c>
    </row>
    <row r="459" spans="1:37">
      <c r="A459" s="20">
        <f>IF(D459&lt;&gt;"",ROW()-1,"")</f>
      </c>
      <c r="B459" s="55"/>
      <c r="C459" s="56"/>
      <c r="D459" s="56"/>
      <c r="E459" s="56"/>
      <c r="F459" s="56"/>
      <c r="G459" s="56"/>
      <c r="H459" s="56"/>
      <c r="I459" s="56"/>
      <c r="J459" s="57"/>
      <c r="K459" s="56"/>
      <c r="L459" s="58"/>
      <c r="M459" s="58">
        <f>IF(L459="","",L459)</f>
      </c>
      <c r="N459" s="56"/>
      <c r="O459" s="56"/>
      <c r="P459" s="57"/>
      <c r="Q459" s="56"/>
      <c r="R459" s="56"/>
      <c r="S459" s="56"/>
      <c r="T459" s="56"/>
      <c r="U459" s="56"/>
      <c r="V459" s="57"/>
      <c r="W459">
        <f>IF(Q459="Disponible",COUNTIFS($D$2:D459,D459,$Q$2:Q459,"Disponible"),"")</f>
      </c>
      <c r="X459">
        <f>IF(W459&lt;&gt;"",D459&amp;"|"&amp;W459,"")</f>
      </c>
      <c r="Y459">
        <f>IF(X459&lt;&gt;"",IF(K459&lt;&gt;"",K459&amp;" ("&amp;M459&amp;")",M459),"")</f>
      </c>
      <c r="Z459">
        <f>IF(O459="Sí",COUNTIFS($D$2:D459,D459,$O$2:O459,"Sí"),"")</f>
      </c>
      <c r="AA459">
        <f>IF(Z459&lt;&gt;"",D459&amp;"|"&amp;Z459,"")</f>
      </c>
      <c r="AB459">
        <f>IF(AA459&lt;&gt;"",IF(K459&lt;&gt;"",K459&amp;" ("&amp;M459&amp;")",M459),"")</f>
      </c>
      <c r="AC459">
        <f>IF($B459="","fecha, ","")&amp;IF($C459="","quién lo introduce, ","")&amp;IF($I459="","motivo, ","")&amp;IF($K459="","docente, ","")&amp;IF($L459="","horario, ","")&amp;IF($N459="","duración, ","")&amp;IF($Q459="","estado, ","")&amp;IF(AND($I459="Otros",$J459=""),"detalle del motivo, ","")&amp;IF(AND($O459="Sí",$P459=""),"detalle del refuerzo, ","")&amp;IF(AND(OR($I459="Renuncia (hasta 30 nov)",$I459="Baja (desde 1 dic)",$I459="Renuncia excepcional (art. 25.3)",$I459="Traslado de expediente"),OR($E459="",$F459="",$G459="")),"quién deja la plaza, ","")&amp;IF(AND($Q459="No disponible",$R459=""),"vía de cobertura, ","")&amp;IF(AND(OR($R459="Lista de espera · propio centro",$R459="Traslado de expediente",$R459="Lista de espera · otro centro"),OR($S459="",$T459="",$U459="")),"quién ocupa la plaza, ","")</f>
      </c>
      <c r="AD459" s="24">
        <f>IF($D459="","",IF(AND(LEN($AC459)=0,LEN($AK459)=0),"Completa",IF(LEN($AC459)=0,"Revisar: "&amp;LEFT($AK459,LEN($AK459)-2),"Falta: "&amp;LEFT($AC459,LEN($AC459)-2)&amp;IF(LEN($AK459)&gt;0,"  ·  Revisar: "&amp;LEFT($AK459,LEN($AK459)-2),""))))</f>
      </c>
      <c r="AE459">
        <f>IF(AND($D459&lt;&gt;"",OR($I459="Renuncia (hasta 30 nov)",$I459="Baja (desde 1 dic)",$I459="Renuncia excepcional (art. 25.3)",$I459="Traslado de expediente")),COUNTIF($AE$1:AE458,"&gt;0")+1,"")</f>
      </c>
      <c r="AF459">
        <f>IF($Q459="Disponible",COUNTIF($AF$1:AF458,"&gt;0")+1,"")</f>
      </c>
      <c r="AG459">
        <f>IF($O459="Sí",COUNTIF($AG$1:AG458,"&gt;0")+1,"")</f>
      </c>
      <c r="AH459">
        <f>IF(AND($Q459="Disponible",$O459&lt;&gt;"Sí"),COUNTIF($AH$1:AH458,"&gt;0")+1,"")</f>
      </c>
      <c r="AI459">
        <f>IF(AND($Q459="Disponible",$K459&lt;&gt;""),COUNTIFS($K$2:K459,K459,$Q$2:Q459,"Disponible"),"")</f>
      </c>
      <c r="AJ459">
        <f>IF(AI459&lt;&gt;"",K459&amp;"|"&amp;AI459,"")</f>
      </c>
      <c r="AK459">
        <f>IF(AND($Q459="No disponible",OR($R459="Lista de espera · propio centro",$R459="Traslado de expediente",$R459="Lista de espera · otro centro"),$O459="Sí"),"la plaza ya tiene alumno y sigue marcada como refuerzo, ","")&amp;IF(AND($R459="Reconvertida en refuerzo",$O459&lt;&gt;"Sí"),"reconvertida en refuerzo pero sin marcar «En uso como refuerzo», ","")</f>
      </c>
    </row>
    <row r="460" spans="1:37">
      <c r="A460" s="20">
        <f>IF(D460&lt;&gt;"",ROW()-1,"")</f>
      </c>
      <c r="B460" s="55"/>
      <c r="C460" s="56"/>
      <c r="D460" s="56"/>
      <c r="E460" s="56"/>
      <c r="F460" s="56"/>
      <c r="G460" s="56"/>
      <c r="H460" s="56"/>
      <c r="I460" s="56"/>
      <c r="J460" s="57"/>
      <c r="K460" s="56"/>
      <c r="L460" s="58"/>
      <c r="M460" s="58">
        <f>IF(L460="","",L460)</f>
      </c>
      <c r="N460" s="56"/>
      <c r="O460" s="56"/>
      <c r="P460" s="57"/>
      <c r="Q460" s="56"/>
      <c r="R460" s="56"/>
      <c r="S460" s="56"/>
      <c r="T460" s="56"/>
      <c r="U460" s="56"/>
      <c r="V460" s="57"/>
      <c r="W460">
        <f>IF(Q460="Disponible",COUNTIFS($D$2:D460,D460,$Q$2:Q460,"Disponible"),"")</f>
      </c>
      <c r="X460">
        <f>IF(W460&lt;&gt;"",D460&amp;"|"&amp;W460,"")</f>
      </c>
      <c r="Y460">
        <f>IF(X460&lt;&gt;"",IF(K460&lt;&gt;"",K460&amp;" ("&amp;M460&amp;")",M460),"")</f>
      </c>
      <c r="Z460">
        <f>IF(O460="Sí",COUNTIFS($D$2:D460,D460,$O$2:O460,"Sí"),"")</f>
      </c>
      <c r="AA460">
        <f>IF(Z460&lt;&gt;"",D460&amp;"|"&amp;Z460,"")</f>
      </c>
      <c r="AB460">
        <f>IF(AA460&lt;&gt;"",IF(K460&lt;&gt;"",K460&amp;" ("&amp;M460&amp;")",M460),"")</f>
      </c>
      <c r="AC460">
        <f>IF($B460="","fecha, ","")&amp;IF($C460="","quién lo introduce, ","")&amp;IF($I460="","motivo, ","")&amp;IF($K460="","docente, ","")&amp;IF($L460="","horario, ","")&amp;IF($N460="","duración, ","")&amp;IF($Q460="","estado, ","")&amp;IF(AND($I460="Otros",$J460=""),"detalle del motivo, ","")&amp;IF(AND($O460="Sí",$P460=""),"detalle del refuerzo, ","")&amp;IF(AND(OR($I460="Renuncia (hasta 30 nov)",$I460="Baja (desde 1 dic)",$I460="Renuncia excepcional (art. 25.3)",$I460="Traslado de expediente"),OR($E460="",$F460="",$G460="")),"quién deja la plaza, ","")&amp;IF(AND($Q460="No disponible",$R460=""),"vía de cobertura, ","")&amp;IF(AND(OR($R460="Lista de espera · propio centro",$R460="Traslado de expediente",$R460="Lista de espera · otro centro"),OR($S460="",$T460="",$U460="")),"quién ocupa la plaza, ","")</f>
      </c>
      <c r="AD460" s="24">
        <f>IF($D460="","",IF(AND(LEN($AC460)=0,LEN($AK460)=0),"Completa",IF(LEN($AC460)=0,"Revisar: "&amp;LEFT($AK460,LEN($AK460)-2),"Falta: "&amp;LEFT($AC460,LEN($AC460)-2)&amp;IF(LEN($AK460)&gt;0,"  ·  Revisar: "&amp;LEFT($AK460,LEN($AK460)-2),""))))</f>
      </c>
      <c r="AE460">
        <f>IF(AND($D460&lt;&gt;"",OR($I460="Renuncia (hasta 30 nov)",$I460="Baja (desde 1 dic)",$I460="Renuncia excepcional (art. 25.3)",$I460="Traslado de expediente")),COUNTIF($AE$1:AE459,"&gt;0")+1,"")</f>
      </c>
      <c r="AF460">
        <f>IF($Q460="Disponible",COUNTIF($AF$1:AF459,"&gt;0")+1,"")</f>
      </c>
      <c r="AG460">
        <f>IF($O460="Sí",COUNTIF($AG$1:AG459,"&gt;0")+1,"")</f>
      </c>
      <c r="AH460">
        <f>IF(AND($Q460="Disponible",$O460&lt;&gt;"Sí"),COUNTIF($AH$1:AH459,"&gt;0")+1,"")</f>
      </c>
      <c r="AI460">
        <f>IF(AND($Q460="Disponible",$K460&lt;&gt;""),COUNTIFS($K$2:K460,K460,$Q$2:Q460,"Disponible"),"")</f>
      </c>
      <c r="AJ460">
        <f>IF(AI460&lt;&gt;"",K460&amp;"|"&amp;AI460,"")</f>
      </c>
      <c r="AK460">
        <f>IF(AND($Q460="No disponible",OR($R460="Lista de espera · propio centro",$R460="Traslado de expediente",$R460="Lista de espera · otro centro"),$O460="Sí"),"la plaza ya tiene alumno y sigue marcada como refuerzo, ","")&amp;IF(AND($R460="Reconvertida en refuerzo",$O460&lt;&gt;"Sí"),"reconvertida en refuerzo pero sin marcar «En uso como refuerzo», ","")</f>
      </c>
    </row>
    <row r="461" spans="1:37">
      <c r="A461" s="20">
        <f>IF(D461&lt;&gt;"",ROW()-1,"")</f>
      </c>
      <c r="B461" s="55"/>
      <c r="C461" s="56"/>
      <c r="D461" s="56"/>
      <c r="E461" s="56"/>
      <c r="F461" s="56"/>
      <c r="G461" s="56"/>
      <c r="H461" s="56"/>
      <c r="I461" s="56"/>
      <c r="J461" s="57"/>
      <c r="K461" s="56"/>
      <c r="L461" s="58"/>
      <c r="M461" s="58">
        <f>IF(L461="","",L461)</f>
      </c>
      <c r="N461" s="56"/>
      <c r="O461" s="56"/>
      <c r="P461" s="57"/>
      <c r="Q461" s="56"/>
      <c r="R461" s="56"/>
      <c r="S461" s="56"/>
      <c r="T461" s="56"/>
      <c r="U461" s="56"/>
      <c r="V461" s="57"/>
      <c r="W461">
        <f>IF(Q461="Disponible",COUNTIFS($D$2:D461,D461,$Q$2:Q461,"Disponible"),"")</f>
      </c>
      <c r="X461">
        <f>IF(W461&lt;&gt;"",D461&amp;"|"&amp;W461,"")</f>
      </c>
      <c r="Y461">
        <f>IF(X461&lt;&gt;"",IF(K461&lt;&gt;"",K461&amp;" ("&amp;M461&amp;")",M461),"")</f>
      </c>
      <c r="Z461">
        <f>IF(O461="Sí",COUNTIFS($D$2:D461,D461,$O$2:O461,"Sí"),"")</f>
      </c>
      <c r="AA461">
        <f>IF(Z461&lt;&gt;"",D461&amp;"|"&amp;Z461,"")</f>
      </c>
      <c r="AB461">
        <f>IF(AA461&lt;&gt;"",IF(K461&lt;&gt;"",K461&amp;" ("&amp;M461&amp;")",M461),"")</f>
      </c>
      <c r="AC461">
        <f>IF($B461="","fecha, ","")&amp;IF($C461="","quién lo introduce, ","")&amp;IF($I461="","motivo, ","")&amp;IF($K461="","docente, ","")&amp;IF($L461="","horario, ","")&amp;IF($N461="","duración, ","")&amp;IF($Q461="","estado, ","")&amp;IF(AND($I461="Otros",$J461=""),"detalle del motivo, ","")&amp;IF(AND($O461="Sí",$P461=""),"detalle del refuerzo, ","")&amp;IF(AND(OR($I461="Renuncia (hasta 30 nov)",$I461="Baja (desde 1 dic)",$I461="Renuncia excepcional (art. 25.3)",$I461="Traslado de expediente"),OR($E461="",$F461="",$G461="")),"quién deja la plaza, ","")&amp;IF(AND($Q461="No disponible",$R461=""),"vía de cobertura, ","")&amp;IF(AND(OR($R461="Lista de espera · propio centro",$R461="Traslado de expediente",$R461="Lista de espera · otro centro"),OR($S461="",$T461="",$U461="")),"quién ocupa la plaza, ","")</f>
      </c>
      <c r="AD461" s="24">
        <f>IF($D461="","",IF(AND(LEN($AC461)=0,LEN($AK461)=0),"Completa",IF(LEN($AC461)=0,"Revisar: "&amp;LEFT($AK461,LEN($AK461)-2),"Falta: "&amp;LEFT($AC461,LEN($AC461)-2)&amp;IF(LEN($AK461)&gt;0,"  ·  Revisar: "&amp;LEFT($AK461,LEN($AK461)-2),""))))</f>
      </c>
      <c r="AE461">
        <f>IF(AND($D461&lt;&gt;"",OR($I461="Renuncia (hasta 30 nov)",$I461="Baja (desde 1 dic)",$I461="Renuncia excepcional (art. 25.3)",$I461="Traslado de expediente")),COUNTIF($AE$1:AE460,"&gt;0")+1,"")</f>
      </c>
      <c r="AF461">
        <f>IF($Q461="Disponible",COUNTIF($AF$1:AF460,"&gt;0")+1,"")</f>
      </c>
      <c r="AG461">
        <f>IF($O461="Sí",COUNTIF($AG$1:AG460,"&gt;0")+1,"")</f>
      </c>
      <c r="AH461">
        <f>IF(AND($Q461="Disponible",$O461&lt;&gt;"Sí"),COUNTIF($AH$1:AH460,"&gt;0")+1,"")</f>
      </c>
      <c r="AI461">
        <f>IF(AND($Q461="Disponible",$K461&lt;&gt;""),COUNTIFS($K$2:K461,K461,$Q$2:Q461,"Disponible"),"")</f>
      </c>
      <c r="AJ461">
        <f>IF(AI461&lt;&gt;"",K461&amp;"|"&amp;AI461,"")</f>
      </c>
      <c r="AK461">
        <f>IF(AND($Q461="No disponible",OR($R461="Lista de espera · propio centro",$R461="Traslado de expediente",$R461="Lista de espera · otro centro"),$O461="Sí"),"la plaza ya tiene alumno y sigue marcada como refuerzo, ","")&amp;IF(AND($R461="Reconvertida en refuerzo",$O461&lt;&gt;"Sí"),"reconvertida en refuerzo pero sin marcar «En uso como refuerzo», ","")</f>
      </c>
    </row>
    <row r="462" spans="1:37">
      <c r="A462" s="20">
        <f>IF(D462&lt;&gt;"",ROW()-1,"")</f>
      </c>
      <c r="B462" s="55"/>
      <c r="C462" s="56"/>
      <c r="D462" s="56"/>
      <c r="E462" s="56"/>
      <c r="F462" s="56"/>
      <c r="G462" s="56"/>
      <c r="H462" s="56"/>
      <c r="I462" s="56"/>
      <c r="J462" s="57"/>
      <c r="K462" s="56"/>
      <c r="L462" s="58"/>
      <c r="M462" s="58">
        <f>IF(L462="","",L462)</f>
      </c>
      <c r="N462" s="56"/>
      <c r="O462" s="56"/>
      <c r="P462" s="57"/>
      <c r="Q462" s="56"/>
      <c r="R462" s="56"/>
      <c r="S462" s="56"/>
      <c r="T462" s="56"/>
      <c r="U462" s="56"/>
      <c r="V462" s="57"/>
      <c r="W462">
        <f>IF(Q462="Disponible",COUNTIFS($D$2:D462,D462,$Q$2:Q462,"Disponible"),"")</f>
      </c>
      <c r="X462">
        <f>IF(W462&lt;&gt;"",D462&amp;"|"&amp;W462,"")</f>
      </c>
      <c r="Y462">
        <f>IF(X462&lt;&gt;"",IF(K462&lt;&gt;"",K462&amp;" ("&amp;M462&amp;")",M462),"")</f>
      </c>
      <c r="Z462">
        <f>IF(O462="Sí",COUNTIFS($D$2:D462,D462,$O$2:O462,"Sí"),"")</f>
      </c>
      <c r="AA462">
        <f>IF(Z462&lt;&gt;"",D462&amp;"|"&amp;Z462,"")</f>
      </c>
      <c r="AB462">
        <f>IF(AA462&lt;&gt;"",IF(K462&lt;&gt;"",K462&amp;" ("&amp;M462&amp;")",M462),"")</f>
      </c>
      <c r="AC462">
        <f>IF($B462="","fecha, ","")&amp;IF($C462="","quién lo introduce, ","")&amp;IF($I462="","motivo, ","")&amp;IF($K462="","docente, ","")&amp;IF($L462="","horario, ","")&amp;IF($N462="","duración, ","")&amp;IF($Q462="","estado, ","")&amp;IF(AND($I462="Otros",$J462=""),"detalle del motivo, ","")&amp;IF(AND($O462="Sí",$P462=""),"detalle del refuerzo, ","")&amp;IF(AND(OR($I462="Renuncia (hasta 30 nov)",$I462="Baja (desde 1 dic)",$I462="Renuncia excepcional (art. 25.3)",$I462="Traslado de expediente"),OR($E462="",$F462="",$G462="")),"quién deja la plaza, ","")&amp;IF(AND($Q462="No disponible",$R462=""),"vía de cobertura, ","")&amp;IF(AND(OR($R462="Lista de espera · propio centro",$R462="Traslado de expediente",$R462="Lista de espera · otro centro"),OR($S462="",$T462="",$U462="")),"quién ocupa la plaza, ","")</f>
      </c>
      <c r="AD462" s="24">
        <f>IF($D462="","",IF(AND(LEN($AC462)=0,LEN($AK462)=0),"Completa",IF(LEN($AC462)=0,"Revisar: "&amp;LEFT($AK462,LEN($AK462)-2),"Falta: "&amp;LEFT($AC462,LEN($AC462)-2)&amp;IF(LEN($AK462)&gt;0,"  ·  Revisar: "&amp;LEFT($AK462,LEN($AK462)-2),""))))</f>
      </c>
      <c r="AE462">
        <f>IF(AND($D462&lt;&gt;"",OR($I462="Renuncia (hasta 30 nov)",$I462="Baja (desde 1 dic)",$I462="Renuncia excepcional (art. 25.3)",$I462="Traslado de expediente")),COUNTIF($AE$1:AE461,"&gt;0")+1,"")</f>
      </c>
      <c r="AF462">
        <f>IF($Q462="Disponible",COUNTIF($AF$1:AF461,"&gt;0")+1,"")</f>
      </c>
      <c r="AG462">
        <f>IF($O462="Sí",COUNTIF($AG$1:AG461,"&gt;0")+1,"")</f>
      </c>
      <c r="AH462">
        <f>IF(AND($Q462="Disponible",$O462&lt;&gt;"Sí"),COUNTIF($AH$1:AH461,"&gt;0")+1,"")</f>
      </c>
      <c r="AI462">
        <f>IF(AND($Q462="Disponible",$K462&lt;&gt;""),COUNTIFS($K$2:K462,K462,$Q$2:Q462,"Disponible"),"")</f>
      </c>
      <c r="AJ462">
        <f>IF(AI462&lt;&gt;"",K462&amp;"|"&amp;AI462,"")</f>
      </c>
      <c r="AK462">
        <f>IF(AND($Q462="No disponible",OR($R462="Lista de espera · propio centro",$R462="Traslado de expediente",$R462="Lista de espera · otro centro"),$O462="Sí"),"la plaza ya tiene alumno y sigue marcada como refuerzo, ","")&amp;IF(AND($R462="Reconvertida en refuerzo",$O462&lt;&gt;"Sí"),"reconvertida en refuerzo pero sin marcar «En uso como refuerzo», ","")</f>
      </c>
    </row>
    <row r="463" spans="1:37">
      <c r="A463" s="20">
        <f>IF(D463&lt;&gt;"",ROW()-1,"")</f>
      </c>
      <c r="B463" s="55"/>
      <c r="C463" s="56"/>
      <c r="D463" s="56"/>
      <c r="E463" s="56"/>
      <c r="F463" s="56"/>
      <c r="G463" s="56"/>
      <c r="H463" s="56"/>
      <c r="I463" s="56"/>
      <c r="J463" s="57"/>
      <c r="K463" s="56"/>
      <c r="L463" s="58"/>
      <c r="M463" s="58">
        <f>IF(L463="","",L463)</f>
      </c>
      <c r="N463" s="56"/>
      <c r="O463" s="56"/>
      <c r="P463" s="57"/>
      <c r="Q463" s="56"/>
      <c r="R463" s="56"/>
      <c r="S463" s="56"/>
      <c r="T463" s="56"/>
      <c r="U463" s="56"/>
      <c r="V463" s="57"/>
      <c r="W463">
        <f>IF(Q463="Disponible",COUNTIFS($D$2:D463,D463,$Q$2:Q463,"Disponible"),"")</f>
      </c>
      <c r="X463">
        <f>IF(W463&lt;&gt;"",D463&amp;"|"&amp;W463,"")</f>
      </c>
      <c r="Y463">
        <f>IF(X463&lt;&gt;"",IF(K463&lt;&gt;"",K463&amp;" ("&amp;M463&amp;")",M463),"")</f>
      </c>
      <c r="Z463">
        <f>IF(O463="Sí",COUNTIFS($D$2:D463,D463,$O$2:O463,"Sí"),"")</f>
      </c>
      <c r="AA463">
        <f>IF(Z463&lt;&gt;"",D463&amp;"|"&amp;Z463,"")</f>
      </c>
      <c r="AB463">
        <f>IF(AA463&lt;&gt;"",IF(K463&lt;&gt;"",K463&amp;" ("&amp;M463&amp;")",M463),"")</f>
      </c>
      <c r="AC463">
        <f>IF($B463="","fecha, ","")&amp;IF($C463="","quién lo introduce, ","")&amp;IF($I463="","motivo, ","")&amp;IF($K463="","docente, ","")&amp;IF($L463="","horario, ","")&amp;IF($N463="","duración, ","")&amp;IF($Q463="","estado, ","")&amp;IF(AND($I463="Otros",$J463=""),"detalle del motivo, ","")&amp;IF(AND($O463="Sí",$P463=""),"detalle del refuerzo, ","")&amp;IF(AND(OR($I463="Renuncia (hasta 30 nov)",$I463="Baja (desde 1 dic)",$I463="Renuncia excepcional (art. 25.3)",$I463="Traslado de expediente"),OR($E463="",$F463="",$G463="")),"quién deja la plaza, ","")&amp;IF(AND($Q463="No disponible",$R463=""),"vía de cobertura, ","")&amp;IF(AND(OR($R463="Lista de espera · propio centro",$R463="Traslado de expediente",$R463="Lista de espera · otro centro"),OR($S463="",$T463="",$U463="")),"quién ocupa la plaza, ","")</f>
      </c>
      <c r="AD463" s="24">
        <f>IF($D463="","",IF(AND(LEN($AC463)=0,LEN($AK463)=0),"Completa",IF(LEN($AC463)=0,"Revisar: "&amp;LEFT($AK463,LEN($AK463)-2),"Falta: "&amp;LEFT($AC463,LEN($AC463)-2)&amp;IF(LEN($AK463)&gt;0,"  ·  Revisar: "&amp;LEFT($AK463,LEN($AK463)-2),""))))</f>
      </c>
      <c r="AE463">
        <f>IF(AND($D463&lt;&gt;"",OR($I463="Renuncia (hasta 30 nov)",$I463="Baja (desde 1 dic)",$I463="Renuncia excepcional (art. 25.3)",$I463="Traslado de expediente")),COUNTIF($AE$1:AE462,"&gt;0")+1,"")</f>
      </c>
      <c r="AF463">
        <f>IF($Q463="Disponible",COUNTIF($AF$1:AF462,"&gt;0")+1,"")</f>
      </c>
      <c r="AG463">
        <f>IF($O463="Sí",COUNTIF($AG$1:AG462,"&gt;0")+1,"")</f>
      </c>
      <c r="AH463">
        <f>IF(AND($Q463="Disponible",$O463&lt;&gt;"Sí"),COUNTIF($AH$1:AH462,"&gt;0")+1,"")</f>
      </c>
      <c r="AI463">
        <f>IF(AND($Q463="Disponible",$K463&lt;&gt;""),COUNTIFS($K$2:K463,K463,$Q$2:Q463,"Disponible"),"")</f>
      </c>
      <c r="AJ463">
        <f>IF(AI463&lt;&gt;"",K463&amp;"|"&amp;AI463,"")</f>
      </c>
      <c r="AK463">
        <f>IF(AND($Q463="No disponible",OR($R463="Lista de espera · propio centro",$R463="Traslado de expediente",$R463="Lista de espera · otro centro"),$O463="Sí"),"la plaza ya tiene alumno y sigue marcada como refuerzo, ","")&amp;IF(AND($R463="Reconvertida en refuerzo",$O463&lt;&gt;"Sí"),"reconvertida en refuerzo pero sin marcar «En uso como refuerzo», ","")</f>
      </c>
    </row>
    <row r="464" spans="1:37">
      <c r="A464" s="20">
        <f>IF(D464&lt;&gt;"",ROW()-1,"")</f>
      </c>
      <c r="B464" s="55"/>
      <c r="C464" s="56"/>
      <c r="D464" s="56"/>
      <c r="E464" s="56"/>
      <c r="F464" s="56"/>
      <c r="G464" s="56"/>
      <c r="H464" s="56"/>
      <c r="I464" s="56"/>
      <c r="J464" s="57"/>
      <c r="K464" s="56"/>
      <c r="L464" s="58"/>
      <c r="M464" s="58">
        <f>IF(L464="","",L464)</f>
      </c>
      <c r="N464" s="56"/>
      <c r="O464" s="56"/>
      <c r="P464" s="57"/>
      <c r="Q464" s="56"/>
      <c r="R464" s="56"/>
      <c r="S464" s="56"/>
      <c r="T464" s="56"/>
      <c r="U464" s="56"/>
      <c r="V464" s="57"/>
      <c r="W464">
        <f>IF(Q464="Disponible",COUNTIFS($D$2:D464,D464,$Q$2:Q464,"Disponible"),"")</f>
      </c>
      <c r="X464">
        <f>IF(W464&lt;&gt;"",D464&amp;"|"&amp;W464,"")</f>
      </c>
      <c r="Y464">
        <f>IF(X464&lt;&gt;"",IF(K464&lt;&gt;"",K464&amp;" ("&amp;M464&amp;")",M464),"")</f>
      </c>
      <c r="Z464">
        <f>IF(O464="Sí",COUNTIFS($D$2:D464,D464,$O$2:O464,"Sí"),"")</f>
      </c>
      <c r="AA464">
        <f>IF(Z464&lt;&gt;"",D464&amp;"|"&amp;Z464,"")</f>
      </c>
      <c r="AB464">
        <f>IF(AA464&lt;&gt;"",IF(K464&lt;&gt;"",K464&amp;" ("&amp;M464&amp;")",M464),"")</f>
      </c>
      <c r="AC464">
        <f>IF($B464="","fecha, ","")&amp;IF($C464="","quién lo introduce, ","")&amp;IF($I464="","motivo, ","")&amp;IF($K464="","docente, ","")&amp;IF($L464="","horario, ","")&amp;IF($N464="","duración, ","")&amp;IF($Q464="","estado, ","")&amp;IF(AND($I464="Otros",$J464=""),"detalle del motivo, ","")&amp;IF(AND($O464="Sí",$P464=""),"detalle del refuerzo, ","")&amp;IF(AND(OR($I464="Renuncia (hasta 30 nov)",$I464="Baja (desde 1 dic)",$I464="Renuncia excepcional (art. 25.3)",$I464="Traslado de expediente"),OR($E464="",$F464="",$G464="")),"quién deja la plaza, ","")&amp;IF(AND($Q464="No disponible",$R464=""),"vía de cobertura, ","")&amp;IF(AND(OR($R464="Lista de espera · propio centro",$R464="Traslado de expediente",$R464="Lista de espera · otro centro"),OR($S464="",$T464="",$U464="")),"quién ocupa la plaza, ","")</f>
      </c>
      <c r="AD464" s="24">
        <f>IF($D464="","",IF(AND(LEN($AC464)=0,LEN($AK464)=0),"Completa",IF(LEN($AC464)=0,"Revisar: "&amp;LEFT($AK464,LEN($AK464)-2),"Falta: "&amp;LEFT($AC464,LEN($AC464)-2)&amp;IF(LEN($AK464)&gt;0,"  ·  Revisar: "&amp;LEFT($AK464,LEN($AK464)-2),""))))</f>
      </c>
      <c r="AE464">
        <f>IF(AND($D464&lt;&gt;"",OR($I464="Renuncia (hasta 30 nov)",$I464="Baja (desde 1 dic)",$I464="Renuncia excepcional (art. 25.3)",$I464="Traslado de expediente")),COUNTIF($AE$1:AE463,"&gt;0")+1,"")</f>
      </c>
      <c r="AF464">
        <f>IF($Q464="Disponible",COUNTIF($AF$1:AF463,"&gt;0")+1,"")</f>
      </c>
      <c r="AG464">
        <f>IF($O464="Sí",COUNTIF($AG$1:AG463,"&gt;0")+1,"")</f>
      </c>
      <c r="AH464">
        <f>IF(AND($Q464="Disponible",$O464&lt;&gt;"Sí"),COUNTIF($AH$1:AH463,"&gt;0")+1,"")</f>
      </c>
      <c r="AI464">
        <f>IF(AND($Q464="Disponible",$K464&lt;&gt;""),COUNTIFS($K$2:K464,K464,$Q$2:Q464,"Disponible"),"")</f>
      </c>
      <c r="AJ464">
        <f>IF(AI464&lt;&gt;"",K464&amp;"|"&amp;AI464,"")</f>
      </c>
      <c r="AK464">
        <f>IF(AND($Q464="No disponible",OR($R464="Lista de espera · propio centro",$R464="Traslado de expediente",$R464="Lista de espera · otro centro"),$O464="Sí"),"la plaza ya tiene alumno y sigue marcada como refuerzo, ","")&amp;IF(AND($R464="Reconvertida en refuerzo",$O464&lt;&gt;"Sí"),"reconvertida en refuerzo pero sin marcar «En uso como refuerzo», ","")</f>
      </c>
    </row>
    <row r="465" spans="1:37">
      <c r="A465" s="20">
        <f>IF(D465&lt;&gt;"",ROW()-1,"")</f>
      </c>
      <c r="B465" s="55"/>
      <c r="C465" s="56"/>
      <c r="D465" s="56"/>
      <c r="E465" s="56"/>
      <c r="F465" s="56"/>
      <c r="G465" s="56"/>
      <c r="H465" s="56"/>
      <c r="I465" s="56"/>
      <c r="J465" s="57"/>
      <c r="K465" s="56"/>
      <c r="L465" s="58"/>
      <c r="M465" s="58">
        <f>IF(L465="","",L465)</f>
      </c>
      <c r="N465" s="56"/>
      <c r="O465" s="56"/>
      <c r="P465" s="57"/>
      <c r="Q465" s="56"/>
      <c r="R465" s="56"/>
      <c r="S465" s="56"/>
      <c r="T465" s="56"/>
      <c r="U465" s="56"/>
      <c r="V465" s="57"/>
      <c r="W465">
        <f>IF(Q465="Disponible",COUNTIFS($D$2:D465,D465,$Q$2:Q465,"Disponible"),"")</f>
      </c>
      <c r="X465">
        <f>IF(W465&lt;&gt;"",D465&amp;"|"&amp;W465,"")</f>
      </c>
      <c r="Y465">
        <f>IF(X465&lt;&gt;"",IF(K465&lt;&gt;"",K465&amp;" ("&amp;M465&amp;")",M465),"")</f>
      </c>
      <c r="Z465">
        <f>IF(O465="Sí",COUNTIFS($D$2:D465,D465,$O$2:O465,"Sí"),"")</f>
      </c>
      <c r="AA465">
        <f>IF(Z465&lt;&gt;"",D465&amp;"|"&amp;Z465,"")</f>
      </c>
      <c r="AB465">
        <f>IF(AA465&lt;&gt;"",IF(K465&lt;&gt;"",K465&amp;" ("&amp;M465&amp;")",M465),"")</f>
      </c>
      <c r="AC465">
        <f>IF($B465="","fecha, ","")&amp;IF($C465="","quién lo introduce, ","")&amp;IF($I465="","motivo, ","")&amp;IF($K465="","docente, ","")&amp;IF($L465="","horario, ","")&amp;IF($N465="","duración, ","")&amp;IF($Q465="","estado, ","")&amp;IF(AND($I465="Otros",$J465=""),"detalle del motivo, ","")&amp;IF(AND($O465="Sí",$P465=""),"detalle del refuerzo, ","")&amp;IF(AND(OR($I465="Renuncia (hasta 30 nov)",$I465="Baja (desde 1 dic)",$I465="Renuncia excepcional (art. 25.3)",$I465="Traslado de expediente"),OR($E465="",$F465="",$G465="")),"quién deja la plaza, ","")&amp;IF(AND($Q465="No disponible",$R465=""),"vía de cobertura, ","")&amp;IF(AND(OR($R465="Lista de espera · propio centro",$R465="Traslado de expediente",$R465="Lista de espera · otro centro"),OR($S465="",$T465="",$U465="")),"quién ocupa la plaza, ","")</f>
      </c>
      <c r="AD465" s="24">
        <f>IF($D465="","",IF(AND(LEN($AC465)=0,LEN($AK465)=0),"Completa",IF(LEN($AC465)=0,"Revisar: "&amp;LEFT($AK465,LEN($AK465)-2),"Falta: "&amp;LEFT($AC465,LEN($AC465)-2)&amp;IF(LEN($AK465)&gt;0,"  ·  Revisar: "&amp;LEFT($AK465,LEN($AK465)-2),""))))</f>
      </c>
      <c r="AE465">
        <f>IF(AND($D465&lt;&gt;"",OR($I465="Renuncia (hasta 30 nov)",$I465="Baja (desde 1 dic)",$I465="Renuncia excepcional (art. 25.3)",$I465="Traslado de expediente")),COUNTIF($AE$1:AE464,"&gt;0")+1,"")</f>
      </c>
      <c r="AF465">
        <f>IF($Q465="Disponible",COUNTIF($AF$1:AF464,"&gt;0")+1,"")</f>
      </c>
      <c r="AG465">
        <f>IF($O465="Sí",COUNTIF($AG$1:AG464,"&gt;0")+1,"")</f>
      </c>
      <c r="AH465">
        <f>IF(AND($Q465="Disponible",$O465&lt;&gt;"Sí"),COUNTIF($AH$1:AH464,"&gt;0")+1,"")</f>
      </c>
      <c r="AI465">
        <f>IF(AND($Q465="Disponible",$K465&lt;&gt;""),COUNTIFS($K$2:K465,K465,$Q$2:Q465,"Disponible"),"")</f>
      </c>
      <c r="AJ465">
        <f>IF(AI465&lt;&gt;"",K465&amp;"|"&amp;AI465,"")</f>
      </c>
      <c r="AK465">
        <f>IF(AND($Q465="No disponible",OR($R465="Lista de espera · propio centro",$R465="Traslado de expediente",$R465="Lista de espera · otro centro"),$O465="Sí"),"la plaza ya tiene alumno y sigue marcada como refuerzo, ","")&amp;IF(AND($R465="Reconvertida en refuerzo",$O465&lt;&gt;"Sí"),"reconvertida en refuerzo pero sin marcar «En uso como refuerzo», ","")</f>
      </c>
    </row>
    <row r="466" spans="1:37">
      <c r="A466" s="20">
        <f>IF(D466&lt;&gt;"",ROW()-1,"")</f>
      </c>
      <c r="B466" s="55"/>
      <c r="C466" s="56"/>
      <c r="D466" s="56"/>
      <c r="E466" s="56"/>
      <c r="F466" s="56"/>
      <c r="G466" s="56"/>
      <c r="H466" s="56"/>
      <c r="I466" s="56"/>
      <c r="J466" s="57"/>
      <c r="K466" s="56"/>
      <c r="L466" s="58"/>
      <c r="M466" s="58">
        <f>IF(L466="","",L466)</f>
      </c>
      <c r="N466" s="56"/>
      <c r="O466" s="56"/>
      <c r="P466" s="57"/>
      <c r="Q466" s="56"/>
      <c r="R466" s="56"/>
      <c r="S466" s="56"/>
      <c r="T466" s="56"/>
      <c r="U466" s="56"/>
      <c r="V466" s="57"/>
      <c r="W466">
        <f>IF(Q466="Disponible",COUNTIFS($D$2:D466,D466,$Q$2:Q466,"Disponible"),"")</f>
      </c>
      <c r="X466">
        <f>IF(W466&lt;&gt;"",D466&amp;"|"&amp;W466,"")</f>
      </c>
      <c r="Y466">
        <f>IF(X466&lt;&gt;"",IF(K466&lt;&gt;"",K466&amp;" ("&amp;M466&amp;")",M466),"")</f>
      </c>
      <c r="Z466">
        <f>IF(O466="Sí",COUNTIFS($D$2:D466,D466,$O$2:O466,"Sí"),"")</f>
      </c>
      <c r="AA466">
        <f>IF(Z466&lt;&gt;"",D466&amp;"|"&amp;Z466,"")</f>
      </c>
      <c r="AB466">
        <f>IF(AA466&lt;&gt;"",IF(K466&lt;&gt;"",K466&amp;" ("&amp;M466&amp;")",M466),"")</f>
      </c>
      <c r="AC466">
        <f>IF($B466="","fecha, ","")&amp;IF($C466="","quién lo introduce, ","")&amp;IF($I466="","motivo, ","")&amp;IF($K466="","docente, ","")&amp;IF($L466="","horario, ","")&amp;IF($N466="","duración, ","")&amp;IF($Q466="","estado, ","")&amp;IF(AND($I466="Otros",$J466=""),"detalle del motivo, ","")&amp;IF(AND($O466="Sí",$P466=""),"detalle del refuerzo, ","")&amp;IF(AND(OR($I466="Renuncia (hasta 30 nov)",$I466="Baja (desde 1 dic)",$I466="Renuncia excepcional (art. 25.3)",$I466="Traslado de expediente"),OR($E466="",$F466="",$G466="")),"quién deja la plaza, ","")&amp;IF(AND($Q466="No disponible",$R466=""),"vía de cobertura, ","")&amp;IF(AND(OR($R466="Lista de espera · propio centro",$R466="Traslado de expediente",$R466="Lista de espera · otro centro"),OR($S466="",$T466="",$U466="")),"quién ocupa la plaza, ","")</f>
      </c>
      <c r="AD466" s="24">
        <f>IF($D466="","",IF(AND(LEN($AC466)=0,LEN($AK466)=0),"Completa",IF(LEN($AC466)=0,"Revisar: "&amp;LEFT($AK466,LEN($AK466)-2),"Falta: "&amp;LEFT($AC466,LEN($AC466)-2)&amp;IF(LEN($AK466)&gt;0,"  ·  Revisar: "&amp;LEFT($AK466,LEN($AK466)-2),""))))</f>
      </c>
      <c r="AE466">
        <f>IF(AND($D466&lt;&gt;"",OR($I466="Renuncia (hasta 30 nov)",$I466="Baja (desde 1 dic)",$I466="Renuncia excepcional (art. 25.3)",$I466="Traslado de expediente")),COUNTIF($AE$1:AE465,"&gt;0")+1,"")</f>
      </c>
      <c r="AF466">
        <f>IF($Q466="Disponible",COUNTIF($AF$1:AF465,"&gt;0")+1,"")</f>
      </c>
      <c r="AG466">
        <f>IF($O466="Sí",COUNTIF($AG$1:AG465,"&gt;0")+1,"")</f>
      </c>
      <c r="AH466">
        <f>IF(AND($Q466="Disponible",$O466&lt;&gt;"Sí"),COUNTIF($AH$1:AH465,"&gt;0")+1,"")</f>
      </c>
      <c r="AI466">
        <f>IF(AND($Q466="Disponible",$K466&lt;&gt;""),COUNTIFS($K$2:K466,K466,$Q$2:Q466,"Disponible"),"")</f>
      </c>
      <c r="AJ466">
        <f>IF(AI466&lt;&gt;"",K466&amp;"|"&amp;AI466,"")</f>
      </c>
      <c r="AK466">
        <f>IF(AND($Q466="No disponible",OR($R466="Lista de espera · propio centro",$R466="Traslado de expediente",$R466="Lista de espera · otro centro"),$O466="Sí"),"la plaza ya tiene alumno y sigue marcada como refuerzo, ","")&amp;IF(AND($R466="Reconvertida en refuerzo",$O466&lt;&gt;"Sí"),"reconvertida en refuerzo pero sin marcar «En uso como refuerzo», ","")</f>
      </c>
    </row>
    <row r="467" spans="1:37">
      <c r="A467" s="20">
        <f>IF(D467&lt;&gt;"",ROW()-1,"")</f>
      </c>
      <c r="B467" s="55"/>
      <c r="C467" s="56"/>
      <c r="D467" s="56"/>
      <c r="E467" s="56"/>
      <c r="F467" s="56"/>
      <c r="G467" s="56"/>
      <c r="H467" s="56"/>
      <c r="I467" s="56"/>
      <c r="J467" s="57"/>
      <c r="K467" s="56"/>
      <c r="L467" s="58"/>
      <c r="M467" s="58">
        <f>IF(L467="","",L467)</f>
      </c>
      <c r="N467" s="56"/>
      <c r="O467" s="56"/>
      <c r="P467" s="57"/>
      <c r="Q467" s="56"/>
      <c r="R467" s="56"/>
      <c r="S467" s="56"/>
      <c r="T467" s="56"/>
      <c r="U467" s="56"/>
      <c r="V467" s="57"/>
      <c r="W467">
        <f>IF(Q467="Disponible",COUNTIFS($D$2:D467,D467,$Q$2:Q467,"Disponible"),"")</f>
      </c>
      <c r="X467">
        <f>IF(W467&lt;&gt;"",D467&amp;"|"&amp;W467,"")</f>
      </c>
      <c r="Y467">
        <f>IF(X467&lt;&gt;"",IF(K467&lt;&gt;"",K467&amp;" ("&amp;M467&amp;")",M467),"")</f>
      </c>
      <c r="Z467">
        <f>IF(O467="Sí",COUNTIFS($D$2:D467,D467,$O$2:O467,"Sí"),"")</f>
      </c>
      <c r="AA467">
        <f>IF(Z467&lt;&gt;"",D467&amp;"|"&amp;Z467,"")</f>
      </c>
      <c r="AB467">
        <f>IF(AA467&lt;&gt;"",IF(K467&lt;&gt;"",K467&amp;" ("&amp;M467&amp;")",M467),"")</f>
      </c>
      <c r="AC467">
        <f>IF($B467="","fecha, ","")&amp;IF($C467="","quién lo introduce, ","")&amp;IF($I467="","motivo, ","")&amp;IF($K467="","docente, ","")&amp;IF($L467="","horario, ","")&amp;IF($N467="","duración, ","")&amp;IF($Q467="","estado, ","")&amp;IF(AND($I467="Otros",$J467=""),"detalle del motivo, ","")&amp;IF(AND($O467="Sí",$P467=""),"detalle del refuerzo, ","")&amp;IF(AND(OR($I467="Renuncia (hasta 30 nov)",$I467="Baja (desde 1 dic)",$I467="Renuncia excepcional (art. 25.3)",$I467="Traslado de expediente"),OR($E467="",$F467="",$G467="")),"quién deja la plaza, ","")&amp;IF(AND($Q467="No disponible",$R467=""),"vía de cobertura, ","")&amp;IF(AND(OR($R467="Lista de espera · propio centro",$R467="Traslado de expediente",$R467="Lista de espera · otro centro"),OR($S467="",$T467="",$U467="")),"quién ocupa la plaza, ","")</f>
      </c>
      <c r="AD467" s="24">
        <f>IF($D467="","",IF(AND(LEN($AC467)=0,LEN($AK467)=0),"Completa",IF(LEN($AC467)=0,"Revisar: "&amp;LEFT($AK467,LEN($AK467)-2),"Falta: "&amp;LEFT($AC467,LEN($AC467)-2)&amp;IF(LEN($AK467)&gt;0,"  ·  Revisar: "&amp;LEFT($AK467,LEN($AK467)-2),""))))</f>
      </c>
      <c r="AE467">
        <f>IF(AND($D467&lt;&gt;"",OR($I467="Renuncia (hasta 30 nov)",$I467="Baja (desde 1 dic)",$I467="Renuncia excepcional (art. 25.3)",$I467="Traslado de expediente")),COUNTIF($AE$1:AE466,"&gt;0")+1,"")</f>
      </c>
      <c r="AF467">
        <f>IF($Q467="Disponible",COUNTIF($AF$1:AF466,"&gt;0")+1,"")</f>
      </c>
      <c r="AG467">
        <f>IF($O467="Sí",COUNTIF($AG$1:AG466,"&gt;0")+1,"")</f>
      </c>
      <c r="AH467">
        <f>IF(AND($Q467="Disponible",$O467&lt;&gt;"Sí"),COUNTIF($AH$1:AH466,"&gt;0")+1,"")</f>
      </c>
      <c r="AI467">
        <f>IF(AND($Q467="Disponible",$K467&lt;&gt;""),COUNTIFS($K$2:K467,K467,$Q$2:Q467,"Disponible"),"")</f>
      </c>
      <c r="AJ467">
        <f>IF(AI467&lt;&gt;"",K467&amp;"|"&amp;AI467,"")</f>
      </c>
      <c r="AK467">
        <f>IF(AND($Q467="No disponible",OR($R467="Lista de espera · propio centro",$R467="Traslado de expediente",$R467="Lista de espera · otro centro"),$O467="Sí"),"la plaza ya tiene alumno y sigue marcada como refuerzo, ","")&amp;IF(AND($R467="Reconvertida en refuerzo",$O467&lt;&gt;"Sí"),"reconvertida en refuerzo pero sin marcar «En uso como refuerzo», ","")</f>
      </c>
    </row>
    <row r="468" spans="1:37">
      <c r="A468" s="20">
        <f>IF(D468&lt;&gt;"",ROW()-1,"")</f>
      </c>
      <c r="B468" s="55"/>
      <c r="C468" s="56"/>
      <c r="D468" s="56"/>
      <c r="E468" s="56"/>
      <c r="F468" s="56"/>
      <c r="G468" s="56"/>
      <c r="H468" s="56"/>
      <c r="I468" s="56"/>
      <c r="J468" s="57"/>
      <c r="K468" s="56"/>
      <c r="L468" s="58"/>
      <c r="M468" s="58">
        <f>IF(L468="","",L468)</f>
      </c>
      <c r="N468" s="56"/>
      <c r="O468" s="56"/>
      <c r="P468" s="57"/>
      <c r="Q468" s="56"/>
      <c r="R468" s="56"/>
      <c r="S468" s="56"/>
      <c r="T468" s="56"/>
      <c r="U468" s="56"/>
      <c r="V468" s="57"/>
      <c r="W468">
        <f>IF(Q468="Disponible",COUNTIFS($D$2:D468,D468,$Q$2:Q468,"Disponible"),"")</f>
      </c>
      <c r="X468">
        <f>IF(W468&lt;&gt;"",D468&amp;"|"&amp;W468,"")</f>
      </c>
      <c r="Y468">
        <f>IF(X468&lt;&gt;"",IF(K468&lt;&gt;"",K468&amp;" ("&amp;M468&amp;")",M468),"")</f>
      </c>
      <c r="Z468">
        <f>IF(O468="Sí",COUNTIFS($D$2:D468,D468,$O$2:O468,"Sí"),"")</f>
      </c>
      <c r="AA468">
        <f>IF(Z468&lt;&gt;"",D468&amp;"|"&amp;Z468,"")</f>
      </c>
      <c r="AB468">
        <f>IF(AA468&lt;&gt;"",IF(K468&lt;&gt;"",K468&amp;" ("&amp;M468&amp;")",M468),"")</f>
      </c>
      <c r="AC468">
        <f>IF($B468="","fecha, ","")&amp;IF($C468="","quién lo introduce, ","")&amp;IF($I468="","motivo, ","")&amp;IF($K468="","docente, ","")&amp;IF($L468="","horario, ","")&amp;IF($N468="","duración, ","")&amp;IF($Q468="","estado, ","")&amp;IF(AND($I468="Otros",$J468=""),"detalle del motivo, ","")&amp;IF(AND($O468="Sí",$P468=""),"detalle del refuerzo, ","")&amp;IF(AND(OR($I468="Renuncia (hasta 30 nov)",$I468="Baja (desde 1 dic)",$I468="Renuncia excepcional (art. 25.3)",$I468="Traslado de expediente"),OR($E468="",$F468="",$G468="")),"quién deja la plaza, ","")&amp;IF(AND($Q468="No disponible",$R468=""),"vía de cobertura, ","")&amp;IF(AND(OR($R468="Lista de espera · propio centro",$R468="Traslado de expediente",$R468="Lista de espera · otro centro"),OR($S468="",$T468="",$U468="")),"quién ocupa la plaza, ","")</f>
      </c>
      <c r="AD468" s="24">
        <f>IF($D468="","",IF(AND(LEN($AC468)=0,LEN($AK468)=0),"Completa",IF(LEN($AC468)=0,"Revisar: "&amp;LEFT($AK468,LEN($AK468)-2),"Falta: "&amp;LEFT($AC468,LEN($AC468)-2)&amp;IF(LEN($AK468)&gt;0,"  ·  Revisar: "&amp;LEFT($AK468,LEN($AK468)-2),""))))</f>
      </c>
      <c r="AE468">
        <f>IF(AND($D468&lt;&gt;"",OR($I468="Renuncia (hasta 30 nov)",$I468="Baja (desde 1 dic)",$I468="Renuncia excepcional (art. 25.3)",$I468="Traslado de expediente")),COUNTIF($AE$1:AE467,"&gt;0")+1,"")</f>
      </c>
      <c r="AF468">
        <f>IF($Q468="Disponible",COUNTIF($AF$1:AF467,"&gt;0")+1,"")</f>
      </c>
      <c r="AG468">
        <f>IF($O468="Sí",COUNTIF($AG$1:AG467,"&gt;0")+1,"")</f>
      </c>
      <c r="AH468">
        <f>IF(AND($Q468="Disponible",$O468&lt;&gt;"Sí"),COUNTIF($AH$1:AH467,"&gt;0")+1,"")</f>
      </c>
      <c r="AI468">
        <f>IF(AND($Q468="Disponible",$K468&lt;&gt;""),COUNTIFS($K$2:K468,K468,$Q$2:Q468,"Disponible"),"")</f>
      </c>
      <c r="AJ468">
        <f>IF(AI468&lt;&gt;"",K468&amp;"|"&amp;AI468,"")</f>
      </c>
      <c r="AK468">
        <f>IF(AND($Q468="No disponible",OR($R468="Lista de espera · propio centro",$R468="Traslado de expediente",$R468="Lista de espera · otro centro"),$O468="Sí"),"la plaza ya tiene alumno y sigue marcada como refuerzo, ","")&amp;IF(AND($R468="Reconvertida en refuerzo",$O468&lt;&gt;"Sí"),"reconvertida en refuerzo pero sin marcar «En uso como refuerzo», ","")</f>
      </c>
    </row>
    <row r="469" spans="1:37">
      <c r="A469" s="20">
        <f>IF(D469&lt;&gt;"",ROW()-1,"")</f>
      </c>
      <c r="B469" s="55"/>
      <c r="C469" s="56"/>
      <c r="D469" s="56"/>
      <c r="E469" s="56"/>
      <c r="F469" s="56"/>
      <c r="G469" s="56"/>
      <c r="H469" s="56"/>
      <c r="I469" s="56"/>
      <c r="J469" s="57"/>
      <c r="K469" s="56"/>
      <c r="L469" s="58"/>
      <c r="M469" s="58">
        <f>IF(L469="","",L469)</f>
      </c>
      <c r="N469" s="56"/>
      <c r="O469" s="56"/>
      <c r="P469" s="57"/>
      <c r="Q469" s="56"/>
      <c r="R469" s="56"/>
      <c r="S469" s="56"/>
      <c r="T469" s="56"/>
      <c r="U469" s="56"/>
      <c r="V469" s="57"/>
      <c r="W469">
        <f>IF(Q469="Disponible",COUNTIFS($D$2:D469,D469,$Q$2:Q469,"Disponible"),"")</f>
      </c>
      <c r="X469">
        <f>IF(W469&lt;&gt;"",D469&amp;"|"&amp;W469,"")</f>
      </c>
      <c r="Y469">
        <f>IF(X469&lt;&gt;"",IF(K469&lt;&gt;"",K469&amp;" ("&amp;M469&amp;")",M469),"")</f>
      </c>
      <c r="Z469">
        <f>IF(O469="Sí",COUNTIFS($D$2:D469,D469,$O$2:O469,"Sí"),"")</f>
      </c>
      <c r="AA469">
        <f>IF(Z469&lt;&gt;"",D469&amp;"|"&amp;Z469,"")</f>
      </c>
      <c r="AB469">
        <f>IF(AA469&lt;&gt;"",IF(K469&lt;&gt;"",K469&amp;" ("&amp;M469&amp;")",M469),"")</f>
      </c>
      <c r="AC469">
        <f>IF($B469="","fecha, ","")&amp;IF($C469="","quién lo introduce, ","")&amp;IF($I469="","motivo, ","")&amp;IF($K469="","docente, ","")&amp;IF($L469="","horario, ","")&amp;IF($N469="","duración, ","")&amp;IF($Q469="","estado, ","")&amp;IF(AND($I469="Otros",$J469=""),"detalle del motivo, ","")&amp;IF(AND($O469="Sí",$P469=""),"detalle del refuerzo, ","")&amp;IF(AND(OR($I469="Renuncia (hasta 30 nov)",$I469="Baja (desde 1 dic)",$I469="Renuncia excepcional (art. 25.3)",$I469="Traslado de expediente"),OR($E469="",$F469="",$G469="")),"quién deja la plaza, ","")&amp;IF(AND($Q469="No disponible",$R469=""),"vía de cobertura, ","")&amp;IF(AND(OR($R469="Lista de espera · propio centro",$R469="Traslado de expediente",$R469="Lista de espera · otro centro"),OR($S469="",$T469="",$U469="")),"quién ocupa la plaza, ","")</f>
      </c>
      <c r="AD469" s="24">
        <f>IF($D469="","",IF(AND(LEN($AC469)=0,LEN($AK469)=0),"Completa",IF(LEN($AC469)=0,"Revisar: "&amp;LEFT($AK469,LEN($AK469)-2),"Falta: "&amp;LEFT($AC469,LEN($AC469)-2)&amp;IF(LEN($AK469)&gt;0,"  ·  Revisar: "&amp;LEFT($AK469,LEN($AK469)-2),""))))</f>
      </c>
      <c r="AE469">
        <f>IF(AND($D469&lt;&gt;"",OR($I469="Renuncia (hasta 30 nov)",$I469="Baja (desde 1 dic)",$I469="Renuncia excepcional (art. 25.3)",$I469="Traslado de expediente")),COUNTIF($AE$1:AE468,"&gt;0")+1,"")</f>
      </c>
      <c r="AF469">
        <f>IF($Q469="Disponible",COUNTIF($AF$1:AF468,"&gt;0")+1,"")</f>
      </c>
      <c r="AG469">
        <f>IF($O469="Sí",COUNTIF($AG$1:AG468,"&gt;0")+1,"")</f>
      </c>
      <c r="AH469">
        <f>IF(AND($Q469="Disponible",$O469&lt;&gt;"Sí"),COUNTIF($AH$1:AH468,"&gt;0")+1,"")</f>
      </c>
      <c r="AI469">
        <f>IF(AND($Q469="Disponible",$K469&lt;&gt;""),COUNTIFS($K$2:K469,K469,$Q$2:Q469,"Disponible"),"")</f>
      </c>
      <c r="AJ469">
        <f>IF(AI469&lt;&gt;"",K469&amp;"|"&amp;AI469,"")</f>
      </c>
      <c r="AK469">
        <f>IF(AND($Q469="No disponible",OR($R469="Lista de espera · propio centro",$R469="Traslado de expediente",$R469="Lista de espera · otro centro"),$O469="Sí"),"la plaza ya tiene alumno y sigue marcada como refuerzo, ","")&amp;IF(AND($R469="Reconvertida en refuerzo",$O469&lt;&gt;"Sí"),"reconvertida en refuerzo pero sin marcar «En uso como refuerzo», ","")</f>
      </c>
    </row>
    <row r="470" spans="1:37">
      <c r="A470" s="20">
        <f>IF(D470&lt;&gt;"",ROW()-1,"")</f>
      </c>
      <c r="B470" s="55"/>
      <c r="C470" s="56"/>
      <c r="D470" s="56"/>
      <c r="E470" s="56"/>
      <c r="F470" s="56"/>
      <c r="G470" s="56"/>
      <c r="H470" s="56"/>
      <c r="I470" s="56"/>
      <c r="J470" s="57"/>
      <c r="K470" s="56"/>
      <c r="L470" s="58"/>
      <c r="M470" s="58">
        <f>IF(L470="","",L470)</f>
      </c>
      <c r="N470" s="56"/>
      <c r="O470" s="56"/>
      <c r="P470" s="57"/>
      <c r="Q470" s="56"/>
      <c r="R470" s="56"/>
      <c r="S470" s="56"/>
      <c r="T470" s="56"/>
      <c r="U470" s="56"/>
      <c r="V470" s="57"/>
      <c r="W470">
        <f>IF(Q470="Disponible",COUNTIFS($D$2:D470,D470,$Q$2:Q470,"Disponible"),"")</f>
      </c>
      <c r="X470">
        <f>IF(W470&lt;&gt;"",D470&amp;"|"&amp;W470,"")</f>
      </c>
      <c r="Y470">
        <f>IF(X470&lt;&gt;"",IF(K470&lt;&gt;"",K470&amp;" ("&amp;M470&amp;")",M470),"")</f>
      </c>
      <c r="Z470">
        <f>IF(O470="Sí",COUNTIFS($D$2:D470,D470,$O$2:O470,"Sí"),"")</f>
      </c>
      <c r="AA470">
        <f>IF(Z470&lt;&gt;"",D470&amp;"|"&amp;Z470,"")</f>
      </c>
      <c r="AB470">
        <f>IF(AA470&lt;&gt;"",IF(K470&lt;&gt;"",K470&amp;" ("&amp;M470&amp;")",M470),"")</f>
      </c>
      <c r="AC470">
        <f>IF($B470="","fecha, ","")&amp;IF($C470="","quién lo introduce, ","")&amp;IF($I470="","motivo, ","")&amp;IF($K470="","docente, ","")&amp;IF($L470="","horario, ","")&amp;IF($N470="","duración, ","")&amp;IF($Q470="","estado, ","")&amp;IF(AND($I470="Otros",$J470=""),"detalle del motivo, ","")&amp;IF(AND($O470="Sí",$P470=""),"detalle del refuerzo, ","")&amp;IF(AND(OR($I470="Renuncia (hasta 30 nov)",$I470="Baja (desde 1 dic)",$I470="Renuncia excepcional (art. 25.3)",$I470="Traslado de expediente"),OR($E470="",$F470="",$G470="")),"quién deja la plaza, ","")&amp;IF(AND($Q470="No disponible",$R470=""),"vía de cobertura, ","")&amp;IF(AND(OR($R470="Lista de espera · propio centro",$R470="Traslado de expediente",$R470="Lista de espera · otro centro"),OR($S470="",$T470="",$U470="")),"quién ocupa la plaza, ","")</f>
      </c>
      <c r="AD470" s="24">
        <f>IF($D470="","",IF(AND(LEN($AC470)=0,LEN($AK470)=0),"Completa",IF(LEN($AC470)=0,"Revisar: "&amp;LEFT($AK470,LEN($AK470)-2),"Falta: "&amp;LEFT($AC470,LEN($AC470)-2)&amp;IF(LEN($AK470)&gt;0,"  ·  Revisar: "&amp;LEFT($AK470,LEN($AK470)-2),""))))</f>
      </c>
      <c r="AE470">
        <f>IF(AND($D470&lt;&gt;"",OR($I470="Renuncia (hasta 30 nov)",$I470="Baja (desde 1 dic)",$I470="Renuncia excepcional (art. 25.3)",$I470="Traslado de expediente")),COUNTIF($AE$1:AE469,"&gt;0")+1,"")</f>
      </c>
      <c r="AF470">
        <f>IF($Q470="Disponible",COUNTIF($AF$1:AF469,"&gt;0")+1,"")</f>
      </c>
      <c r="AG470">
        <f>IF($O470="Sí",COUNTIF($AG$1:AG469,"&gt;0")+1,"")</f>
      </c>
      <c r="AH470">
        <f>IF(AND($Q470="Disponible",$O470&lt;&gt;"Sí"),COUNTIF($AH$1:AH469,"&gt;0")+1,"")</f>
      </c>
      <c r="AI470">
        <f>IF(AND($Q470="Disponible",$K470&lt;&gt;""),COUNTIFS($K$2:K470,K470,$Q$2:Q470,"Disponible"),"")</f>
      </c>
      <c r="AJ470">
        <f>IF(AI470&lt;&gt;"",K470&amp;"|"&amp;AI470,"")</f>
      </c>
      <c r="AK470">
        <f>IF(AND($Q470="No disponible",OR($R470="Lista de espera · propio centro",$R470="Traslado de expediente",$R470="Lista de espera · otro centro"),$O470="Sí"),"la plaza ya tiene alumno y sigue marcada como refuerzo, ","")&amp;IF(AND($R470="Reconvertida en refuerzo",$O470&lt;&gt;"Sí"),"reconvertida en refuerzo pero sin marcar «En uso como refuerzo», ","")</f>
      </c>
    </row>
    <row r="471" spans="1:37">
      <c r="A471" s="20">
        <f>IF(D471&lt;&gt;"",ROW()-1,"")</f>
      </c>
      <c r="B471" s="55"/>
      <c r="C471" s="56"/>
      <c r="D471" s="56"/>
      <c r="E471" s="56"/>
      <c r="F471" s="56"/>
      <c r="G471" s="56"/>
      <c r="H471" s="56"/>
      <c r="I471" s="56"/>
      <c r="J471" s="57"/>
      <c r="K471" s="56"/>
      <c r="L471" s="58"/>
      <c r="M471" s="58">
        <f>IF(L471="","",L471)</f>
      </c>
      <c r="N471" s="56"/>
      <c r="O471" s="56"/>
      <c r="P471" s="57"/>
      <c r="Q471" s="56"/>
      <c r="R471" s="56"/>
      <c r="S471" s="56"/>
      <c r="T471" s="56"/>
      <c r="U471" s="56"/>
      <c r="V471" s="57"/>
      <c r="W471">
        <f>IF(Q471="Disponible",COUNTIFS($D$2:D471,D471,$Q$2:Q471,"Disponible"),"")</f>
      </c>
      <c r="X471">
        <f>IF(W471&lt;&gt;"",D471&amp;"|"&amp;W471,"")</f>
      </c>
      <c r="Y471">
        <f>IF(X471&lt;&gt;"",IF(K471&lt;&gt;"",K471&amp;" ("&amp;M471&amp;")",M471),"")</f>
      </c>
      <c r="Z471">
        <f>IF(O471="Sí",COUNTIFS($D$2:D471,D471,$O$2:O471,"Sí"),"")</f>
      </c>
      <c r="AA471">
        <f>IF(Z471&lt;&gt;"",D471&amp;"|"&amp;Z471,"")</f>
      </c>
      <c r="AB471">
        <f>IF(AA471&lt;&gt;"",IF(K471&lt;&gt;"",K471&amp;" ("&amp;M471&amp;")",M471),"")</f>
      </c>
      <c r="AC471">
        <f>IF($B471="","fecha, ","")&amp;IF($C471="","quién lo introduce, ","")&amp;IF($I471="","motivo, ","")&amp;IF($K471="","docente, ","")&amp;IF($L471="","horario, ","")&amp;IF($N471="","duración, ","")&amp;IF($Q471="","estado, ","")&amp;IF(AND($I471="Otros",$J471=""),"detalle del motivo, ","")&amp;IF(AND($O471="Sí",$P471=""),"detalle del refuerzo, ","")&amp;IF(AND(OR($I471="Renuncia (hasta 30 nov)",$I471="Baja (desde 1 dic)",$I471="Renuncia excepcional (art. 25.3)",$I471="Traslado de expediente"),OR($E471="",$F471="",$G471="")),"quién deja la plaza, ","")&amp;IF(AND($Q471="No disponible",$R471=""),"vía de cobertura, ","")&amp;IF(AND(OR($R471="Lista de espera · propio centro",$R471="Traslado de expediente",$R471="Lista de espera · otro centro"),OR($S471="",$T471="",$U471="")),"quién ocupa la plaza, ","")</f>
      </c>
      <c r="AD471" s="24">
        <f>IF($D471="","",IF(AND(LEN($AC471)=0,LEN($AK471)=0),"Completa",IF(LEN($AC471)=0,"Revisar: "&amp;LEFT($AK471,LEN($AK471)-2),"Falta: "&amp;LEFT($AC471,LEN($AC471)-2)&amp;IF(LEN($AK471)&gt;0,"  ·  Revisar: "&amp;LEFT($AK471,LEN($AK471)-2),""))))</f>
      </c>
      <c r="AE471">
        <f>IF(AND($D471&lt;&gt;"",OR($I471="Renuncia (hasta 30 nov)",$I471="Baja (desde 1 dic)",$I471="Renuncia excepcional (art. 25.3)",$I471="Traslado de expediente")),COUNTIF($AE$1:AE470,"&gt;0")+1,"")</f>
      </c>
      <c r="AF471">
        <f>IF($Q471="Disponible",COUNTIF($AF$1:AF470,"&gt;0")+1,"")</f>
      </c>
      <c r="AG471">
        <f>IF($O471="Sí",COUNTIF($AG$1:AG470,"&gt;0")+1,"")</f>
      </c>
      <c r="AH471">
        <f>IF(AND($Q471="Disponible",$O471&lt;&gt;"Sí"),COUNTIF($AH$1:AH470,"&gt;0")+1,"")</f>
      </c>
      <c r="AI471">
        <f>IF(AND($Q471="Disponible",$K471&lt;&gt;""),COUNTIFS($K$2:K471,K471,$Q$2:Q471,"Disponible"),"")</f>
      </c>
      <c r="AJ471">
        <f>IF(AI471&lt;&gt;"",K471&amp;"|"&amp;AI471,"")</f>
      </c>
      <c r="AK471">
        <f>IF(AND($Q471="No disponible",OR($R471="Lista de espera · propio centro",$R471="Traslado de expediente",$R471="Lista de espera · otro centro"),$O471="Sí"),"la plaza ya tiene alumno y sigue marcada como refuerzo, ","")&amp;IF(AND($R471="Reconvertida en refuerzo",$O471&lt;&gt;"Sí"),"reconvertida en refuerzo pero sin marcar «En uso como refuerzo», ","")</f>
      </c>
    </row>
    <row r="472" spans="1:37">
      <c r="A472" s="20">
        <f>IF(D472&lt;&gt;"",ROW()-1,"")</f>
      </c>
      <c r="B472" s="55"/>
      <c r="C472" s="56"/>
      <c r="D472" s="56"/>
      <c r="E472" s="56"/>
      <c r="F472" s="56"/>
      <c r="G472" s="56"/>
      <c r="H472" s="56"/>
      <c r="I472" s="56"/>
      <c r="J472" s="57"/>
      <c r="K472" s="56"/>
      <c r="L472" s="58"/>
      <c r="M472" s="58">
        <f>IF(L472="","",L472)</f>
      </c>
      <c r="N472" s="56"/>
      <c r="O472" s="56"/>
      <c r="P472" s="57"/>
      <c r="Q472" s="56"/>
      <c r="R472" s="56"/>
      <c r="S472" s="56"/>
      <c r="T472" s="56"/>
      <c r="U472" s="56"/>
      <c r="V472" s="57"/>
      <c r="W472">
        <f>IF(Q472="Disponible",COUNTIFS($D$2:D472,D472,$Q$2:Q472,"Disponible"),"")</f>
      </c>
      <c r="X472">
        <f>IF(W472&lt;&gt;"",D472&amp;"|"&amp;W472,"")</f>
      </c>
      <c r="Y472">
        <f>IF(X472&lt;&gt;"",IF(K472&lt;&gt;"",K472&amp;" ("&amp;M472&amp;")",M472),"")</f>
      </c>
      <c r="Z472">
        <f>IF(O472="Sí",COUNTIFS($D$2:D472,D472,$O$2:O472,"Sí"),"")</f>
      </c>
      <c r="AA472">
        <f>IF(Z472&lt;&gt;"",D472&amp;"|"&amp;Z472,"")</f>
      </c>
      <c r="AB472">
        <f>IF(AA472&lt;&gt;"",IF(K472&lt;&gt;"",K472&amp;" ("&amp;M472&amp;")",M472),"")</f>
      </c>
      <c r="AC472">
        <f>IF($B472="","fecha, ","")&amp;IF($C472="","quién lo introduce, ","")&amp;IF($I472="","motivo, ","")&amp;IF($K472="","docente, ","")&amp;IF($L472="","horario, ","")&amp;IF($N472="","duración, ","")&amp;IF($Q472="","estado, ","")&amp;IF(AND($I472="Otros",$J472=""),"detalle del motivo, ","")&amp;IF(AND($O472="Sí",$P472=""),"detalle del refuerzo, ","")&amp;IF(AND(OR($I472="Renuncia (hasta 30 nov)",$I472="Baja (desde 1 dic)",$I472="Renuncia excepcional (art. 25.3)",$I472="Traslado de expediente"),OR($E472="",$F472="",$G472="")),"quién deja la plaza, ","")&amp;IF(AND($Q472="No disponible",$R472=""),"vía de cobertura, ","")&amp;IF(AND(OR($R472="Lista de espera · propio centro",$R472="Traslado de expediente",$R472="Lista de espera · otro centro"),OR($S472="",$T472="",$U472="")),"quién ocupa la plaza, ","")</f>
      </c>
      <c r="AD472" s="24">
        <f>IF($D472="","",IF(AND(LEN($AC472)=0,LEN($AK472)=0),"Completa",IF(LEN($AC472)=0,"Revisar: "&amp;LEFT($AK472,LEN($AK472)-2),"Falta: "&amp;LEFT($AC472,LEN($AC472)-2)&amp;IF(LEN($AK472)&gt;0,"  ·  Revisar: "&amp;LEFT($AK472,LEN($AK472)-2),""))))</f>
      </c>
      <c r="AE472">
        <f>IF(AND($D472&lt;&gt;"",OR($I472="Renuncia (hasta 30 nov)",$I472="Baja (desde 1 dic)",$I472="Renuncia excepcional (art. 25.3)",$I472="Traslado de expediente")),COUNTIF($AE$1:AE471,"&gt;0")+1,"")</f>
      </c>
      <c r="AF472">
        <f>IF($Q472="Disponible",COUNTIF($AF$1:AF471,"&gt;0")+1,"")</f>
      </c>
      <c r="AG472">
        <f>IF($O472="Sí",COUNTIF($AG$1:AG471,"&gt;0")+1,"")</f>
      </c>
      <c r="AH472">
        <f>IF(AND($Q472="Disponible",$O472&lt;&gt;"Sí"),COUNTIF($AH$1:AH471,"&gt;0")+1,"")</f>
      </c>
      <c r="AI472">
        <f>IF(AND($Q472="Disponible",$K472&lt;&gt;""),COUNTIFS($K$2:K472,K472,$Q$2:Q472,"Disponible"),"")</f>
      </c>
      <c r="AJ472">
        <f>IF(AI472&lt;&gt;"",K472&amp;"|"&amp;AI472,"")</f>
      </c>
      <c r="AK472">
        <f>IF(AND($Q472="No disponible",OR($R472="Lista de espera · propio centro",$R472="Traslado de expediente",$R472="Lista de espera · otro centro"),$O472="Sí"),"la plaza ya tiene alumno y sigue marcada como refuerzo, ","")&amp;IF(AND($R472="Reconvertida en refuerzo",$O472&lt;&gt;"Sí"),"reconvertida en refuerzo pero sin marcar «En uso como refuerzo», ","")</f>
      </c>
    </row>
    <row r="473" spans="1:37">
      <c r="A473" s="20">
        <f>IF(D473&lt;&gt;"",ROW()-1,"")</f>
      </c>
      <c r="B473" s="55"/>
      <c r="C473" s="56"/>
      <c r="D473" s="56"/>
      <c r="E473" s="56"/>
      <c r="F473" s="56"/>
      <c r="G473" s="56"/>
      <c r="H473" s="56"/>
      <c r="I473" s="56"/>
      <c r="J473" s="57"/>
      <c r="K473" s="56"/>
      <c r="L473" s="58"/>
      <c r="M473" s="58">
        <f>IF(L473="","",L473)</f>
      </c>
      <c r="N473" s="56"/>
      <c r="O473" s="56"/>
      <c r="P473" s="57"/>
      <c r="Q473" s="56"/>
      <c r="R473" s="56"/>
      <c r="S473" s="56"/>
      <c r="T473" s="56"/>
      <c r="U473" s="56"/>
      <c r="V473" s="57"/>
      <c r="W473">
        <f>IF(Q473="Disponible",COUNTIFS($D$2:D473,D473,$Q$2:Q473,"Disponible"),"")</f>
      </c>
      <c r="X473">
        <f>IF(W473&lt;&gt;"",D473&amp;"|"&amp;W473,"")</f>
      </c>
      <c r="Y473">
        <f>IF(X473&lt;&gt;"",IF(K473&lt;&gt;"",K473&amp;" ("&amp;M473&amp;")",M473),"")</f>
      </c>
      <c r="Z473">
        <f>IF(O473="Sí",COUNTIFS($D$2:D473,D473,$O$2:O473,"Sí"),"")</f>
      </c>
      <c r="AA473">
        <f>IF(Z473&lt;&gt;"",D473&amp;"|"&amp;Z473,"")</f>
      </c>
      <c r="AB473">
        <f>IF(AA473&lt;&gt;"",IF(K473&lt;&gt;"",K473&amp;" ("&amp;M473&amp;")",M473),"")</f>
      </c>
      <c r="AC473">
        <f>IF($B473="","fecha, ","")&amp;IF($C473="","quién lo introduce, ","")&amp;IF($I473="","motivo, ","")&amp;IF($K473="","docente, ","")&amp;IF($L473="","horario, ","")&amp;IF($N473="","duración, ","")&amp;IF($Q473="","estado, ","")&amp;IF(AND($I473="Otros",$J473=""),"detalle del motivo, ","")&amp;IF(AND($O473="Sí",$P473=""),"detalle del refuerzo, ","")&amp;IF(AND(OR($I473="Renuncia (hasta 30 nov)",$I473="Baja (desde 1 dic)",$I473="Renuncia excepcional (art. 25.3)",$I473="Traslado de expediente"),OR($E473="",$F473="",$G473="")),"quién deja la plaza, ","")&amp;IF(AND($Q473="No disponible",$R473=""),"vía de cobertura, ","")&amp;IF(AND(OR($R473="Lista de espera · propio centro",$R473="Traslado de expediente",$R473="Lista de espera · otro centro"),OR($S473="",$T473="",$U473="")),"quién ocupa la plaza, ","")</f>
      </c>
      <c r="AD473" s="24">
        <f>IF($D473="","",IF(AND(LEN($AC473)=0,LEN($AK473)=0),"Completa",IF(LEN($AC473)=0,"Revisar: "&amp;LEFT($AK473,LEN($AK473)-2),"Falta: "&amp;LEFT($AC473,LEN($AC473)-2)&amp;IF(LEN($AK473)&gt;0,"  ·  Revisar: "&amp;LEFT($AK473,LEN($AK473)-2),""))))</f>
      </c>
      <c r="AE473">
        <f>IF(AND($D473&lt;&gt;"",OR($I473="Renuncia (hasta 30 nov)",$I473="Baja (desde 1 dic)",$I473="Renuncia excepcional (art. 25.3)",$I473="Traslado de expediente")),COUNTIF($AE$1:AE472,"&gt;0")+1,"")</f>
      </c>
      <c r="AF473">
        <f>IF($Q473="Disponible",COUNTIF($AF$1:AF472,"&gt;0")+1,"")</f>
      </c>
      <c r="AG473">
        <f>IF($O473="Sí",COUNTIF($AG$1:AG472,"&gt;0")+1,"")</f>
      </c>
      <c r="AH473">
        <f>IF(AND($Q473="Disponible",$O473&lt;&gt;"Sí"),COUNTIF($AH$1:AH472,"&gt;0")+1,"")</f>
      </c>
      <c r="AI473">
        <f>IF(AND($Q473="Disponible",$K473&lt;&gt;""),COUNTIFS($K$2:K473,K473,$Q$2:Q473,"Disponible"),"")</f>
      </c>
      <c r="AJ473">
        <f>IF(AI473&lt;&gt;"",K473&amp;"|"&amp;AI473,"")</f>
      </c>
      <c r="AK473">
        <f>IF(AND($Q473="No disponible",OR($R473="Lista de espera · propio centro",$R473="Traslado de expediente",$R473="Lista de espera · otro centro"),$O473="Sí"),"la plaza ya tiene alumno y sigue marcada como refuerzo, ","")&amp;IF(AND($R473="Reconvertida en refuerzo",$O473&lt;&gt;"Sí"),"reconvertida en refuerzo pero sin marcar «En uso como refuerzo», ","")</f>
      </c>
    </row>
    <row r="474" spans="1:37">
      <c r="A474" s="20">
        <f>IF(D474&lt;&gt;"",ROW()-1,"")</f>
      </c>
      <c r="B474" s="55"/>
      <c r="C474" s="56"/>
      <c r="D474" s="56"/>
      <c r="E474" s="56"/>
      <c r="F474" s="56"/>
      <c r="G474" s="56"/>
      <c r="H474" s="56"/>
      <c r="I474" s="56"/>
      <c r="J474" s="57"/>
      <c r="K474" s="56"/>
      <c r="L474" s="58"/>
      <c r="M474" s="58">
        <f>IF(L474="","",L474)</f>
      </c>
      <c r="N474" s="56"/>
      <c r="O474" s="56"/>
      <c r="P474" s="57"/>
      <c r="Q474" s="56"/>
      <c r="R474" s="56"/>
      <c r="S474" s="56"/>
      <c r="T474" s="56"/>
      <c r="U474" s="56"/>
      <c r="V474" s="57"/>
      <c r="W474">
        <f>IF(Q474="Disponible",COUNTIFS($D$2:D474,D474,$Q$2:Q474,"Disponible"),"")</f>
      </c>
      <c r="X474">
        <f>IF(W474&lt;&gt;"",D474&amp;"|"&amp;W474,"")</f>
      </c>
      <c r="Y474">
        <f>IF(X474&lt;&gt;"",IF(K474&lt;&gt;"",K474&amp;" ("&amp;M474&amp;")",M474),"")</f>
      </c>
      <c r="Z474">
        <f>IF(O474="Sí",COUNTIFS($D$2:D474,D474,$O$2:O474,"Sí"),"")</f>
      </c>
      <c r="AA474">
        <f>IF(Z474&lt;&gt;"",D474&amp;"|"&amp;Z474,"")</f>
      </c>
      <c r="AB474">
        <f>IF(AA474&lt;&gt;"",IF(K474&lt;&gt;"",K474&amp;" ("&amp;M474&amp;")",M474),"")</f>
      </c>
      <c r="AC474">
        <f>IF($B474="","fecha, ","")&amp;IF($C474="","quién lo introduce, ","")&amp;IF($I474="","motivo, ","")&amp;IF($K474="","docente, ","")&amp;IF($L474="","horario, ","")&amp;IF($N474="","duración, ","")&amp;IF($Q474="","estado, ","")&amp;IF(AND($I474="Otros",$J474=""),"detalle del motivo, ","")&amp;IF(AND($O474="Sí",$P474=""),"detalle del refuerzo, ","")&amp;IF(AND(OR($I474="Renuncia (hasta 30 nov)",$I474="Baja (desde 1 dic)",$I474="Renuncia excepcional (art. 25.3)",$I474="Traslado de expediente"),OR($E474="",$F474="",$G474="")),"quién deja la plaza, ","")&amp;IF(AND($Q474="No disponible",$R474=""),"vía de cobertura, ","")&amp;IF(AND(OR($R474="Lista de espera · propio centro",$R474="Traslado de expediente",$R474="Lista de espera · otro centro"),OR($S474="",$T474="",$U474="")),"quién ocupa la plaza, ","")</f>
      </c>
      <c r="AD474" s="24">
        <f>IF($D474="","",IF(AND(LEN($AC474)=0,LEN($AK474)=0),"Completa",IF(LEN($AC474)=0,"Revisar: "&amp;LEFT($AK474,LEN($AK474)-2),"Falta: "&amp;LEFT($AC474,LEN($AC474)-2)&amp;IF(LEN($AK474)&gt;0,"  ·  Revisar: "&amp;LEFT($AK474,LEN($AK474)-2),""))))</f>
      </c>
      <c r="AE474">
        <f>IF(AND($D474&lt;&gt;"",OR($I474="Renuncia (hasta 30 nov)",$I474="Baja (desde 1 dic)",$I474="Renuncia excepcional (art. 25.3)",$I474="Traslado de expediente")),COUNTIF($AE$1:AE473,"&gt;0")+1,"")</f>
      </c>
      <c r="AF474">
        <f>IF($Q474="Disponible",COUNTIF($AF$1:AF473,"&gt;0")+1,"")</f>
      </c>
      <c r="AG474">
        <f>IF($O474="Sí",COUNTIF($AG$1:AG473,"&gt;0")+1,"")</f>
      </c>
      <c r="AH474">
        <f>IF(AND($Q474="Disponible",$O474&lt;&gt;"Sí"),COUNTIF($AH$1:AH473,"&gt;0")+1,"")</f>
      </c>
      <c r="AI474">
        <f>IF(AND($Q474="Disponible",$K474&lt;&gt;""),COUNTIFS($K$2:K474,K474,$Q$2:Q474,"Disponible"),"")</f>
      </c>
      <c r="AJ474">
        <f>IF(AI474&lt;&gt;"",K474&amp;"|"&amp;AI474,"")</f>
      </c>
      <c r="AK474">
        <f>IF(AND($Q474="No disponible",OR($R474="Lista de espera · propio centro",$R474="Traslado de expediente",$R474="Lista de espera · otro centro"),$O474="Sí"),"la plaza ya tiene alumno y sigue marcada como refuerzo, ","")&amp;IF(AND($R474="Reconvertida en refuerzo",$O474&lt;&gt;"Sí"),"reconvertida en refuerzo pero sin marcar «En uso como refuerzo», ","")</f>
      </c>
    </row>
    <row r="475" spans="1:37">
      <c r="A475" s="20">
        <f>IF(D475&lt;&gt;"",ROW()-1,"")</f>
      </c>
      <c r="B475" s="55"/>
      <c r="C475" s="56"/>
      <c r="D475" s="56"/>
      <c r="E475" s="56"/>
      <c r="F475" s="56"/>
      <c r="G475" s="56"/>
      <c r="H475" s="56"/>
      <c r="I475" s="56"/>
      <c r="J475" s="57"/>
      <c r="K475" s="56"/>
      <c r="L475" s="58"/>
      <c r="M475" s="58">
        <f>IF(L475="","",L475)</f>
      </c>
      <c r="N475" s="56"/>
      <c r="O475" s="56"/>
      <c r="P475" s="57"/>
      <c r="Q475" s="56"/>
      <c r="R475" s="56"/>
      <c r="S475" s="56"/>
      <c r="T475" s="56"/>
      <c r="U475" s="56"/>
      <c r="V475" s="57"/>
      <c r="W475">
        <f>IF(Q475="Disponible",COUNTIFS($D$2:D475,D475,$Q$2:Q475,"Disponible"),"")</f>
      </c>
      <c r="X475">
        <f>IF(W475&lt;&gt;"",D475&amp;"|"&amp;W475,"")</f>
      </c>
      <c r="Y475">
        <f>IF(X475&lt;&gt;"",IF(K475&lt;&gt;"",K475&amp;" ("&amp;M475&amp;")",M475),"")</f>
      </c>
      <c r="Z475">
        <f>IF(O475="Sí",COUNTIFS($D$2:D475,D475,$O$2:O475,"Sí"),"")</f>
      </c>
      <c r="AA475">
        <f>IF(Z475&lt;&gt;"",D475&amp;"|"&amp;Z475,"")</f>
      </c>
      <c r="AB475">
        <f>IF(AA475&lt;&gt;"",IF(K475&lt;&gt;"",K475&amp;" ("&amp;M475&amp;")",M475),"")</f>
      </c>
      <c r="AC475">
        <f>IF($B475="","fecha, ","")&amp;IF($C475="","quién lo introduce, ","")&amp;IF($I475="","motivo, ","")&amp;IF($K475="","docente, ","")&amp;IF($L475="","horario, ","")&amp;IF($N475="","duración, ","")&amp;IF($Q475="","estado, ","")&amp;IF(AND($I475="Otros",$J475=""),"detalle del motivo, ","")&amp;IF(AND($O475="Sí",$P475=""),"detalle del refuerzo, ","")&amp;IF(AND(OR($I475="Renuncia (hasta 30 nov)",$I475="Baja (desde 1 dic)",$I475="Renuncia excepcional (art. 25.3)",$I475="Traslado de expediente"),OR($E475="",$F475="",$G475="")),"quién deja la plaza, ","")&amp;IF(AND($Q475="No disponible",$R475=""),"vía de cobertura, ","")&amp;IF(AND(OR($R475="Lista de espera · propio centro",$R475="Traslado de expediente",$R475="Lista de espera · otro centro"),OR($S475="",$T475="",$U475="")),"quién ocupa la plaza, ","")</f>
      </c>
      <c r="AD475" s="24">
        <f>IF($D475="","",IF(AND(LEN($AC475)=0,LEN($AK475)=0),"Completa",IF(LEN($AC475)=0,"Revisar: "&amp;LEFT($AK475,LEN($AK475)-2),"Falta: "&amp;LEFT($AC475,LEN($AC475)-2)&amp;IF(LEN($AK475)&gt;0,"  ·  Revisar: "&amp;LEFT($AK475,LEN($AK475)-2),""))))</f>
      </c>
      <c r="AE475">
        <f>IF(AND($D475&lt;&gt;"",OR($I475="Renuncia (hasta 30 nov)",$I475="Baja (desde 1 dic)",$I475="Renuncia excepcional (art. 25.3)",$I475="Traslado de expediente")),COUNTIF($AE$1:AE474,"&gt;0")+1,"")</f>
      </c>
      <c r="AF475">
        <f>IF($Q475="Disponible",COUNTIF($AF$1:AF474,"&gt;0")+1,"")</f>
      </c>
      <c r="AG475">
        <f>IF($O475="Sí",COUNTIF($AG$1:AG474,"&gt;0")+1,"")</f>
      </c>
      <c r="AH475">
        <f>IF(AND($Q475="Disponible",$O475&lt;&gt;"Sí"),COUNTIF($AH$1:AH474,"&gt;0")+1,"")</f>
      </c>
      <c r="AI475">
        <f>IF(AND($Q475="Disponible",$K475&lt;&gt;""),COUNTIFS($K$2:K475,K475,$Q$2:Q475,"Disponible"),"")</f>
      </c>
      <c r="AJ475">
        <f>IF(AI475&lt;&gt;"",K475&amp;"|"&amp;AI475,"")</f>
      </c>
      <c r="AK475">
        <f>IF(AND($Q475="No disponible",OR($R475="Lista de espera · propio centro",$R475="Traslado de expediente",$R475="Lista de espera · otro centro"),$O475="Sí"),"la plaza ya tiene alumno y sigue marcada como refuerzo, ","")&amp;IF(AND($R475="Reconvertida en refuerzo",$O475&lt;&gt;"Sí"),"reconvertida en refuerzo pero sin marcar «En uso como refuerzo», ","")</f>
      </c>
    </row>
    <row r="476" spans="1:37">
      <c r="A476" s="20">
        <f>IF(D476&lt;&gt;"",ROW()-1,"")</f>
      </c>
      <c r="B476" s="55"/>
      <c r="C476" s="56"/>
      <c r="D476" s="56"/>
      <c r="E476" s="56"/>
      <c r="F476" s="56"/>
      <c r="G476" s="56"/>
      <c r="H476" s="56"/>
      <c r="I476" s="56"/>
      <c r="J476" s="57"/>
      <c r="K476" s="56"/>
      <c r="L476" s="58"/>
      <c r="M476" s="58">
        <f>IF(L476="","",L476)</f>
      </c>
      <c r="N476" s="56"/>
      <c r="O476" s="56"/>
      <c r="P476" s="57"/>
      <c r="Q476" s="56"/>
      <c r="R476" s="56"/>
      <c r="S476" s="56"/>
      <c r="T476" s="56"/>
      <c r="U476" s="56"/>
      <c r="V476" s="57"/>
      <c r="W476">
        <f>IF(Q476="Disponible",COUNTIFS($D$2:D476,D476,$Q$2:Q476,"Disponible"),"")</f>
      </c>
      <c r="X476">
        <f>IF(W476&lt;&gt;"",D476&amp;"|"&amp;W476,"")</f>
      </c>
      <c r="Y476">
        <f>IF(X476&lt;&gt;"",IF(K476&lt;&gt;"",K476&amp;" ("&amp;M476&amp;")",M476),"")</f>
      </c>
      <c r="Z476">
        <f>IF(O476="Sí",COUNTIFS($D$2:D476,D476,$O$2:O476,"Sí"),"")</f>
      </c>
      <c r="AA476">
        <f>IF(Z476&lt;&gt;"",D476&amp;"|"&amp;Z476,"")</f>
      </c>
      <c r="AB476">
        <f>IF(AA476&lt;&gt;"",IF(K476&lt;&gt;"",K476&amp;" ("&amp;M476&amp;")",M476),"")</f>
      </c>
      <c r="AC476">
        <f>IF($B476="","fecha, ","")&amp;IF($C476="","quién lo introduce, ","")&amp;IF($I476="","motivo, ","")&amp;IF($K476="","docente, ","")&amp;IF($L476="","horario, ","")&amp;IF($N476="","duración, ","")&amp;IF($Q476="","estado, ","")&amp;IF(AND($I476="Otros",$J476=""),"detalle del motivo, ","")&amp;IF(AND($O476="Sí",$P476=""),"detalle del refuerzo, ","")&amp;IF(AND(OR($I476="Renuncia (hasta 30 nov)",$I476="Baja (desde 1 dic)",$I476="Renuncia excepcional (art. 25.3)",$I476="Traslado de expediente"),OR($E476="",$F476="",$G476="")),"quién deja la plaza, ","")&amp;IF(AND($Q476="No disponible",$R476=""),"vía de cobertura, ","")&amp;IF(AND(OR($R476="Lista de espera · propio centro",$R476="Traslado de expediente",$R476="Lista de espera · otro centro"),OR($S476="",$T476="",$U476="")),"quién ocupa la plaza, ","")</f>
      </c>
      <c r="AD476" s="24">
        <f>IF($D476="","",IF(AND(LEN($AC476)=0,LEN($AK476)=0),"Completa",IF(LEN($AC476)=0,"Revisar: "&amp;LEFT($AK476,LEN($AK476)-2),"Falta: "&amp;LEFT($AC476,LEN($AC476)-2)&amp;IF(LEN($AK476)&gt;0,"  ·  Revisar: "&amp;LEFT($AK476,LEN($AK476)-2),""))))</f>
      </c>
      <c r="AE476">
        <f>IF(AND($D476&lt;&gt;"",OR($I476="Renuncia (hasta 30 nov)",$I476="Baja (desde 1 dic)",$I476="Renuncia excepcional (art. 25.3)",$I476="Traslado de expediente")),COUNTIF($AE$1:AE475,"&gt;0")+1,"")</f>
      </c>
      <c r="AF476">
        <f>IF($Q476="Disponible",COUNTIF($AF$1:AF475,"&gt;0")+1,"")</f>
      </c>
      <c r="AG476">
        <f>IF($O476="Sí",COUNTIF($AG$1:AG475,"&gt;0")+1,"")</f>
      </c>
      <c r="AH476">
        <f>IF(AND($Q476="Disponible",$O476&lt;&gt;"Sí"),COUNTIF($AH$1:AH475,"&gt;0")+1,"")</f>
      </c>
      <c r="AI476">
        <f>IF(AND($Q476="Disponible",$K476&lt;&gt;""),COUNTIFS($K$2:K476,K476,$Q$2:Q476,"Disponible"),"")</f>
      </c>
      <c r="AJ476">
        <f>IF(AI476&lt;&gt;"",K476&amp;"|"&amp;AI476,"")</f>
      </c>
      <c r="AK476">
        <f>IF(AND($Q476="No disponible",OR($R476="Lista de espera · propio centro",$R476="Traslado de expediente",$R476="Lista de espera · otro centro"),$O476="Sí"),"la plaza ya tiene alumno y sigue marcada como refuerzo, ","")&amp;IF(AND($R476="Reconvertida en refuerzo",$O476&lt;&gt;"Sí"),"reconvertida en refuerzo pero sin marcar «En uso como refuerzo», ","")</f>
      </c>
    </row>
    <row r="477" spans="1:37">
      <c r="A477" s="20">
        <f>IF(D477&lt;&gt;"",ROW()-1,"")</f>
      </c>
      <c r="B477" s="55"/>
      <c r="C477" s="56"/>
      <c r="D477" s="56"/>
      <c r="E477" s="56"/>
      <c r="F477" s="56"/>
      <c r="G477" s="56"/>
      <c r="H477" s="56"/>
      <c r="I477" s="56"/>
      <c r="J477" s="57"/>
      <c r="K477" s="56"/>
      <c r="L477" s="58"/>
      <c r="M477" s="58">
        <f>IF(L477="","",L477)</f>
      </c>
      <c r="N477" s="56"/>
      <c r="O477" s="56"/>
      <c r="P477" s="57"/>
      <c r="Q477" s="56"/>
      <c r="R477" s="56"/>
      <c r="S477" s="56"/>
      <c r="T477" s="56"/>
      <c r="U477" s="56"/>
      <c r="V477" s="57"/>
      <c r="W477">
        <f>IF(Q477="Disponible",COUNTIFS($D$2:D477,D477,$Q$2:Q477,"Disponible"),"")</f>
      </c>
      <c r="X477">
        <f>IF(W477&lt;&gt;"",D477&amp;"|"&amp;W477,"")</f>
      </c>
      <c r="Y477">
        <f>IF(X477&lt;&gt;"",IF(K477&lt;&gt;"",K477&amp;" ("&amp;M477&amp;")",M477),"")</f>
      </c>
      <c r="Z477">
        <f>IF(O477="Sí",COUNTIFS($D$2:D477,D477,$O$2:O477,"Sí"),"")</f>
      </c>
      <c r="AA477">
        <f>IF(Z477&lt;&gt;"",D477&amp;"|"&amp;Z477,"")</f>
      </c>
      <c r="AB477">
        <f>IF(AA477&lt;&gt;"",IF(K477&lt;&gt;"",K477&amp;" ("&amp;M477&amp;")",M477),"")</f>
      </c>
      <c r="AC477">
        <f>IF($B477="","fecha, ","")&amp;IF($C477="","quién lo introduce, ","")&amp;IF($I477="","motivo, ","")&amp;IF($K477="","docente, ","")&amp;IF($L477="","horario, ","")&amp;IF($N477="","duración, ","")&amp;IF($Q477="","estado, ","")&amp;IF(AND($I477="Otros",$J477=""),"detalle del motivo, ","")&amp;IF(AND($O477="Sí",$P477=""),"detalle del refuerzo, ","")&amp;IF(AND(OR($I477="Renuncia (hasta 30 nov)",$I477="Baja (desde 1 dic)",$I477="Renuncia excepcional (art. 25.3)",$I477="Traslado de expediente"),OR($E477="",$F477="",$G477="")),"quién deja la plaza, ","")&amp;IF(AND($Q477="No disponible",$R477=""),"vía de cobertura, ","")&amp;IF(AND(OR($R477="Lista de espera · propio centro",$R477="Traslado de expediente",$R477="Lista de espera · otro centro"),OR($S477="",$T477="",$U477="")),"quién ocupa la plaza, ","")</f>
      </c>
      <c r="AD477" s="24">
        <f>IF($D477="","",IF(AND(LEN($AC477)=0,LEN($AK477)=0),"Completa",IF(LEN($AC477)=0,"Revisar: "&amp;LEFT($AK477,LEN($AK477)-2),"Falta: "&amp;LEFT($AC477,LEN($AC477)-2)&amp;IF(LEN($AK477)&gt;0,"  ·  Revisar: "&amp;LEFT($AK477,LEN($AK477)-2),""))))</f>
      </c>
      <c r="AE477">
        <f>IF(AND($D477&lt;&gt;"",OR($I477="Renuncia (hasta 30 nov)",$I477="Baja (desde 1 dic)",$I477="Renuncia excepcional (art. 25.3)",$I477="Traslado de expediente")),COUNTIF($AE$1:AE476,"&gt;0")+1,"")</f>
      </c>
      <c r="AF477">
        <f>IF($Q477="Disponible",COUNTIF($AF$1:AF476,"&gt;0")+1,"")</f>
      </c>
      <c r="AG477">
        <f>IF($O477="Sí",COUNTIF($AG$1:AG476,"&gt;0")+1,"")</f>
      </c>
      <c r="AH477">
        <f>IF(AND($Q477="Disponible",$O477&lt;&gt;"Sí"),COUNTIF($AH$1:AH476,"&gt;0")+1,"")</f>
      </c>
      <c r="AI477">
        <f>IF(AND($Q477="Disponible",$K477&lt;&gt;""),COUNTIFS($K$2:K477,K477,$Q$2:Q477,"Disponible"),"")</f>
      </c>
      <c r="AJ477">
        <f>IF(AI477&lt;&gt;"",K477&amp;"|"&amp;AI477,"")</f>
      </c>
      <c r="AK477">
        <f>IF(AND($Q477="No disponible",OR($R477="Lista de espera · propio centro",$R477="Traslado de expediente",$R477="Lista de espera · otro centro"),$O477="Sí"),"la plaza ya tiene alumno y sigue marcada como refuerzo, ","")&amp;IF(AND($R477="Reconvertida en refuerzo",$O477&lt;&gt;"Sí"),"reconvertida en refuerzo pero sin marcar «En uso como refuerzo», ","")</f>
      </c>
    </row>
    <row r="478" spans="1:37">
      <c r="A478" s="20">
        <f>IF(D478&lt;&gt;"",ROW()-1,"")</f>
      </c>
      <c r="B478" s="55"/>
      <c r="C478" s="56"/>
      <c r="D478" s="56"/>
      <c r="E478" s="56"/>
      <c r="F478" s="56"/>
      <c r="G478" s="56"/>
      <c r="H478" s="56"/>
      <c r="I478" s="56"/>
      <c r="J478" s="57"/>
      <c r="K478" s="56"/>
      <c r="L478" s="58"/>
      <c r="M478" s="58">
        <f>IF(L478="","",L478)</f>
      </c>
      <c r="N478" s="56"/>
      <c r="O478" s="56"/>
      <c r="P478" s="57"/>
      <c r="Q478" s="56"/>
      <c r="R478" s="56"/>
      <c r="S478" s="56"/>
      <c r="T478" s="56"/>
      <c r="U478" s="56"/>
      <c r="V478" s="57"/>
      <c r="W478">
        <f>IF(Q478="Disponible",COUNTIFS($D$2:D478,D478,$Q$2:Q478,"Disponible"),"")</f>
      </c>
      <c r="X478">
        <f>IF(W478&lt;&gt;"",D478&amp;"|"&amp;W478,"")</f>
      </c>
      <c r="Y478">
        <f>IF(X478&lt;&gt;"",IF(K478&lt;&gt;"",K478&amp;" ("&amp;M478&amp;")",M478),"")</f>
      </c>
      <c r="Z478">
        <f>IF(O478="Sí",COUNTIFS($D$2:D478,D478,$O$2:O478,"Sí"),"")</f>
      </c>
      <c r="AA478">
        <f>IF(Z478&lt;&gt;"",D478&amp;"|"&amp;Z478,"")</f>
      </c>
      <c r="AB478">
        <f>IF(AA478&lt;&gt;"",IF(K478&lt;&gt;"",K478&amp;" ("&amp;M478&amp;")",M478),"")</f>
      </c>
      <c r="AC478">
        <f>IF($B478="","fecha, ","")&amp;IF($C478="","quién lo introduce, ","")&amp;IF($I478="","motivo, ","")&amp;IF($K478="","docente, ","")&amp;IF($L478="","horario, ","")&amp;IF($N478="","duración, ","")&amp;IF($Q478="","estado, ","")&amp;IF(AND($I478="Otros",$J478=""),"detalle del motivo, ","")&amp;IF(AND($O478="Sí",$P478=""),"detalle del refuerzo, ","")&amp;IF(AND(OR($I478="Renuncia (hasta 30 nov)",$I478="Baja (desde 1 dic)",$I478="Renuncia excepcional (art. 25.3)",$I478="Traslado de expediente"),OR($E478="",$F478="",$G478="")),"quién deja la plaza, ","")&amp;IF(AND($Q478="No disponible",$R478=""),"vía de cobertura, ","")&amp;IF(AND(OR($R478="Lista de espera · propio centro",$R478="Traslado de expediente",$R478="Lista de espera · otro centro"),OR($S478="",$T478="",$U478="")),"quién ocupa la plaza, ","")</f>
      </c>
      <c r="AD478" s="24">
        <f>IF($D478="","",IF(AND(LEN($AC478)=0,LEN($AK478)=0),"Completa",IF(LEN($AC478)=0,"Revisar: "&amp;LEFT($AK478,LEN($AK478)-2),"Falta: "&amp;LEFT($AC478,LEN($AC478)-2)&amp;IF(LEN($AK478)&gt;0,"  ·  Revisar: "&amp;LEFT($AK478,LEN($AK478)-2),""))))</f>
      </c>
      <c r="AE478">
        <f>IF(AND($D478&lt;&gt;"",OR($I478="Renuncia (hasta 30 nov)",$I478="Baja (desde 1 dic)",$I478="Renuncia excepcional (art. 25.3)",$I478="Traslado de expediente")),COUNTIF($AE$1:AE477,"&gt;0")+1,"")</f>
      </c>
      <c r="AF478">
        <f>IF($Q478="Disponible",COUNTIF($AF$1:AF477,"&gt;0")+1,"")</f>
      </c>
      <c r="AG478">
        <f>IF($O478="Sí",COUNTIF($AG$1:AG477,"&gt;0")+1,"")</f>
      </c>
      <c r="AH478">
        <f>IF(AND($Q478="Disponible",$O478&lt;&gt;"Sí"),COUNTIF($AH$1:AH477,"&gt;0")+1,"")</f>
      </c>
      <c r="AI478">
        <f>IF(AND($Q478="Disponible",$K478&lt;&gt;""),COUNTIFS($K$2:K478,K478,$Q$2:Q478,"Disponible"),"")</f>
      </c>
      <c r="AJ478">
        <f>IF(AI478&lt;&gt;"",K478&amp;"|"&amp;AI478,"")</f>
      </c>
      <c r="AK478">
        <f>IF(AND($Q478="No disponible",OR($R478="Lista de espera · propio centro",$R478="Traslado de expediente",$R478="Lista de espera · otro centro"),$O478="Sí"),"la plaza ya tiene alumno y sigue marcada como refuerzo, ","")&amp;IF(AND($R478="Reconvertida en refuerzo",$O478&lt;&gt;"Sí"),"reconvertida en refuerzo pero sin marcar «En uso como refuerzo», ","")</f>
      </c>
    </row>
    <row r="479" spans="1:37">
      <c r="A479" s="20">
        <f>IF(D479&lt;&gt;"",ROW()-1,"")</f>
      </c>
      <c r="B479" s="55"/>
      <c r="C479" s="56"/>
      <c r="D479" s="56"/>
      <c r="E479" s="56"/>
      <c r="F479" s="56"/>
      <c r="G479" s="56"/>
      <c r="H479" s="56"/>
      <c r="I479" s="56"/>
      <c r="J479" s="57"/>
      <c r="K479" s="56"/>
      <c r="L479" s="58"/>
      <c r="M479" s="58">
        <f>IF(L479="","",L479)</f>
      </c>
      <c r="N479" s="56"/>
      <c r="O479" s="56"/>
      <c r="P479" s="57"/>
      <c r="Q479" s="56"/>
      <c r="R479" s="56"/>
      <c r="S479" s="56"/>
      <c r="T479" s="56"/>
      <c r="U479" s="56"/>
      <c r="V479" s="57"/>
      <c r="W479">
        <f>IF(Q479="Disponible",COUNTIFS($D$2:D479,D479,$Q$2:Q479,"Disponible"),"")</f>
      </c>
      <c r="X479">
        <f>IF(W479&lt;&gt;"",D479&amp;"|"&amp;W479,"")</f>
      </c>
      <c r="Y479">
        <f>IF(X479&lt;&gt;"",IF(K479&lt;&gt;"",K479&amp;" ("&amp;M479&amp;")",M479),"")</f>
      </c>
      <c r="Z479">
        <f>IF(O479="Sí",COUNTIFS($D$2:D479,D479,$O$2:O479,"Sí"),"")</f>
      </c>
      <c r="AA479">
        <f>IF(Z479&lt;&gt;"",D479&amp;"|"&amp;Z479,"")</f>
      </c>
      <c r="AB479">
        <f>IF(AA479&lt;&gt;"",IF(K479&lt;&gt;"",K479&amp;" ("&amp;M479&amp;")",M479),"")</f>
      </c>
      <c r="AC479">
        <f>IF($B479="","fecha, ","")&amp;IF($C479="","quién lo introduce, ","")&amp;IF($I479="","motivo, ","")&amp;IF($K479="","docente, ","")&amp;IF($L479="","horario, ","")&amp;IF($N479="","duración, ","")&amp;IF($Q479="","estado, ","")&amp;IF(AND($I479="Otros",$J479=""),"detalle del motivo, ","")&amp;IF(AND($O479="Sí",$P479=""),"detalle del refuerzo, ","")&amp;IF(AND(OR($I479="Renuncia (hasta 30 nov)",$I479="Baja (desde 1 dic)",$I479="Renuncia excepcional (art. 25.3)",$I479="Traslado de expediente"),OR($E479="",$F479="",$G479="")),"quién deja la plaza, ","")&amp;IF(AND($Q479="No disponible",$R479=""),"vía de cobertura, ","")&amp;IF(AND(OR($R479="Lista de espera · propio centro",$R479="Traslado de expediente",$R479="Lista de espera · otro centro"),OR($S479="",$T479="",$U479="")),"quién ocupa la plaza, ","")</f>
      </c>
      <c r="AD479" s="24">
        <f>IF($D479="","",IF(AND(LEN($AC479)=0,LEN($AK479)=0),"Completa",IF(LEN($AC479)=0,"Revisar: "&amp;LEFT($AK479,LEN($AK479)-2),"Falta: "&amp;LEFT($AC479,LEN($AC479)-2)&amp;IF(LEN($AK479)&gt;0,"  ·  Revisar: "&amp;LEFT($AK479,LEN($AK479)-2),""))))</f>
      </c>
      <c r="AE479">
        <f>IF(AND($D479&lt;&gt;"",OR($I479="Renuncia (hasta 30 nov)",$I479="Baja (desde 1 dic)",$I479="Renuncia excepcional (art. 25.3)",$I479="Traslado de expediente")),COUNTIF($AE$1:AE478,"&gt;0")+1,"")</f>
      </c>
      <c r="AF479">
        <f>IF($Q479="Disponible",COUNTIF($AF$1:AF478,"&gt;0")+1,"")</f>
      </c>
      <c r="AG479">
        <f>IF($O479="Sí",COUNTIF($AG$1:AG478,"&gt;0")+1,"")</f>
      </c>
      <c r="AH479">
        <f>IF(AND($Q479="Disponible",$O479&lt;&gt;"Sí"),COUNTIF($AH$1:AH478,"&gt;0")+1,"")</f>
      </c>
      <c r="AI479">
        <f>IF(AND($Q479="Disponible",$K479&lt;&gt;""),COUNTIFS($K$2:K479,K479,$Q$2:Q479,"Disponible"),"")</f>
      </c>
      <c r="AJ479">
        <f>IF(AI479&lt;&gt;"",K479&amp;"|"&amp;AI479,"")</f>
      </c>
      <c r="AK479">
        <f>IF(AND($Q479="No disponible",OR($R479="Lista de espera · propio centro",$R479="Traslado de expediente",$R479="Lista de espera · otro centro"),$O479="Sí"),"la plaza ya tiene alumno y sigue marcada como refuerzo, ","")&amp;IF(AND($R479="Reconvertida en refuerzo",$O479&lt;&gt;"Sí"),"reconvertida en refuerzo pero sin marcar «En uso como refuerzo», ","")</f>
      </c>
    </row>
    <row r="480" spans="1:37">
      <c r="A480" s="20">
        <f>IF(D480&lt;&gt;"",ROW()-1,"")</f>
      </c>
      <c r="B480" s="55"/>
      <c r="C480" s="56"/>
      <c r="D480" s="56"/>
      <c r="E480" s="56"/>
      <c r="F480" s="56"/>
      <c r="G480" s="56"/>
      <c r="H480" s="56"/>
      <c r="I480" s="56"/>
      <c r="J480" s="57"/>
      <c r="K480" s="56"/>
      <c r="L480" s="58"/>
      <c r="M480" s="58">
        <f>IF(L480="","",L480)</f>
      </c>
      <c r="N480" s="56"/>
      <c r="O480" s="56"/>
      <c r="P480" s="57"/>
      <c r="Q480" s="56"/>
      <c r="R480" s="56"/>
      <c r="S480" s="56"/>
      <c r="T480" s="56"/>
      <c r="U480" s="56"/>
      <c r="V480" s="57"/>
      <c r="W480">
        <f>IF(Q480="Disponible",COUNTIFS($D$2:D480,D480,$Q$2:Q480,"Disponible"),"")</f>
      </c>
      <c r="X480">
        <f>IF(W480&lt;&gt;"",D480&amp;"|"&amp;W480,"")</f>
      </c>
      <c r="Y480">
        <f>IF(X480&lt;&gt;"",IF(K480&lt;&gt;"",K480&amp;" ("&amp;M480&amp;")",M480),"")</f>
      </c>
      <c r="Z480">
        <f>IF(O480="Sí",COUNTIFS($D$2:D480,D480,$O$2:O480,"Sí"),"")</f>
      </c>
      <c r="AA480">
        <f>IF(Z480&lt;&gt;"",D480&amp;"|"&amp;Z480,"")</f>
      </c>
      <c r="AB480">
        <f>IF(AA480&lt;&gt;"",IF(K480&lt;&gt;"",K480&amp;" ("&amp;M480&amp;")",M480),"")</f>
      </c>
      <c r="AC480">
        <f>IF($B480="","fecha, ","")&amp;IF($C480="","quién lo introduce, ","")&amp;IF($I480="","motivo, ","")&amp;IF($K480="","docente, ","")&amp;IF($L480="","horario, ","")&amp;IF($N480="","duración, ","")&amp;IF($Q480="","estado, ","")&amp;IF(AND($I480="Otros",$J480=""),"detalle del motivo, ","")&amp;IF(AND($O480="Sí",$P480=""),"detalle del refuerzo, ","")&amp;IF(AND(OR($I480="Renuncia (hasta 30 nov)",$I480="Baja (desde 1 dic)",$I480="Renuncia excepcional (art. 25.3)",$I480="Traslado de expediente"),OR($E480="",$F480="",$G480="")),"quién deja la plaza, ","")&amp;IF(AND($Q480="No disponible",$R480=""),"vía de cobertura, ","")&amp;IF(AND(OR($R480="Lista de espera · propio centro",$R480="Traslado de expediente",$R480="Lista de espera · otro centro"),OR($S480="",$T480="",$U480="")),"quién ocupa la plaza, ","")</f>
      </c>
      <c r="AD480" s="24">
        <f>IF($D480="","",IF(AND(LEN($AC480)=0,LEN($AK480)=0),"Completa",IF(LEN($AC480)=0,"Revisar: "&amp;LEFT($AK480,LEN($AK480)-2),"Falta: "&amp;LEFT($AC480,LEN($AC480)-2)&amp;IF(LEN($AK480)&gt;0,"  ·  Revisar: "&amp;LEFT($AK480,LEN($AK480)-2),""))))</f>
      </c>
      <c r="AE480">
        <f>IF(AND($D480&lt;&gt;"",OR($I480="Renuncia (hasta 30 nov)",$I480="Baja (desde 1 dic)",$I480="Renuncia excepcional (art. 25.3)",$I480="Traslado de expediente")),COUNTIF($AE$1:AE479,"&gt;0")+1,"")</f>
      </c>
      <c r="AF480">
        <f>IF($Q480="Disponible",COUNTIF($AF$1:AF479,"&gt;0")+1,"")</f>
      </c>
      <c r="AG480">
        <f>IF($O480="Sí",COUNTIF($AG$1:AG479,"&gt;0")+1,"")</f>
      </c>
      <c r="AH480">
        <f>IF(AND($Q480="Disponible",$O480&lt;&gt;"Sí"),COUNTIF($AH$1:AH479,"&gt;0")+1,"")</f>
      </c>
      <c r="AI480">
        <f>IF(AND($Q480="Disponible",$K480&lt;&gt;""),COUNTIFS($K$2:K480,K480,$Q$2:Q480,"Disponible"),"")</f>
      </c>
      <c r="AJ480">
        <f>IF(AI480&lt;&gt;"",K480&amp;"|"&amp;AI480,"")</f>
      </c>
      <c r="AK480">
        <f>IF(AND($Q480="No disponible",OR($R480="Lista de espera · propio centro",$R480="Traslado de expediente",$R480="Lista de espera · otro centro"),$O480="Sí"),"la plaza ya tiene alumno y sigue marcada como refuerzo, ","")&amp;IF(AND($R480="Reconvertida en refuerzo",$O480&lt;&gt;"Sí"),"reconvertida en refuerzo pero sin marcar «En uso como refuerzo», ","")</f>
      </c>
    </row>
    <row r="481" spans="1:37">
      <c r="A481" s="20">
        <f>IF(D481&lt;&gt;"",ROW()-1,"")</f>
      </c>
      <c r="B481" s="55"/>
      <c r="C481" s="56"/>
      <c r="D481" s="56"/>
      <c r="E481" s="56"/>
      <c r="F481" s="56"/>
      <c r="G481" s="56"/>
      <c r="H481" s="56"/>
      <c r="I481" s="56"/>
      <c r="J481" s="57"/>
      <c r="K481" s="56"/>
      <c r="L481" s="58"/>
      <c r="M481" s="58">
        <f>IF(L481="","",L481)</f>
      </c>
      <c r="N481" s="56"/>
      <c r="O481" s="56"/>
      <c r="P481" s="57"/>
      <c r="Q481" s="56"/>
      <c r="R481" s="56"/>
      <c r="S481" s="56"/>
      <c r="T481" s="56"/>
      <c r="U481" s="56"/>
      <c r="V481" s="57"/>
      <c r="W481">
        <f>IF(Q481="Disponible",COUNTIFS($D$2:D481,D481,$Q$2:Q481,"Disponible"),"")</f>
      </c>
      <c r="X481">
        <f>IF(W481&lt;&gt;"",D481&amp;"|"&amp;W481,"")</f>
      </c>
      <c r="Y481">
        <f>IF(X481&lt;&gt;"",IF(K481&lt;&gt;"",K481&amp;" ("&amp;M481&amp;")",M481),"")</f>
      </c>
      <c r="Z481">
        <f>IF(O481="Sí",COUNTIFS($D$2:D481,D481,$O$2:O481,"Sí"),"")</f>
      </c>
      <c r="AA481">
        <f>IF(Z481&lt;&gt;"",D481&amp;"|"&amp;Z481,"")</f>
      </c>
      <c r="AB481">
        <f>IF(AA481&lt;&gt;"",IF(K481&lt;&gt;"",K481&amp;" ("&amp;M481&amp;")",M481),"")</f>
      </c>
      <c r="AC481">
        <f>IF($B481="","fecha, ","")&amp;IF($C481="","quién lo introduce, ","")&amp;IF($I481="","motivo, ","")&amp;IF($K481="","docente, ","")&amp;IF($L481="","horario, ","")&amp;IF($N481="","duración, ","")&amp;IF($Q481="","estado, ","")&amp;IF(AND($I481="Otros",$J481=""),"detalle del motivo, ","")&amp;IF(AND($O481="Sí",$P481=""),"detalle del refuerzo, ","")&amp;IF(AND(OR($I481="Renuncia (hasta 30 nov)",$I481="Baja (desde 1 dic)",$I481="Renuncia excepcional (art. 25.3)",$I481="Traslado de expediente"),OR($E481="",$F481="",$G481="")),"quién deja la plaza, ","")&amp;IF(AND($Q481="No disponible",$R481=""),"vía de cobertura, ","")&amp;IF(AND(OR($R481="Lista de espera · propio centro",$R481="Traslado de expediente",$R481="Lista de espera · otro centro"),OR($S481="",$T481="",$U481="")),"quién ocupa la plaza, ","")</f>
      </c>
      <c r="AD481" s="24">
        <f>IF($D481="","",IF(AND(LEN($AC481)=0,LEN($AK481)=0),"Completa",IF(LEN($AC481)=0,"Revisar: "&amp;LEFT($AK481,LEN($AK481)-2),"Falta: "&amp;LEFT($AC481,LEN($AC481)-2)&amp;IF(LEN($AK481)&gt;0,"  ·  Revisar: "&amp;LEFT($AK481,LEN($AK481)-2),""))))</f>
      </c>
      <c r="AE481">
        <f>IF(AND($D481&lt;&gt;"",OR($I481="Renuncia (hasta 30 nov)",$I481="Baja (desde 1 dic)",$I481="Renuncia excepcional (art. 25.3)",$I481="Traslado de expediente")),COUNTIF($AE$1:AE480,"&gt;0")+1,"")</f>
      </c>
      <c r="AF481">
        <f>IF($Q481="Disponible",COUNTIF($AF$1:AF480,"&gt;0")+1,"")</f>
      </c>
      <c r="AG481">
        <f>IF($O481="Sí",COUNTIF($AG$1:AG480,"&gt;0")+1,"")</f>
      </c>
      <c r="AH481">
        <f>IF(AND($Q481="Disponible",$O481&lt;&gt;"Sí"),COUNTIF($AH$1:AH480,"&gt;0")+1,"")</f>
      </c>
      <c r="AI481">
        <f>IF(AND($Q481="Disponible",$K481&lt;&gt;""),COUNTIFS($K$2:K481,K481,$Q$2:Q481,"Disponible"),"")</f>
      </c>
      <c r="AJ481">
        <f>IF(AI481&lt;&gt;"",K481&amp;"|"&amp;AI481,"")</f>
      </c>
      <c r="AK481">
        <f>IF(AND($Q481="No disponible",OR($R481="Lista de espera · propio centro",$R481="Traslado de expediente",$R481="Lista de espera · otro centro"),$O481="Sí"),"la plaza ya tiene alumno y sigue marcada como refuerzo, ","")&amp;IF(AND($R481="Reconvertida en refuerzo",$O481&lt;&gt;"Sí"),"reconvertida en refuerzo pero sin marcar «En uso como refuerzo», ","")</f>
      </c>
    </row>
    <row r="482" spans="1:37">
      <c r="A482" s="20">
        <f>IF(D482&lt;&gt;"",ROW()-1,"")</f>
      </c>
      <c r="B482" s="55"/>
      <c r="C482" s="56"/>
      <c r="D482" s="56"/>
      <c r="E482" s="56"/>
      <c r="F482" s="56"/>
      <c r="G482" s="56"/>
      <c r="H482" s="56"/>
      <c r="I482" s="56"/>
      <c r="J482" s="57"/>
      <c r="K482" s="56"/>
      <c r="L482" s="58"/>
      <c r="M482" s="58">
        <f>IF(L482="","",L482)</f>
      </c>
      <c r="N482" s="56"/>
      <c r="O482" s="56"/>
      <c r="P482" s="57"/>
      <c r="Q482" s="56"/>
      <c r="R482" s="56"/>
      <c r="S482" s="56"/>
      <c r="T482" s="56"/>
      <c r="U482" s="56"/>
      <c r="V482" s="57"/>
      <c r="W482">
        <f>IF(Q482="Disponible",COUNTIFS($D$2:D482,D482,$Q$2:Q482,"Disponible"),"")</f>
      </c>
      <c r="X482">
        <f>IF(W482&lt;&gt;"",D482&amp;"|"&amp;W482,"")</f>
      </c>
      <c r="Y482">
        <f>IF(X482&lt;&gt;"",IF(K482&lt;&gt;"",K482&amp;" ("&amp;M482&amp;")",M482),"")</f>
      </c>
      <c r="Z482">
        <f>IF(O482="Sí",COUNTIFS($D$2:D482,D482,$O$2:O482,"Sí"),"")</f>
      </c>
      <c r="AA482">
        <f>IF(Z482&lt;&gt;"",D482&amp;"|"&amp;Z482,"")</f>
      </c>
      <c r="AB482">
        <f>IF(AA482&lt;&gt;"",IF(K482&lt;&gt;"",K482&amp;" ("&amp;M482&amp;")",M482),"")</f>
      </c>
      <c r="AC482">
        <f>IF($B482="","fecha, ","")&amp;IF($C482="","quién lo introduce, ","")&amp;IF($I482="","motivo, ","")&amp;IF($K482="","docente, ","")&amp;IF($L482="","horario, ","")&amp;IF($N482="","duración, ","")&amp;IF($Q482="","estado, ","")&amp;IF(AND($I482="Otros",$J482=""),"detalle del motivo, ","")&amp;IF(AND($O482="Sí",$P482=""),"detalle del refuerzo, ","")&amp;IF(AND(OR($I482="Renuncia (hasta 30 nov)",$I482="Baja (desde 1 dic)",$I482="Renuncia excepcional (art. 25.3)",$I482="Traslado de expediente"),OR($E482="",$F482="",$G482="")),"quién deja la plaza, ","")&amp;IF(AND($Q482="No disponible",$R482=""),"vía de cobertura, ","")&amp;IF(AND(OR($R482="Lista de espera · propio centro",$R482="Traslado de expediente",$R482="Lista de espera · otro centro"),OR($S482="",$T482="",$U482="")),"quién ocupa la plaza, ","")</f>
      </c>
      <c r="AD482" s="24">
        <f>IF($D482="","",IF(AND(LEN($AC482)=0,LEN($AK482)=0),"Completa",IF(LEN($AC482)=0,"Revisar: "&amp;LEFT($AK482,LEN($AK482)-2),"Falta: "&amp;LEFT($AC482,LEN($AC482)-2)&amp;IF(LEN($AK482)&gt;0,"  ·  Revisar: "&amp;LEFT($AK482,LEN($AK482)-2),""))))</f>
      </c>
      <c r="AE482">
        <f>IF(AND($D482&lt;&gt;"",OR($I482="Renuncia (hasta 30 nov)",$I482="Baja (desde 1 dic)",$I482="Renuncia excepcional (art. 25.3)",$I482="Traslado de expediente")),COUNTIF($AE$1:AE481,"&gt;0")+1,"")</f>
      </c>
      <c r="AF482">
        <f>IF($Q482="Disponible",COUNTIF($AF$1:AF481,"&gt;0")+1,"")</f>
      </c>
      <c r="AG482">
        <f>IF($O482="Sí",COUNTIF($AG$1:AG481,"&gt;0")+1,"")</f>
      </c>
      <c r="AH482">
        <f>IF(AND($Q482="Disponible",$O482&lt;&gt;"Sí"),COUNTIF($AH$1:AH481,"&gt;0")+1,"")</f>
      </c>
      <c r="AI482">
        <f>IF(AND($Q482="Disponible",$K482&lt;&gt;""),COUNTIFS($K$2:K482,K482,$Q$2:Q482,"Disponible"),"")</f>
      </c>
      <c r="AJ482">
        <f>IF(AI482&lt;&gt;"",K482&amp;"|"&amp;AI482,"")</f>
      </c>
      <c r="AK482">
        <f>IF(AND($Q482="No disponible",OR($R482="Lista de espera · propio centro",$R482="Traslado de expediente",$R482="Lista de espera · otro centro"),$O482="Sí"),"la plaza ya tiene alumno y sigue marcada como refuerzo, ","")&amp;IF(AND($R482="Reconvertida en refuerzo",$O482&lt;&gt;"Sí"),"reconvertida en refuerzo pero sin marcar «En uso como refuerzo», ","")</f>
      </c>
    </row>
    <row r="483" spans="1:37">
      <c r="A483" s="20">
        <f>IF(D483&lt;&gt;"",ROW()-1,"")</f>
      </c>
      <c r="B483" s="55"/>
      <c r="C483" s="56"/>
      <c r="D483" s="56"/>
      <c r="E483" s="56"/>
      <c r="F483" s="56"/>
      <c r="G483" s="56"/>
      <c r="H483" s="56"/>
      <c r="I483" s="56"/>
      <c r="J483" s="57"/>
      <c r="K483" s="56"/>
      <c r="L483" s="58"/>
      <c r="M483" s="58">
        <f>IF(L483="","",L483)</f>
      </c>
      <c r="N483" s="56"/>
      <c r="O483" s="56"/>
      <c r="P483" s="57"/>
      <c r="Q483" s="56"/>
      <c r="R483" s="56"/>
      <c r="S483" s="56"/>
      <c r="T483" s="56"/>
      <c r="U483" s="56"/>
      <c r="V483" s="57"/>
      <c r="W483">
        <f>IF(Q483="Disponible",COUNTIFS($D$2:D483,D483,$Q$2:Q483,"Disponible"),"")</f>
      </c>
      <c r="X483">
        <f>IF(W483&lt;&gt;"",D483&amp;"|"&amp;W483,"")</f>
      </c>
      <c r="Y483">
        <f>IF(X483&lt;&gt;"",IF(K483&lt;&gt;"",K483&amp;" ("&amp;M483&amp;")",M483),"")</f>
      </c>
      <c r="Z483">
        <f>IF(O483="Sí",COUNTIFS($D$2:D483,D483,$O$2:O483,"Sí"),"")</f>
      </c>
      <c r="AA483">
        <f>IF(Z483&lt;&gt;"",D483&amp;"|"&amp;Z483,"")</f>
      </c>
      <c r="AB483">
        <f>IF(AA483&lt;&gt;"",IF(K483&lt;&gt;"",K483&amp;" ("&amp;M483&amp;")",M483),"")</f>
      </c>
      <c r="AC483">
        <f>IF($B483="","fecha, ","")&amp;IF($C483="","quién lo introduce, ","")&amp;IF($I483="","motivo, ","")&amp;IF($K483="","docente, ","")&amp;IF($L483="","horario, ","")&amp;IF($N483="","duración, ","")&amp;IF($Q483="","estado, ","")&amp;IF(AND($I483="Otros",$J483=""),"detalle del motivo, ","")&amp;IF(AND($O483="Sí",$P483=""),"detalle del refuerzo, ","")&amp;IF(AND(OR($I483="Renuncia (hasta 30 nov)",$I483="Baja (desde 1 dic)",$I483="Renuncia excepcional (art. 25.3)",$I483="Traslado de expediente"),OR($E483="",$F483="",$G483="")),"quién deja la plaza, ","")&amp;IF(AND($Q483="No disponible",$R483=""),"vía de cobertura, ","")&amp;IF(AND(OR($R483="Lista de espera · propio centro",$R483="Traslado de expediente",$R483="Lista de espera · otro centro"),OR($S483="",$T483="",$U483="")),"quién ocupa la plaza, ","")</f>
      </c>
      <c r="AD483" s="24">
        <f>IF($D483="","",IF(AND(LEN($AC483)=0,LEN($AK483)=0),"Completa",IF(LEN($AC483)=0,"Revisar: "&amp;LEFT($AK483,LEN($AK483)-2),"Falta: "&amp;LEFT($AC483,LEN($AC483)-2)&amp;IF(LEN($AK483)&gt;0,"  ·  Revisar: "&amp;LEFT($AK483,LEN($AK483)-2),""))))</f>
      </c>
      <c r="AE483">
        <f>IF(AND($D483&lt;&gt;"",OR($I483="Renuncia (hasta 30 nov)",$I483="Baja (desde 1 dic)",$I483="Renuncia excepcional (art. 25.3)",$I483="Traslado de expediente")),COUNTIF($AE$1:AE482,"&gt;0")+1,"")</f>
      </c>
      <c r="AF483">
        <f>IF($Q483="Disponible",COUNTIF($AF$1:AF482,"&gt;0")+1,"")</f>
      </c>
      <c r="AG483">
        <f>IF($O483="Sí",COUNTIF($AG$1:AG482,"&gt;0")+1,"")</f>
      </c>
      <c r="AH483">
        <f>IF(AND($Q483="Disponible",$O483&lt;&gt;"Sí"),COUNTIF($AH$1:AH482,"&gt;0")+1,"")</f>
      </c>
      <c r="AI483">
        <f>IF(AND($Q483="Disponible",$K483&lt;&gt;""),COUNTIFS($K$2:K483,K483,$Q$2:Q483,"Disponible"),"")</f>
      </c>
      <c r="AJ483">
        <f>IF(AI483&lt;&gt;"",K483&amp;"|"&amp;AI483,"")</f>
      </c>
      <c r="AK483">
        <f>IF(AND($Q483="No disponible",OR($R483="Lista de espera · propio centro",$R483="Traslado de expediente",$R483="Lista de espera · otro centro"),$O483="Sí"),"la plaza ya tiene alumno y sigue marcada como refuerzo, ","")&amp;IF(AND($R483="Reconvertida en refuerzo",$O483&lt;&gt;"Sí"),"reconvertida en refuerzo pero sin marcar «En uso como refuerzo», ","")</f>
      </c>
    </row>
    <row r="484" spans="1:37">
      <c r="A484" s="20">
        <f>IF(D484&lt;&gt;"",ROW()-1,"")</f>
      </c>
      <c r="B484" s="55"/>
      <c r="C484" s="56"/>
      <c r="D484" s="56"/>
      <c r="E484" s="56"/>
      <c r="F484" s="56"/>
      <c r="G484" s="56"/>
      <c r="H484" s="56"/>
      <c r="I484" s="56"/>
      <c r="J484" s="57"/>
      <c r="K484" s="56"/>
      <c r="L484" s="58"/>
      <c r="M484" s="58">
        <f>IF(L484="","",L484)</f>
      </c>
      <c r="N484" s="56"/>
      <c r="O484" s="56"/>
      <c r="P484" s="57"/>
      <c r="Q484" s="56"/>
      <c r="R484" s="56"/>
      <c r="S484" s="56"/>
      <c r="T484" s="56"/>
      <c r="U484" s="56"/>
      <c r="V484" s="57"/>
      <c r="W484">
        <f>IF(Q484="Disponible",COUNTIFS($D$2:D484,D484,$Q$2:Q484,"Disponible"),"")</f>
      </c>
      <c r="X484">
        <f>IF(W484&lt;&gt;"",D484&amp;"|"&amp;W484,"")</f>
      </c>
      <c r="Y484">
        <f>IF(X484&lt;&gt;"",IF(K484&lt;&gt;"",K484&amp;" ("&amp;M484&amp;")",M484),"")</f>
      </c>
      <c r="Z484">
        <f>IF(O484="Sí",COUNTIFS($D$2:D484,D484,$O$2:O484,"Sí"),"")</f>
      </c>
      <c r="AA484">
        <f>IF(Z484&lt;&gt;"",D484&amp;"|"&amp;Z484,"")</f>
      </c>
      <c r="AB484">
        <f>IF(AA484&lt;&gt;"",IF(K484&lt;&gt;"",K484&amp;" ("&amp;M484&amp;")",M484),"")</f>
      </c>
      <c r="AC484">
        <f>IF($B484="","fecha, ","")&amp;IF($C484="","quién lo introduce, ","")&amp;IF($I484="","motivo, ","")&amp;IF($K484="","docente, ","")&amp;IF($L484="","horario, ","")&amp;IF($N484="","duración, ","")&amp;IF($Q484="","estado, ","")&amp;IF(AND($I484="Otros",$J484=""),"detalle del motivo, ","")&amp;IF(AND($O484="Sí",$P484=""),"detalle del refuerzo, ","")&amp;IF(AND(OR($I484="Renuncia (hasta 30 nov)",$I484="Baja (desde 1 dic)",$I484="Renuncia excepcional (art. 25.3)",$I484="Traslado de expediente"),OR($E484="",$F484="",$G484="")),"quién deja la plaza, ","")&amp;IF(AND($Q484="No disponible",$R484=""),"vía de cobertura, ","")&amp;IF(AND(OR($R484="Lista de espera · propio centro",$R484="Traslado de expediente",$R484="Lista de espera · otro centro"),OR($S484="",$T484="",$U484="")),"quién ocupa la plaza, ","")</f>
      </c>
      <c r="AD484" s="24">
        <f>IF($D484="","",IF(AND(LEN($AC484)=0,LEN($AK484)=0),"Completa",IF(LEN($AC484)=0,"Revisar: "&amp;LEFT($AK484,LEN($AK484)-2),"Falta: "&amp;LEFT($AC484,LEN($AC484)-2)&amp;IF(LEN($AK484)&gt;0,"  ·  Revisar: "&amp;LEFT($AK484,LEN($AK484)-2),""))))</f>
      </c>
      <c r="AE484">
        <f>IF(AND($D484&lt;&gt;"",OR($I484="Renuncia (hasta 30 nov)",$I484="Baja (desde 1 dic)",$I484="Renuncia excepcional (art. 25.3)",$I484="Traslado de expediente")),COUNTIF($AE$1:AE483,"&gt;0")+1,"")</f>
      </c>
      <c r="AF484">
        <f>IF($Q484="Disponible",COUNTIF($AF$1:AF483,"&gt;0")+1,"")</f>
      </c>
      <c r="AG484">
        <f>IF($O484="Sí",COUNTIF($AG$1:AG483,"&gt;0")+1,"")</f>
      </c>
      <c r="AH484">
        <f>IF(AND($Q484="Disponible",$O484&lt;&gt;"Sí"),COUNTIF($AH$1:AH483,"&gt;0")+1,"")</f>
      </c>
      <c r="AI484">
        <f>IF(AND($Q484="Disponible",$K484&lt;&gt;""),COUNTIFS($K$2:K484,K484,$Q$2:Q484,"Disponible"),"")</f>
      </c>
      <c r="AJ484">
        <f>IF(AI484&lt;&gt;"",K484&amp;"|"&amp;AI484,"")</f>
      </c>
      <c r="AK484">
        <f>IF(AND($Q484="No disponible",OR($R484="Lista de espera · propio centro",$R484="Traslado de expediente",$R484="Lista de espera · otro centro"),$O484="Sí"),"la plaza ya tiene alumno y sigue marcada como refuerzo, ","")&amp;IF(AND($R484="Reconvertida en refuerzo",$O484&lt;&gt;"Sí"),"reconvertida en refuerzo pero sin marcar «En uso como refuerzo», ","")</f>
      </c>
    </row>
    <row r="485" spans="1:37">
      <c r="A485" s="20">
        <f>IF(D485&lt;&gt;"",ROW()-1,"")</f>
      </c>
      <c r="B485" s="55"/>
      <c r="C485" s="56"/>
      <c r="D485" s="56"/>
      <c r="E485" s="56"/>
      <c r="F485" s="56"/>
      <c r="G485" s="56"/>
      <c r="H485" s="56"/>
      <c r="I485" s="56"/>
      <c r="J485" s="57"/>
      <c r="K485" s="56"/>
      <c r="L485" s="58"/>
      <c r="M485" s="58">
        <f>IF(L485="","",L485)</f>
      </c>
      <c r="N485" s="56"/>
      <c r="O485" s="56"/>
      <c r="P485" s="57"/>
      <c r="Q485" s="56"/>
      <c r="R485" s="56"/>
      <c r="S485" s="56"/>
      <c r="T485" s="56"/>
      <c r="U485" s="56"/>
      <c r="V485" s="57"/>
      <c r="W485">
        <f>IF(Q485="Disponible",COUNTIFS($D$2:D485,D485,$Q$2:Q485,"Disponible"),"")</f>
      </c>
      <c r="X485">
        <f>IF(W485&lt;&gt;"",D485&amp;"|"&amp;W485,"")</f>
      </c>
      <c r="Y485">
        <f>IF(X485&lt;&gt;"",IF(K485&lt;&gt;"",K485&amp;" ("&amp;M485&amp;")",M485),"")</f>
      </c>
      <c r="Z485">
        <f>IF(O485="Sí",COUNTIFS($D$2:D485,D485,$O$2:O485,"Sí"),"")</f>
      </c>
      <c r="AA485">
        <f>IF(Z485&lt;&gt;"",D485&amp;"|"&amp;Z485,"")</f>
      </c>
      <c r="AB485">
        <f>IF(AA485&lt;&gt;"",IF(K485&lt;&gt;"",K485&amp;" ("&amp;M485&amp;")",M485),"")</f>
      </c>
      <c r="AC485">
        <f>IF($B485="","fecha, ","")&amp;IF($C485="","quién lo introduce, ","")&amp;IF($I485="","motivo, ","")&amp;IF($K485="","docente, ","")&amp;IF($L485="","horario, ","")&amp;IF($N485="","duración, ","")&amp;IF($Q485="","estado, ","")&amp;IF(AND($I485="Otros",$J485=""),"detalle del motivo, ","")&amp;IF(AND($O485="Sí",$P485=""),"detalle del refuerzo, ","")&amp;IF(AND(OR($I485="Renuncia (hasta 30 nov)",$I485="Baja (desde 1 dic)",$I485="Renuncia excepcional (art. 25.3)",$I485="Traslado de expediente"),OR($E485="",$F485="",$G485="")),"quién deja la plaza, ","")&amp;IF(AND($Q485="No disponible",$R485=""),"vía de cobertura, ","")&amp;IF(AND(OR($R485="Lista de espera · propio centro",$R485="Traslado de expediente",$R485="Lista de espera · otro centro"),OR($S485="",$T485="",$U485="")),"quién ocupa la plaza, ","")</f>
      </c>
      <c r="AD485" s="24">
        <f>IF($D485="","",IF(AND(LEN($AC485)=0,LEN($AK485)=0),"Completa",IF(LEN($AC485)=0,"Revisar: "&amp;LEFT($AK485,LEN($AK485)-2),"Falta: "&amp;LEFT($AC485,LEN($AC485)-2)&amp;IF(LEN($AK485)&gt;0,"  ·  Revisar: "&amp;LEFT($AK485,LEN($AK485)-2),""))))</f>
      </c>
      <c r="AE485">
        <f>IF(AND($D485&lt;&gt;"",OR($I485="Renuncia (hasta 30 nov)",$I485="Baja (desde 1 dic)",$I485="Renuncia excepcional (art. 25.3)",$I485="Traslado de expediente")),COUNTIF($AE$1:AE484,"&gt;0")+1,"")</f>
      </c>
      <c r="AF485">
        <f>IF($Q485="Disponible",COUNTIF($AF$1:AF484,"&gt;0")+1,"")</f>
      </c>
      <c r="AG485">
        <f>IF($O485="Sí",COUNTIF($AG$1:AG484,"&gt;0")+1,"")</f>
      </c>
      <c r="AH485">
        <f>IF(AND($Q485="Disponible",$O485&lt;&gt;"Sí"),COUNTIF($AH$1:AH484,"&gt;0")+1,"")</f>
      </c>
      <c r="AI485">
        <f>IF(AND($Q485="Disponible",$K485&lt;&gt;""),COUNTIFS($K$2:K485,K485,$Q$2:Q485,"Disponible"),"")</f>
      </c>
      <c r="AJ485">
        <f>IF(AI485&lt;&gt;"",K485&amp;"|"&amp;AI485,"")</f>
      </c>
      <c r="AK485">
        <f>IF(AND($Q485="No disponible",OR($R485="Lista de espera · propio centro",$R485="Traslado de expediente",$R485="Lista de espera · otro centro"),$O485="Sí"),"la plaza ya tiene alumno y sigue marcada como refuerzo, ","")&amp;IF(AND($R485="Reconvertida en refuerzo",$O485&lt;&gt;"Sí"),"reconvertida en refuerzo pero sin marcar «En uso como refuerzo», ","")</f>
      </c>
    </row>
    <row r="486" spans="1:37">
      <c r="A486" s="20">
        <f>IF(D486&lt;&gt;"",ROW()-1,"")</f>
      </c>
      <c r="B486" s="55"/>
      <c r="C486" s="56"/>
      <c r="D486" s="56"/>
      <c r="E486" s="56"/>
      <c r="F486" s="56"/>
      <c r="G486" s="56"/>
      <c r="H486" s="56"/>
      <c r="I486" s="56"/>
      <c r="J486" s="57"/>
      <c r="K486" s="56"/>
      <c r="L486" s="58"/>
      <c r="M486" s="58">
        <f>IF(L486="","",L486)</f>
      </c>
      <c r="N486" s="56"/>
      <c r="O486" s="56"/>
      <c r="P486" s="57"/>
      <c r="Q486" s="56"/>
      <c r="R486" s="56"/>
      <c r="S486" s="56"/>
      <c r="T486" s="56"/>
      <c r="U486" s="56"/>
      <c r="V486" s="57"/>
      <c r="W486">
        <f>IF(Q486="Disponible",COUNTIFS($D$2:D486,D486,$Q$2:Q486,"Disponible"),"")</f>
      </c>
      <c r="X486">
        <f>IF(W486&lt;&gt;"",D486&amp;"|"&amp;W486,"")</f>
      </c>
      <c r="Y486">
        <f>IF(X486&lt;&gt;"",IF(K486&lt;&gt;"",K486&amp;" ("&amp;M486&amp;")",M486),"")</f>
      </c>
      <c r="Z486">
        <f>IF(O486="Sí",COUNTIFS($D$2:D486,D486,$O$2:O486,"Sí"),"")</f>
      </c>
      <c r="AA486">
        <f>IF(Z486&lt;&gt;"",D486&amp;"|"&amp;Z486,"")</f>
      </c>
      <c r="AB486">
        <f>IF(AA486&lt;&gt;"",IF(K486&lt;&gt;"",K486&amp;" ("&amp;M486&amp;")",M486),"")</f>
      </c>
      <c r="AC486">
        <f>IF($B486="","fecha, ","")&amp;IF($C486="","quién lo introduce, ","")&amp;IF($I486="","motivo, ","")&amp;IF($K486="","docente, ","")&amp;IF($L486="","horario, ","")&amp;IF($N486="","duración, ","")&amp;IF($Q486="","estado, ","")&amp;IF(AND($I486="Otros",$J486=""),"detalle del motivo, ","")&amp;IF(AND($O486="Sí",$P486=""),"detalle del refuerzo, ","")&amp;IF(AND(OR($I486="Renuncia (hasta 30 nov)",$I486="Baja (desde 1 dic)",$I486="Renuncia excepcional (art. 25.3)",$I486="Traslado de expediente"),OR($E486="",$F486="",$G486="")),"quién deja la plaza, ","")&amp;IF(AND($Q486="No disponible",$R486=""),"vía de cobertura, ","")&amp;IF(AND(OR($R486="Lista de espera · propio centro",$R486="Traslado de expediente",$R486="Lista de espera · otro centro"),OR($S486="",$T486="",$U486="")),"quién ocupa la plaza, ","")</f>
      </c>
      <c r="AD486" s="24">
        <f>IF($D486="","",IF(AND(LEN($AC486)=0,LEN($AK486)=0),"Completa",IF(LEN($AC486)=0,"Revisar: "&amp;LEFT($AK486,LEN($AK486)-2),"Falta: "&amp;LEFT($AC486,LEN($AC486)-2)&amp;IF(LEN($AK486)&gt;0,"  ·  Revisar: "&amp;LEFT($AK486,LEN($AK486)-2),""))))</f>
      </c>
      <c r="AE486">
        <f>IF(AND($D486&lt;&gt;"",OR($I486="Renuncia (hasta 30 nov)",$I486="Baja (desde 1 dic)",$I486="Renuncia excepcional (art. 25.3)",$I486="Traslado de expediente")),COUNTIF($AE$1:AE485,"&gt;0")+1,"")</f>
      </c>
      <c r="AF486">
        <f>IF($Q486="Disponible",COUNTIF($AF$1:AF485,"&gt;0")+1,"")</f>
      </c>
      <c r="AG486">
        <f>IF($O486="Sí",COUNTIF($AG$1:AG485,"&gt;0")+1,"")</f>
      </c>
      <c r="AH486">
        <f>IF(AND($Q486="Disponible",$O486&lt;&gt;"Sí"),COUNTIF($AH$1:AH485,"&gt;0")+1,"")</f>
      </c>
      <c r="AI486">
        <f>IF(AND($Q486="Disponible",$K486&lt;&gt;""),COUNTIFS($K$2:K486,K486,$Q$2:Q486,"Disponible"),"")</f>
      </c>
      <c r="AJ486">
        <f>IF(AI486&lt;&gt;"",K486&amp;"|"&amp;AI486,"")</f>
      </c>
      <c r="AK486">
        <f>IF(AND($Q486="No disponible",OR($R486="Lista de espera · propio centro",$R486="Traslado de expediente",$R486="Lista de espera · otro centro"),$O486="Sí"),"la plaza ya tiene alumno y sigue marcada como refuerzo, ","")&amp;IF(AND($R486="Reconvertida en refuerzo",$O486&lt;&gt;"Sí"),"reconvertida en refuerzo pero sin marcar «En uso como refuerzo», ","")</f>
      </c>
    </row>
    <row r="487" spans="1:37">
      <c r="A487" s="20">
        <f>IF(D487&lt;&gt;"",ROW()-1,"")</f>
      </c>
      <c r="B487" s="55"/>
      <c r="C487" s="56"/>
      <c r="D487" s="56"/>
      <c r="E487" s="56"/>
      <c r="F487" s="56"/>
      <c r="G487" s="56"/>
      <c r="H487" s="56"/>
      <c r="I487" s="56"/>
      <c r="J487" s="57"/>
      <c r="K487" s="56"/>
      <c r="L487" s="58"/>
      <c r="M487" s="58">
        <f>IF(L487="","",L487)</f>
      </c>
      <c r="N487" s="56"/>
      <c r="O487" s="56"/>
      <c r="P487" s="57"/>
      <c r="Q487" s="56"/>
      <c r="R487" s="56"/>
      <c r="S487" s="56"/>
      <c r="T487" s="56"/>
      <c r="U487" s="56"/>
      <c r="V487" s="57"/>
      <c r="W487">
        <f>IF(Q487="Disponible",COUNTIFS($D$2:D487,D487,$Q$2:Q487,"Disponible"),"")</f>
      </c>
      <c r="X487">
        <f>IF(W487&lt;&gt;"",D487&amp;"|"&amp;W487,"")</f>
      </c>
      <c r="Y487">
        <f>IF(X487&lt;&gt;"",IF(K487&lt;&gt;"",K487&amp;" ("&amp;M487&amp;")",M487),"")</f>
      </c>
      <c r="Z487">
        <f>IF(O487="Sí",COUNTIFS($D$2:D487,D487,$O$2:O487,"Sí"),"")</f>
      </c>
      <c r="AA487">
        <f>IF(Z487&lt;&gt;"",D487&amp;"|"&amp;Z487,"")</f>
      </c>
      <c r="AB487">
        <f>IF(AA487&lt;&gt;"",IF(K487&lt;&gt;"",K487&amp;" ("&amp;M487&amp;")",M487),"")</f>
      </c>
      <c r="AC487">
        <f>IF($B487="","fecha, ","")&amp;IF($C487="","quién lo introduce, ","")&amp;IF($I487="","motivo, ","")&amp;IF($K487="","docente, ","")&amp;IF($L487="","horario, ","")&amp;IF($N487="","duración, ","")&amp;IF($Q487="","estado, ","")&amp;IF(AND($I487="Otros",$J487=""),"detalle del motivo, ","")&amp;IF(AND($O487="Sí",$P487=""),"detalle del refuerzo, ","")&amp;IF(AND(OR($I487="Renuncia (hasta 30 nov)",$I487="Baja (desde 1 dic)",$I487="Renuncia excepcional (art. 25.3)",$I487="Traslado de expediente"),OR($E487="",$F487="",$G487="")),"quién deja la plaza, ","")&amp;IF(AND($Q487="No disponible",$R487=""),"vía de cobertura, ","")&amp;IF(AND(OR($R487="Lista de espera · propio centro",$R487="Traslado de expediente",$R487="Lista de espera · otro centro"),OR($S487="",$T487="",$U487="")),"quién ocupa la plaza, ","")</f>
      </c>
      <c r="AD487" s="24">
        <f>IF($D487="","",IF(AND(LEN($AC487)=0,LEN($AK487)=0),"Completa",IF(LEN($AC487)=0,"Revisar: "&amp;LEFT($AK487,LEN($AK487)-2),"Falta: "&amp;LEFT($AC487,LEN($AC487)-2)&amp;IF(LEN($AK487)&gt;0,"  ·  Revisar: "&amp;LEFT($AK487,LEN($AK487)-2),""))))</f>
      </c>
      <c r="AE487">
        <f>IF(AND($D487&lt;&gt;"",OR($I487="Renuncia (hasta 30 nov)",$I487="Baja (desde 1 dic)",$I487="Renuncia excepcional (art. 25.3)",$I487="Traslado de expediente")),COUNTIF($AE$1:AE486,"&gt;0")+1,"")</f>
      </c>
      <c r="AF487">
        <f>IF($Q487="Disponible",COUNTIF($AF$1:AF486,"&gt;0")+1,"")</f>
      </c>
      <c r="AG487">
        <f>IF($O487="Sí",COUNTIF($AG$1:AG486,"&gt;0")+1,"")</f>
      </c>
      <c r="AH487">
        <f>IF(AND($Q487="Disponible",$O487&lt;&gt;"Sí"),COUNTIF($AH$1:AH486,"&gt;0")+1,"")</f>
      </c>
      <c r="AI487">
        <f>IF(AND($Q487="Disponible",$K487&lt;&gt;""),COUNTIFS($K$2:K487,K487,$Q$2:Q487,"Disponible"),"")</f>
      </c>
      <c r="AJ487">
        <f>IF(AI487&lt;&gt;"",K487&amp;"|"&amp;AI487,"")</f>
      </c>
      <c r="AK487">
        <f>IF(AND($Q487="No disponible",OR($R487="Lista de espera · propio centro",$R487="Traslado de expediente",$R487="Lista de espera · otro centro"),$O487="Sí"),"la plaza ya tiene alumno y sigue marcada como refuerzo, ","")&amp;IF(AND($R487="Reconvertida en refuerzo",$O487&lt;&gt;"Sí"),"reconvertida en refuerzo pero sin marcar «En uso como refuerzo», ","")</f>
      </c>
    </row>
    <row r="488" spans="1:37">
      <c r="A488" s="20">
        <f>IF(D488&lt;&gt;"",ROW()-1,"")</f>
      </c>
      <c r="B488" s="55"/>
      <c r="C488" s="56"/>
      <c r="D488" s="56"/>
      <c r="E488" s="56"/>
      <c r="F488" s="56"/>
      <c r="G488" s="56"/>
      <c r="H488" s="56"/>
      <c r="I488" s="56"/>
      <c r="J488" s="57"/>
      <c r="K488" s="56"/>
      <c r="L488" s="58"/>
      <c r="M488" s="58">
        <f>IF(L488="","",L488)</f>
      </c>
      <c r="N488" s="56"/>
      <c r="O488" s="56"/>
      <c r="P488" s="57"/>
      <c r="Q488" s="56"/>
      <c r="R488" s="56"/>
      <c r="S488" s="56"/>
      <c r="T488" s="56"/>
      <c r="U488" s="56"/>
      <c r="V488" s="57"/>
      <c r="W488">
        <f>IF(Q488="Disponible",COUNTIFS($D$2:D488,D488,$Q$2:Q488,"Disponible"),"")</f>
      </c>
      <c r="X488">
        <f>IF(W488&lt;&gt;"",D488&amp;"|"&amp;W488,"")</f>
      </c>
      <c r="Y488">
        <f>IF(X488&lt;&gt;"",IF(K488&lt;&gt;"",K488&amp;" ("&amp;M488&amp;")",M488),"")</f>
      </c>
      <c r="Z488">
        <f>IF(O488="Sí",COUNTIFS($D$2:D488,D488,$O$2:O488,"Sí"),"")</f>
      </c>
      <c r="AA488">
        <f>IF(Z488&lt;&gt;"",D488&amp;"|"&amp;Z488,"")</f>
      </c>
      <c r="AB488">
        <f>IF(AA488&lt;&gt;"",IF(K488&lt;&gt;"",K488&amp;" ("&amp;M488&amp;")",M488),"")</f>
      </c>
      <c r="AC488">
        <f>IF($B488="","fecha, ","")&amp;IF($C488="","quién lo introduce, ","")&amp;IF($I488="","motivo, ","")&amp;IF($K488="","docente, ","")&amp;IF($L488="","horario, ","")&amp;IF($N488="","duración, ","")&amp;IF($Q488="","estado, ","")&amp;IF(AND($I488="Otros",$J488=""),"detalle del motivo, ","")&amp;IF(AND($O488="Sí",$P488=""),"detalle del refuerzo, ","")&amp;IF(AND(OR($I488="Renuncia (hasta 30 nov)",$I488="Baja (desde 1 dic)",$I488="Renuncia excepcional (art. 25.3)",$I488="Traslado de expediente"),OR($E488="",$F488="",$G488="")),"quién deja la plaza, ","")&amp;IF(AND($Q488="No disponible",$R488=""),"vía de cobertura, ","")&amp;IF(AND(OR($R488="Lista de espera · propio centro",$R488="Traslado de expediente",$R488="Lista de espera · otro centro"),OR($S488="",$T488="",$U488="")),"quién ocupa la plaza, ","")</f>
      </c>
      <c r="AD488" s="24">
        <f>IF($D488="","",IF(AND(LEN($AC488)=0,LEN($AK488)=0),"Completa",IF(LEN($AC488)=0,"Revisar: "&amp;LEFT($AK488,LEN($AK488)-2),"Falta: "&amp;LEFT($AC488,LEN($AC488)-2)&amp;IF(LEN($AK488)&gt;0,"  ·  Revisar: "&amp;LEFT($AK488,LEN($AK488)-2),""))))</f>
      </c>
      <c r="AE488">
        <f>IF(AND($D488&lt;&gt;"",OR($I488="Renuncia (hasta 30 nov)",$I488="Baja (desde 1 dic)",$I488="Renuncia excepcional (art. 25.3)",$I488="Traslado de expediente")),COUNTIF($AE$1:AE487,"&gt;0")+1,"")</f>
      </c>
      <c r="AF488">
        <f>IF($Q488="Disponible",COUNTIF($AF$1:AF487,"&gt;0")+1,"")</f>
      </c>
      <c r="AG488">
        <f>IF($O488="Sí",COUNTIF($AG$1:AG487,"&gt;0")+1,"")</f>
      </c>
      <c r="AH488">
        <f>IF(AND($Q488="Disponible",$O488&lt;&gt;"Sí"),COUNTIF($AH$1:AH487,"&gt;0")+1,"")</f>
      </c>
      <c r="AI488">
        <f>IF(AND($Q488="Disponible",$K488&lt;&gt;""),COUNTIFS($K$2:K488,K488,$Q$2:Q488,"Disponible"),"")</f>
      </c>
      <c r="AJ488">
        <f>IF(AI488&lt;&gt;"",K488&amp;"|"&amp;AI488,"")</f>
      </c>
      <c r="AK488">
        <f>IF(AND($Q488="No disponible",OR($R488="Lista de espera · propio centro",$R488="Traslado de expediente",$R488="Lista de espera · otro centro"),$O488="Sí"),"la plaza ya tiene alumno y sigue marcada como refuerzo, ","")&amp;IF(AND($R488="Reconvertida en refuerzo",$O488&lt;&gt;"Sí"),"reconvertida en refuerzo pero sin marcar «En uso como refuerzo», ","")</f>
      </c>
    </row>
    <row r="489" spans="1:37">
      <c r="A489" s="20">
        <f>IF(D489&lt;&gt;"",ROW()-1,"")</f>
      </c>
      <c r="B489" s="55"/>
      <c r="C489" s="56"/>
      <c r="D489" s="56"/>
      <c r="E489" s="56"/>
      <c r="F489" s="56"/>
      <c r="G489" s="56"/>
      <c r="H489" s="56"/>
      <c r="I489" s="56"/>
      <c r="J489" s="57"/>
      <c r="K489" s="56"/>
      <c r="L489" s="58"/>
      <c r="M489" s="58">
        <f>IF(L489="","",L489)</f>
      </c>
      <c r="N489" s="56"/>
      <c r="O489" s="56"/>
      <c r="P489" s="57"/>
      <c r="Q489" s="56"/>
      <c r="R489" s="56"/>
      <c r="S489" s="56"/>
      <c r="T489" s="56"/>
      <c r="U489" s="56"/>
      <c r="V489" s="57"/>
      <c r="W489">
        <f>IF(Q489="Disponible",COUNTIFS($D$2:D489,D489,$Q$2:Q489,"Disponible"),"")</f>
      </c>
      <c r="X489">
        <f>IF(W489&lt;&gt;"",D489&amp;"|"&amp;W489,"")</f>
      </c>
      <c r="Y489">
        <f>IF(X489&lt;&gt;"",IF(K489&lt;&gt;"",K489&amp;" ("&amp;M489&amp;")",M489),"")</f>
      </c>
      <c r="Z489">
        <f>IF(O489="Sí",COUNTIFS($D$2:D489,D489,$O$2:O489,"Sí"),"")</f>
      </c>
      <c r="AA489">
        <f>IF(Z489&lt;&gt;"",D489&amp;"|"&amp;Z489,"")</f>
      </c>
      <c r="AB489">
        <f>IF(AA489&lt;&gt;"",IF(K489&lt;&gt;"",K489&amp;" ("&amp;M489&amp;")",M489),"")</f>
      </c>
      <c r="AC489">
        <f>IF($B489="","fecha, ","")&amp;IF($C489="","quién lo introduce, ","")&amp;IF($I489="","motivo, ","")&amp;IF($K489="","docente, ","")&amp;IF($L489="","horario, ","")&amp;IF($N489="","duración, ","")&amp;IF($Q489="","estado, ","")&amp;IF(AND($I489="Otros",$J489=""),"detalle del motivo, ","")&amp;IF(AND($O489="Sí",$P489=""),"detalle del refuerzo, ","")&amp;IF(AND(OR($I489="Renuncia (hasta 30 nov)",$I489="Baja (desde 1 dic)",$I489="Renuncia excepcional (art. 25.3)",$I489="Traslado de expediente"),OR($E489="",$F489="",$G489="")),"quién deja la plaza, ","")&amp;IF(AND($Q489="No disponible",$R489=""),"vía de cobertura, ","")&amp;IF(AND(OR($R489="Lista de espera · propio centro",$R489="Traslado de expediente",$R489="Lista de espera · otro centro"),OR($S489="",$T489="",$U489="")),"quién ocupa la plaza, ","")</f>
      </c>
      <c r="AD489" s="24">
        <f>IF($D489="","",IF(AND(LEN($AC489)=0,LEN($AK489)=0),"Completa",IF(LEN($AC489)=0,"Revisar: "&amp;LEFT($AK489,LEN($AK489)-2),"Falta: "&amp;LEFT($AC489,LEN($AC489)-2)&amp;IF(LEN($AK489)&gt;0,"  ·  Revisar: "&amp;LEFT($AK489,LEN($AK489)-2),""))))</f>
      </c>
      <c r="AE489">
        <f>IF(AND($D489&lt;&gt;"",OR($I489="Renuncia (hasta 30 nov)",$I489="Baja (desde 1 dic)",$I489="Renuncia excepcional (art. 25.3)",$I489="Traslado de expediente")),COUNTIF($AE$1:AE488,"&gt;0")+1,"")</f>
      </c>
      <c r="AF489">
        <f>IF($Q489="Disponible",COUNTIF($AF$1:AF488,"&gt;0")+1,"")</f>
      </c>
      <c r="AG489">
        <f>IF($O489="Sí",COUNTIF($AG$1:AG488,"&gt;0")+1,"")</f>
      </c>
      <c r="AH489">
        <f>IF(AND($Q489="Disponible",$O489&lt;&gt;"Sí"),COUNTIF($AH$1:AH488,"&gt;0")+1,"")</f>
      </c>
      <c r="AI489">
        <f>IF(AND($Q489="Disponible",$K489&lt;&gt;""),COUNTIFS($K$2:K489,K489,$Q$2:Q489,"Disponible"),"")</f>
      </c>
      <c r="AJ489">
        <f>IF(AI489&lt;&gt;"",K489&amp;"|"&amp;AI489,"")</f>
      </c>
      <c r="AK489">
        <f>IF(AND($Q489="No disponible",OR($R489="Lista de espera · propio centro",$R489="Traslado de expediente",$R489="Lista de espera · otro centro"),$O489="Sí"),"la plaza ya tiene alumno y sigue marcada como refuerzo, ","")&amp;IF(AND($R489="Reconvertida en refuerzo",$O489&lt;&gt;"Sí"),"reconvertida en refuerzo pero sin marcar «En uso como refuerzo», ","")</f>
      </c>
    </row>
    <row r="490" spans="1:37">
      <c r="A490" s="20">
        <f>IF(D490&lt;&gt;"",ROW()-1,"")</f>
      </c>
      <c r="B490" s="55"/>
      <c r="C490" s="56"/>
      <c r="D490" s="56"/>
      <c r="E490" s="56"/>
      <c r="F490" s="56"/>
      <c r="G490" s="56"/>
      <c r="H490" s="56"/>
      <c r="I490" s="56"/>
      <c r="J490" s="57"/>
      <c r="K490" s="56"/>
      <c r="L490" s="58"/>
      <c r="M490" s="58">
        <f>IF(L490="","",L490)</f>
      </c>
      <c r="N490" s="56"/>
      <c r="O490" s="56"/>
      <c r="P490" s="57"/>
      <c r="Q490" s="56"/>
      <c r="R490" s="56"/>
      <c r="S490" s="56"/>
      <c r="T490" s="56"/>
      <c r="U490" s="56"/>
      <c r="V490" s="57"/>
      <c r="W490">
        <f>IF(Q490="Disponible",COUNTIFS($D$2:D490,D490,$Q$2:Q490,"Disponible"),"")</f>
      </c>
      <c r="X490">
        <f>IF(W490&lt;&gt;"",D490&amp;"|"&amp;W490,"")</f>
      </c>
      <c r="Y490">
        <f>IF(X490&lt;&gt;"",IF(K490&lt;&gt;"",K490&amp;" ("&amp;M490&amp;")",M490),"")</f>
      </c>
      <c r="Z490">
        <f>IF(O490="Sí",COUNTIFS($D$2:D490,D490,$O$2:O490,"Sí"),"")</f>
      </c>
      <c r="AA490">
        <f>IF(Z490&lt;&gt;"",D490&amp;"|"&amp;Z490,"")</f>
      </c>
      <c r="AB490">
        <f>IF(AA490&lt;&gt;"",IF(K490&lt;&gt;"",K490&amp;" ("&amp;M490&amp;")",M490),"")</f>
      </c>
      <c r="AC490">
        <f>IF($B490="","fecha, ","")&amp;IF($C490="","quién lo introduce, ","")&amp;IF($I490="","motivo, ","")&amp;IF($K490="","docente, ","")&amp;IF($L490="","horario, ","")&amp;IF($N490="","duración, ","")&amp;IF($Q490="","estado, ","")&amp;IF(AND($I490="Otros",$J490=""),"detalle del motivo, ","")&amp;IF(AND($O490="Sí",$P490=""),"detalle del refuerzo, ","")&amp;IF(AND(OR($I490="Renuncia (hasta 30 nov)",$I490="Baja (desde 1 dic)",$I490="Renuncia excepcional (art. 25.3)",$I490="Traslado de expediente"),OR($E490="",$F490="",$G490="")),"quién deja la plaza, ","")&amp;IF(AND($Q490="No disponible",$R490=""),"vía de cobertura, ","")&amp;IF(AND(OR($R490="Lista de espera · propio centro",$R490="Traslado de expediente",$R490="Lista de espera · otro centro"),OR($S490="",$T490="",$U490="")),"quién ocupa la plaza, ","")</f>
      </c>
      <c r="AD490" s="24">
        <f>IF($D490="","",IF(AND(LEN($AC490)=0,LEN($AK490)=0),"Completa",IF(LEN($AC490)=0,"Revisar: "&amp;LEFT($AK490,LEN($AK490)-2),"Falta: "&amp;LEFT($AC490,LEN($AC490)-2)&amp;IF(LEN($AK490)&gt;0,"  ·  Revisar: "&amp;LEFT($AK490,LEN($AK490)-2),""))))</f>
      </c>
      <c r="AE490">
        <f>IF(AND($D490&lt;&gt;"",OR($I490="Renuncia (hasta 30 nov)",$I490="Baja (desde 1 dic)",$I490="Renuncia excepcional (art. 25.3)",$I490="Traslado de expediente")),COUNTIF($AE$1:AE489,"&gt;0")+1,"")</f>
      </c>
      <c r="AF490">
        <f>IF($Q490="Disponible",COUNTIF($AF$1:AF489,"&gt;0")+1,"")</f>
      </c>
      <c r="AG490">
        <f>IF($O490="Sí",COUNTIF($AG$1:AG489,"&gt;0")+1,"")</f>
      </c>
      <c r="AH490">
        <f>IF(AND($Q490="Disponible",$O490&lt;&gt;"Sí"),COUNTIF($AH$1:AH489,"&gt;0")+1,"")</f>
      </c>
      <c r="AI490">
        <f>IF(AND($Q490="Disponible",$K490&lt;&gt;""),COUNTIFS($K$2:K490,K490,$Q$2:Q490,"Disponible"),"")</f>
      </c>
      <c r="AJ490">
        <f>IF(AI490&lt;&gt;"",K490&amp;"|"&amp;AI490,"")</f>
      </c>
      <c r="AK490">
        <f>IF(AND($Q490="No disponible",OR($R490="Lista de espera · propio centro",$R490="Traslado de expediente",$R490="Lista de espera · otro centro"),$O490="Sí"),"la plaza ya tiene alumno y sigue marcada como refuerzo, ","")&amp;IF(AND($R490="Reconvertida en refuerzo",$O490&lt;&gt;"Sí"),"reconvertida en refuerzo pero sin marcar «En uso como refuerzo», ","")</f>
      </c>
    </row>
    <row r="491" spans="1:37">
      <c r="A491" s="20">
        <f>IF(D491&lt;&gt;"",ROW()-1,"")</f>
      </c>
      <c r="B491" s="55"/>
      <c r="C491" s="56"/>
      <c r="D491" s="56"/>
      <c r="E491" s="56"/>
      <c r="F491" s="56"/>
      <c r="G491" s="56"/>
      <c r="H491" s="56"/>
      <c r="I491" s="56"/>
      <c r="J491" s="57"/>
      <c r="K491" s="56"/>
      <c r="L491" s="58"/>
      <c r="M491" s="58">
        <f>IF(L491="","",L491)</f>
      </c>
      <c r="N491" s="56"/>
      <c r="O491" s="56"/>
      <c r="P491" s="57"/>
      <c r="Q491" s="56"/>
      <c r="R491" s="56"/>
      <c r="S491" s="56"/>
      <c r="T491" s="56"/>
      <c r="U491" s="56"/>
      <c r="V491" s="57"/>
      <c r="W491">
        <f>IF(Q491="Disponible",COUNTIFS($D$2:D491,D491,$Q$2:Q491,"Disponible"),"")</f>
      </c>
      <c r="X491">
        <f>IF(W491&lt;&gt;"",D491&amp;"|"&amp;W491,"")</f>
      </c>
      <c r="Y491">
        <f>IF(X491&lt;&gt;"",IF(K491&lt;&gt;"",K491&amp;" ("&amp;M491&amp;")",M491),"")</f>
      </c>
      <c r="Z491">
        <f>IF(O491="Sí",COUNTIFS($D$2:D491,D491,$O$2:O491,"Sí"),"")</f>
      </c>
      <c r="AA491">
        <f>IF(Z491&lt;&gt;"",D491&amp;"|"&amp;Z491,"")</f>
      </c>
      <c r="AB491">
        <f>IF(AA491&lt;&gt;"",IF(K491&lt;&gt;"",K491&amp;" ("&amp;M491&amp;")",M491),"")</f>
      </c>
      <c r="AC491">
        <f>IF($B491="","fecha, ","")&amp;IF($C491="","quién lo introduce, ","")&amp;IF($I491="","motivo, ","")&amp;IF($K491="","docente, ","")&amp;IF($L491="","horario, ","")&amp;IF($N491="","duración, ","")&amp;IF($Q491="","estado, ","")&amp;IF(AND($I491="Otros",$J491=""),"detalle del motivo, ","")&amp;IF(AND($O491="Sí",$P491=""),"detalle del refuerzo, ","")&amp;IF(AND(OR($I491="Renuncia (hasta 30 nov)",$I491="Baja (desde 1 dic)",$I491="Renuncia excepcional (art. 25.3)",$I491="Traslado de expediente"),OR($E491="",$F491="",$G491="")),"quién deja la plaza, ","")&amp;IF(AND($Q491="No disponible",$R491=""),"vía de cobertura, ","")&amp;IF(AND(OR($R491="Lista de espera · propio centro",$R491="Traslado de expediente",$R491="Lista de espera · otro centro"),OR($S491="",$T491="",$U491="")),"quién ocupa la plaza, ","")</f>
      </c>
      <c r="AD491" s="24">
        <f>IF($D491="","",IF(AND(LEN($AC491)=0,LEN($AK491)=0),"Completa",IF(LEN($AC491)=0,"Revisar: "&amp;LEFT($AK491,LEN($AK491)-2),"Falta: "&amp;LEFT($AC491,LEN($AC491)-2)&amp;IF(LEN($AK491)&gt;0,"  ·  Revisar: "&amp;LEFT($AK491,LEN($AK491)-2),""))))</f>
      </c>
      <c r="AE491">
        <f>IF(AND($D491&lt;&gt;"",OR($I491="Renuncia (hasta 30 nov)",$I491="Baja (desde 1 dic)",$I491="Renuncia excepcional (art. 25.3)",$I491="Traslado de expediente")),COUNTIF($AE$1:AE490,"&gt;0")+1,"")</f>
      </c>
      <c r="AF491">
        <f>IF($Q491="Disponible",COUNTIF($AF$1:AF490,"&gt;0")+1,"")</f>
      </c>
      <c r="AG491">
        <f>IF($O491="Sí",COUNTIF($AG$1:AG490,"&gt;0")+1,"")</f>
      </c>
      <c r="AH491">
        <f>IF(AND($Q491="Disponible",$O491&lt;&gt;"Sí"),COUNTIF($AH$1:AH490,"&gt;0")+1,"")</f>
      </c>
      <c r="AI491">
        <f>IF(AND($Q491="Disponible",$K491&lt;&gt;""),COUNTIFS($K$2:K491,K491,$Q$2:Q491,"Disponible"),"")</f>
      </c>
      <c r="AJ491">
        <f>IF(AI491&lt;&gt;"",K491&amp;"|"&amp;AI491,"")</f>
      </c>
      <c r="AK491">
        <f>IF(AND($Q491="No disponible",OR($R491="Lista de espera · propio centro",$R491="Traslado de expediente",$R491="Lista de espera · otro centro"),$O491="Sí"),"la plaza ya tiene alumno y sigue marcada como refuerzo, ","")&amp;IF(AND($R491="Reconvertida en refuerzo",$O491&lt;&gt;"Sí"),"reconvertida en refuerzo pero sin marcar «En uso como refuerzo», ","")</f>
      </c>
    </row>
    <row r="492" spans="1:37">
      <c r="A492" s="20">
        <f>IF(D492&lt;&gt;"",ROW()-1,"")</f>
      </c>
      <c r="B492" s="55"/>
      <c r="C492" s="56"/>
      <c r="D492" s="56"/>
      <c r="E492" s="56"/>
      <c r="F492" s="56"/>
      <c r="G492" s="56"/>
      <c r="H492" s="56"/>
      <c r="I492" s="56"/>
      <c r="J492" s="57"/>
      <c r="K492" s="56"/>
      <c r="L492" s="58"/>
      <c r="M492" s="58">
        <f>IF(L492="","",L492)</f>
      </c>
      <c r="N492" s="56"/>
      <c r="O492" s="56"/>
      <c r="P492" s="57"/>
      <c r="Q492" s="56"/>
      <c r="R492" s="56"/>
      <c r="S492" s="56"/>
      <c r="T492" s="56"/>
      <c r="U492" s="56"/>
      <c r="V492" s="57"/>
      <c r="W492">
        <f>IF(Q492="Disponible",COUNTIFS($D$2:D492,D492,$Q$2:Q492,"Disponible"),"")</f>
      </c>
      <c r="X492">
        <f>IF(W492&lt;&gt;"",D492&amp;"|"&amp;W492,"")</f>
      </c>
      <c r="Y492">
        <f>IF(X492&lt;&gt;"",IF(K492&lt;&gt;"",K492&amp;" ("&amp;M492&amp;")",M492),"")</f>
      </c>
      <c r="Z492">
        <f>IF(O492="Sí",COUNTIFS($D$2:D492,D492,$O$2:O492,"Sí"),"")</f>
      </c>
      <c r="AA492">
        <f>IF(Z492&lt;&gt;"",D492&amp;"|"&amp;Z492,"")</f>
      </c>
      <c r="AB492">
        <f>IF(AA492&lt;&gt;"",IF(K492&lt;&gt;"",K492&amp;" ("&amp;M492&amp;")",M492),"")</f>
      </c>
      <c r="AC492">
        <f>IF($B492="","fecha, ","")&amp;IF($C492="","quién lo introduce, ","")&amp;IF($I492="","motivo, ","")&amp;IF($K492="","docente, ","")&amp;IF($L492="","horario, ","")&amp;IF($N492="","duración, ","")&amp;IF($Q492="","estado, ","")&amp;IF(AND($I492="Otros",$J492=""),"detalle del motivo, ","")&amp;IF(AND($O492="Sí",$P492=""),"detalle del refuerzo, ","")&amp;IF(AND(OR($I492="Renuncia (hasta 30 nov)",$I492="Baja (desde 1 dic)",$I492="Renuncia excepcional (art. 25.3)",$I492="Traslado de expediente"),OR($E492="",$F492="",$G492="")),"quién deja la plaza, ","")&amp;IF(AND($Q492="No disponible",$R492=""),"vía de cobertura, ","")&amp;IF(AND(OR($R492="Lista de espera · propio centro",$R492="Traslado de expediente",$R492="Lista de espera · otro centro"),OR($S492="",$T492="",$U492="")),"quién ocupa la plaza, ","")</f>
      </c>
      <c r="AD492" s="24">
        <f>IF($D492="","",IF(AND(LEN($AC492)=0,LEN($AK492)=0),"Completa",IF(LEN($AC492)=0,"Revisar: "&amp;LEFT($AK492,LEN($AK492)-2),"Falta: "&amp;LEFT($AC492,LEN($AC492)-2)&amp;IF(LEN($AK492)&gt;0,"  ·  Revisar: "&amp;LEFT($AK492,LEN($AK492)-2),""))))</f>
      </c>
      <c r="AE492">
        <f>IF(AND($D492&lt;&gt;"",OR($I492="Renuncia (hasta 30 nov)",$I492="Baja (desde 1 dic)",$I492="Renuncia excepcional (art. 25.3)",$I492="Traslado de expediente")),COUNTIF($AE$1:AE491,"&gt;0")+1,"")</f>
      </c>
      <c r="AF492">
        <f>IF($Q492="Disponible",COUNTIF($AF$1:AF491,"&gt;0")+1,"")</f>
      </c>
      <c r="AG492">
        <f>IF($O492="Sí",COUNTIF($AG$1:AG491,"&gt;0")+1,"")</f>
      </c>
      <c r="AH492">
        <f>IF(AND($Q492="Disponible",$O492&lt;&gt;"Sí"),COUNTIF($AH$1:AH491,"&gt;0")+1,"")</f>
      </c>
      <c r="AI492">
        <f>IF(AND($Q492="Disponible",$K492&lt;&gt;""),COUNTIFS($K$2:K492,K492,$Q$2:Q492,"Disponible"),"")</f>
      </c>
      <c r="AJ492">
        <f>IF(AI492&lt;&gt;"",K492&amp;"|"&amp;AI492,"")</f>
      </c>
      <c r="AK492">
        <f>IF(AND($Q492="No disponible",OR($R492="Lista de espera · propio centro",$R492="Traslado de expediente",$R492="Lista de espera · otro centro"),$O492="Sí"),"la plaza ya tiene alumno y sigue marcada como refuerzo, ","")&amp;IF(AND($R492="Reconvertida en refuerzo",$O492&lt;&gt;"Sí"),"reconvertida en refuerzo pero sin marcar «En uso como refuerzo», ","")</f>
      </c>
    </row>
    <row r="493" spans="1:37">
      <c r="A493" s="20">
        <f>IF(D493&lt;&gt;"",ROW()-1,"")</f>
      </c>
      <c r="B493" s="55"/>
      <c r="C493" s="56"/>
      <c r="D493" s="56"/>
      <c r="E493" s="56"/>
      <c r="F493" s="56"/>
      <c r="G493" s="56"/>
      <c r="H493" s="56"/>
      <c r="I493" s="56"/>
      <c r="J493" s="57"/>
      <c r="K493" s="56"/>
      <c r="L493" s="58"/>
      <c r="M493" s="58">
        <f>IF(L493="","",L493)</f>
      </c>
      <c r="N493" s="56"/>
      <c r="O493" s="56"/>
      <c r="P493" s="57"/>
      <c r="Q493" s="56"/>
      <c r="R493" s="56"/>
      <c r="S493" s="56"/>
      <c r="T493" s="56"/>
      <c r="U493" s="56"/>
      <c r="V493" s="57"/>
      <c r="W493">
        <f>IF(Q493="Disponible",COUNTIFS($D$2:D493,D493,$Q$2:Q493,"Disponible"),"")</f>
      </c>
      <c r="X493">
        <f>IF(W493&lt;&gt;"",D493&amp;"|"&amp;W493,"")</f>
      </c>
      <c r="Y493">
        <f>IF(X493&lt;&gt;"",IF(K493&lt;&gt;"",K493&amp;" ("&amp;M493&amp;")",M493),"")</f>
      </c>
      <c r="Z493">
        <f>IF(O493="Sí",COUNTIFS($D$2:D493,D493,$O$2:O493,"Sí"),"")</f>
      </c>
      <c r="AA493">
        <f>IF(Z493&lt;&gt;"",D493&amp;"|"&amp;Z493,"")</f>
      </c>
      <c r="AB493">
        <f>IF(AA493&lt;&gt;"",IF(K493&lt;&gt;"",K493&amp;" ("&amp;M493&amp;")",M493),"")</f>
      </c>
      <c r="AC493">
        <f>IF($B493="","fecha, ","")&amp;IF($C493="","quién lo introduce, ","")&amp;IF($I493="","motivo, ","")&amp;IF($K493="","docente, ","")&amp;IF($L493="","horario, ","")&amp;IF($N493="","duración, ","")&amp;IF($Q493="","estado, ","")&amp;IF(AND($I493="Otros",$J493=""),"detalle del motivo, ","")&amp;IF(AND($O493="Sí",$P493=""),"detalle del refuerzo, ","")&amp;IF(AND(OR($I493="Renuncia (hasta 30 nov)",$I493="Baja (desde 1 dic)",$I493="Renuncia excepcional (art. 25.3)",$I493="Traslado de expediente"),OR($E493="",$F493="",$G493="")),"quién deja la plaza, ","")&amp;IF(AND($Q493="No disponible",$R493=""),"vía de cobertura, ","")&amp;IF(AND(OR($R493="Lista de espera · propio centro",$R493="Traslado de expediente",$R493="Lista de espera · otro centro"),OR($S493="",$T493="",$U493="")),"quién ocupa la plaza, ","")</f>
      </c>
      <c r="AD493" s="24">
        <f>IF($D493="","",IF(AND(LEN($AC493)=0,LEN($AK493)=0),"Completa",IF(LEN($AC493)=0,"Revisar: "&amp;LEFT($AK493,LEN($AK493)-2),"Falta: "&amp;LEFT($AC493,LEN($AC493)-2)&amp;IF(LEN($AK493)&gt;0,"  ·  Revisar: "&amp;LEFT($AK493,LEN($AK493)-2),""))))</f>
      </c>
      <c r="AE493">
        <f>IF(AND($D493&lt;&gt;"",OR($I493="Renuncia (hasta 30 nov)",$I493="Baja (desde 1 dic)",$I493="Renuncia excepcional (art. 25.3)",$I493="Traslado de expediente")),COUNTIF($AE$1:AE492,"&gt;0")+1,"")</f>
      </c>
      <c r="AF493">
        <f>IF($Q493="Disponible",COUNTIF($AF$1:AF492,"&gt;0")+1,"")</f>
      </c>
      <c r="AG493">
        <f>IF($O493="Sí",COUNTIF($AG$1:AG492,"&gt;0")+1,"")</f>
      </c>
      <c r="AH493">
        <f>IF(AND($Q493="Disponible",$O493&lt;&gt;"Sí"),COUNTIF($AH$1:AH492,"&gt;0")+1,"")</f>
      </c>
      <c r="AI493">
        <f>IF(AND($Q493="Disponible",$K493&lt;&gt;""),COUNTIFS($K$2:K493,K493,$Q$2:Q493,"Disponible"),"")</f>
      </c>
      <c r="AJ493">
        <f>IF(AI493&lt;&gt;"",K493&amp;"|"&amp;AI493,"")</f>
      </c>
      <c r="AK493">
        <f>IF(AND($Q493="No disponible",OR($R493="Lista de espera · propio centro",$R493="Traslado de expediente",$R493="Lista de espera · otro centro"),$O493="Sí"),"la plaza ya tiene alumno y sigue marcada como refuerzo, ","")&amp;IF(AND($R493="Reconvertida en refuerzo",$O493&lt;&gt;"Sí"),"reconvertida en refuerzo pero sin marcar «En uso como refuerzo», ","")</f>
      </c>
    </row>
    <row r="494" spans="1:37">
      <c r="A494" s="20">
        <f>IF(D494&lt;&gt;"",ROW()-1,"")</f>
      </c>
      <c r="B494" s="55"/>
      <c r="C494" s="56"/>
      <c r="D494" s="56"/>
      <c r="E494" s="56"/>
      <c r="F494" s="56"/>
      <c r="G494" s="56"/>
      <c r="H494" s="56"/>
      <c r="I494" s="56"/>
      <c r="J494" s="57"/>
      <c r="K494" s="56"/>
      <c r="L494" s="58"/>
      <c r="M494" s="58">
        <f>IF(L494="","",L494)</f>
      </c>
      <c r="N494" s="56"/>
      <c r="O494" s="56"/>
      <c r="P494" s="57"/>
      <c r="Q494" s="56"/>
      <c r="R494" s="56"/>
      <c r="S494" s="56"/>
      <c r="T494" s="56"/>
      <c r="U494" s="56"/>
      <c r="V494" s="57"/>
      <c r="W494">
        <f>IF(Q494="Disponible",COUNTIFS($D$2:D494,D494,$Q$2:Q494,"Disponible"),"")</f>
      </c>
      <c r="X494">
        <f>IF(W494&lt;&gt;"",D494&amp;"|"&amp;W494,"")</f>
      </c>
      <c r="Y494">
        <f>IF(X494&lt;&gt;"",IF(K494&lt;&gt;"",K494&amp;" ("&amp;M494&amp;")",M494),"")</f>
      </c>
      <c r="Z494">
        <f>IF(O494="Sí",COUNTIFS($D$2:D494,D494,$O$2:O494,"Sí"),"")</f>
      </c>
      <c r="AA494">
        <f>IF(Z494&lt;&gt;"",D494&amp;"|"&amp;Z494,"")</f>
      </c>
      <c r="AB494">
        <f>IF(AA494&lt;&gt;"",IF(K494&lt;&gt;"",K494&amp;" ("&amp;M494&amp;")",M494),"")</f>
      </c>
      <c r="AC494">
        <f>IF($B494="","fecha, ","")&amp;IF($C494="","quién lo introduce, ","")&amp;IF($I494="","motivo, ","")&amp;IF($K494="","docente, ","")&amp;IF($L494="","horario, ","")&amp;IF($N494="","duración, ","")&amp;IF($Q494="","estado, ","")&amp;IF(AND($I494="Otros",$J494=""),"detalle del motivo, ","")&amp;IF(AND($O494="Sí",$P494=""),"detalle del refuerzo, ","")&amp;IF(AND(OR($I494="Renuncia (hasta 30 nov)",$I494="Baja (desde 1 dic)",$I494="Renuncia excepcional (art. 25.3)",$I494="Traslado de expediente"),OR($E494="",$F494="",$G494="")),"quién deja la plaza, ","")&amp;IF(AND($Q494="No disponible",$R494=""),"vía de cobertura, ","")&amp;IF(AND(OR($R494="Lista de espera · propio centro",$R494="Traslado de expediente",$R494="Lista de espera · otro centro"),OR($S494="",$T494="",$U494="")),"quién ocupa la plaza, ","")</f>
      </c>
      <c r="AD494" s="24">
        <f>IF($D494="","",IF(AND(LEN($AC494)=0,LEN($AK494)=0),"Completa",IF(LEN($AC494)=0,"Revisar: "&amp;LEFT($AK494,LEN($AK494)-2),"Falta: "&amp;LEFT($AC494,LEN($AC494)-2)&amp;IF(LEN($AK494)&gt;0,"  ·  Revisar: "&amp;LEFT($AK494,LEN($AK494)-2),""))))</f>
      </c>
      <c r="AE494">
        <f>IF(AND($D494&lt;&gt;"",OR($I494="Renuncia (hasta 30 nov)",$I494="Baja (desde 1 dic)",$I494="Renuncia excepcional (art. 25.3)",$I494="Traslado de expediente")),COUNTIF($AE$1:AE493,"&gt;0")+1,"")</f>
      </c>
      <c r="AF494">
        <f>IF($Q494="Disponible",COUNTIF($AF$1:AF493,"&gt;0")+1,"")</f>
      </c>
      <c r="AG494">
        <f>IF($O494="Sí",COUNTIF($AG$1:AG493,"&gt;0")+1,"")</f>
      </c>
      <c r="AH494">
        <f>IF(AND($Q494="Disponible",$O494&lt;&gt;"Sí"),COUNTIF($AH$1:AH493,"&gt;0")+1,"")</f>
      </c>
      <c r="AI494">
        <f>IF(AND($Q494="Disponible",$K494&lt;&gt;""),COUNTIFS($K$2:K494,K494,$Q$2:Q494,"Disponible"),"")</f>
      </c>
      <c r="AJ494">
        <f>IF(AI494&lt;&gt;"",K494&amp;"|"&amp;AI494,"")</f>
      </c>
      <c r="AK494">
        <f>IF(AND($Q494="No disponible",OR($R494="Lista de espera · propio centro",$R494="Traslado de expediente",$R494="Lista de espera · otro centro"),$O494="Sí"),"la plaza ya tiene alumno y sigue marcada como refuerzo, ","")&amp;IF(AND($R494="Reconvertida en refuerzo",$O494&lt;&gt;"Sí"),"reconvertida en refuerzo pero sin marcar «En uso como refuerzo», ","")</f>
      </c>
    </row>
    <row r="495" spans="1:37">
      <c r="A495" s="20">
        <f>IF(D495&lt;&gt;"",ROW()-1,"")</f>
      </c>
      <c r="B495" s="55"/>
      <c r="C495" s="56"/>
      <c r="D495" s="56"/>
      <c r="E495" s="56"/>
      <c r="F495" s="56"/>
      <c r="G495" s="56"/>
      <c r="H495" s="56"/>
      <c r="I495" s="56"/>
      <c r="J495" s="57"/>
      <c r="K495" s="56"/>
      <c r="L495" s="58"/>
      <c r="M495" s="58">
        <f>IF(L495="","",L495)</f>
      </c>
      <c r="N495" s="56"/>
      <c r="O495" s="56"/>
      <c r="P495" s="57"/>
      <c r="Q495" s="56"/>
      <c r="R495" s="56"/>
      <c r="S495" s="56"/>
      <c r="T495" s="56"/>
      <c r="U495" s="56"/>
      <c r="V495" s="57"/>
      <c r="W495">
        <f>IF(Q495="Disponible",COUNTIFS($D$2:D495,D495,$Q$2:Q495,"Disponible"),"")</f>
      </c>
      <c r="X495">
        <f>IF(W495&lt;&gt;"",D495&amp;"|"&amp;W495,"")</f>
      </c>
      <c r="Y495">
        <f>IF(X495&lt;&gt;"",IF(K495&lt;&gt;"",K495&amp;" ("&amp;M495&amp;")",M495),"")</f>
      </c>
      <c r="Z495">
        <f>IF(O495="Sí",COUNTIFS($D$2:D495,D495,$O$2:O495,"Sí"),"")</f>
      </c>
      <c r="AA495">
        <f>IF(Z495&lt;&gt;"",D495&amp;"|"&amp;Z495,"")</f>
      </c>
      <c r="AB495">
        <f>IF(AA495&lt;&gt;"",IF(K495&lt;&gt;"",K495&amp;" ("&amp;M495&amp;")",M495),"")</f>
      </c>
      <c r="AC495">
        <f>IF($B495="","fecha, ","")&amp;IF($C495="","quién lo introduce, ","")&amp;IF($I495="","motivo, ","")&amp;IF($K495="","docente, ","")&amp;IF($L495="","horario, ","")&amp;IF($N495="","duración, ","")&amp;IF($Q495="","estado, ","")&amp;IF(AND($I495="Otros",$J495=""),"detalle del motivo, ","")&amp;IF(AND($O495="Sí",$P495=""),"detalle del refuerzo, ","")&amp;IF(AND(OR($I495="Renuncia (hasta 30 nov)",$I495="Baja (desde 1 dic)",$I495="Renuncia excepcional (art. 25.3)",$I495="Traslado de expediente"),OR($E495="",$F495="",$G495="")),"quién deja la plaza, ","")&amp;IF(AND($Q495="No disponible",$R495=""),"vía de cobertura, ","")&amp;IF(AND(OR($R495="Lista de espera · propio centro",$R495="Traslado de expediente",$R495="Lista de espera · otro centro"),OR($S495="",$T495="",$U495="")),"quién ocupa la plaza, ","")</f>
      </c>
      <c r="AD495" s="24">
        <f>IF($D495="","",IF(AND(LEN($AC495)=0,LEN($AK495)=0),"Completa",IF(LEN($AC495)=0,"Revisar: "&amp;LEFT($AK495,LEN($AK495)-2),"Falta: "&amp;LEFT($AC495,LEN($AC495)-2)&amp;IF(LEN($AK495)&gt;0,"  ·  Revisar: "&amp;LEFT($AK495,LEN($AK495)-2),""))))</f>
      </c>
      <c r="AE495">
        <f>IF(AND($D495&lt;&gt;"",OR($I495="Renuncia (hasta 30 nov)",$I495="Baja (desde 1 dic)",$I495="Renuncia excepcional (art. 25.3)",$I495="Traslado de expediente")),COUNTIF($AE$1:AE494,"&gt;0")+1,"")</f>
      </c>
      <c r="AF495">
        <f>IF($Q495="Disponible",COUNTIF($AF$1:AF494,"&gt;0")+1,"")</f>
      </c>
      <c r="AG495">
        <f>IF($O495="Sí",COUNTIF($AG$1:AG494,"&gt;0")+1,"")</f>
      </c>
      <c r="AH495">
        <f>IF(AND($Q495="Disponible",$O495&lt;&gt;"Sí"),COUNTIF($AH$1:AH494,"&gt;0")+1,"")</f>
      </c>
      <c r="AI495">
        <f>IF(AND($Q495="Disponible",$K495&lt;&gt;""),COUNTIFS($K$2:K495,K495,$Q$2:Q495,"Disponible"),"")</f>
      </c>
      <c r="AJ495">
        <f>IF(AI495&lt;&gt;"",K495&amp;"|"&amp;AI495,"")</f>
      </c>
      <c r="AK495">
        <f>IF(AND($Q495="No disponible",OR($R495="Lista de espera · propio centro",$R495="Traslado de expediente",$R495="Lista de espera · otro centro"),$O495="Sí"),"la plaza ya tiene alumno y sigue marcada como refuerzo, ","")&amp;IF(AND($R495="Reconvertida en refuerzo",$O495&lt;&gt;"Sí"),"reconvertida en refuerzo pero sin marcar «En uso como refuerzo», ","")</f>
      </c>
    </row>
    <row r="496" spans="1:37">
      <c r="A496" s="20">
        <f>IF(D496&lt;&gt;"",ROW()-1,"")</f>
      </c>
      <c r="B496" s="55"/>
      <c r="C496" s="56"/>
      <c r="D496" s="56"/>
      <c r="E496" s="56"/>
      <c r="F496" s="56"/>
      <c r="G496" s="56"/>
      <c r="H496" s="56"/>
      <c r="I496" s="56"/>
      <c r="J496" s="57"/>
      <c r="K496" s="56"/>
      <c r="L496" s="58"/>
      <c r="M496" s="58">
        <f>IF(L496="","",L496)</f>
      </c>
      <c r="N496" s="56"/>
      <c r="O496" s="56"/>
      <c r="P496" s="57"/>
      <c r="Q496" s="56"/>
      <c r="R496" s="56"/>
      <c r="S496" s="56"/>
      <c r="T496" s="56"/>
      <c r="U496" s="56"/>
      <c r="V496" s="57"/>
      <c r="W496">
        <f>IF(Q496="Disponible",COUNTIFS($D$2:D496,D496,$Q$2:Q496,"Disponible"),"")</f>
      </c>
      <c r="X496">
        <f>IF(W496&lt;&gt;"",D496&amp;"|"&amp;W496,"")</f>
      </c>
      <c r="Y496">
        <f>IF(X496&lt;&gt;"",IF(K496&lt;&gt;"",K496&amp;" ("&amp;M496&amp;")",M496),"")</f>
      </c>
      <c r="Z496">
        <f>IF(O496="Sí",COUNTIFS($D$2:D496,D496,$O$2:O496,"Sí"),"")</f>
      </c>
      <c r="AA496">
        <f>IF(Z496&lt;&gt;"",D496&amp;"|"&amp;Z496,"")</f>
      </c>
      <c r="AB496">
        <f>IF(AA496&lt;&gt;"",IF(K496&lt;&gt;"",K496&amp;" ("&amp;M496&amp;")",M496),"")</f>
      </c>
      <c r="AC496">
        <f>IF($B496="","fecha, ","")&amp;IF($C496="","quién lo introduce, ","")&amp;IF($I496="","motivo, ","")&amp;IF($K496="","docente, ","")&amp;IF($L496="","horario, ","")&amp;IF($N496="","duración, ","")&amp;IF($Q496="","estado, ","")&amp;IF(AND($I496="Otros",$J496=""),"detalle del motivo, ","")&amp;IF(AND($O496="Sí",$P496=""),"detalle del refuerzo, ","")&amp;IF(AND(OR($I496="Renuncia (hasta 30 nov)",$I496="Baja (desde 1 dic)",$I496="Renuncia excepcional (art. 25.3)",$I496="Traslado de expediente"),OR($E496="",$F496="",$G496="")),"quién deja la plaza, ","")&amp;IF(AND($Q496="No disponible",$R496=""),"vía de cobertura, ","")&amp;IF(AND(OR($R496="Lista de espera · propio centro",$R496="Traslado de expediente",$R496="Lista de espera · otro centro"),OR($S496="",$T496="",$U496="")),"quién ocupa la plaza, ","")</f>
      </c>
      <c r="AD496" s="24">
        <f>IF($D496="","",IF(AND(LEN($AC496)=0,LEN($AK496)=0),"Completa",IF(LEN($AC496)=0,"Revisar: "&amp;LEFT($AK496,LEN($AK496)-2),"Falta: "&amp;LEFT($AC496,LEN($AC496)-2)&amp;IF(LEN($AK496)&gt;0,"  ·  Revisar: "&amp;LEFT($AK496,LEN($AK496)-2),""))))</f>
      </c>
      <c r="AE496">
        <f>IF(AND($D496&lt;&gt;"",OR($I496="Renuncia (hasta 30 nov)",$I496="Baja (desde 1 dic)",$I496="Renuncia excepcional (art. 25.3)",$I496="Traslado de expediente")),COUNTIF($AE$1:AE495,"&gt;0")+1,"")</f>
      </c>
      <c r="AF496">
        <f>IF($Q496="Disponible",COUNTIF($AF$1:AF495,"&gt;0")+1,"")</f>
      </c>
      <c r="AG496">
        <f>IF($O496="Sí",COUNTIF($AG$1:AG495,"&gt;0")+1,"")</f>
      </c>
      <c r="AH496">
        <f>IF(AND($Q496="Disponible",$O496&lt;&gt;"Sí"),COUNTIF($AH$1:AH495,"&gt;0")+1,"")</f>
      </c>
      <c r="AI496">
        <f>IF(AND($Q496="Disponible",$K496&lt;&gt;""),COUNTIFS($K$2:K496,K496,$Q$2:Q496,"Disponible"),"")</f>
      </c>
      <c r="AJ496">
        <f>IF(AI496&lt;&gt;"",K496&amp;"|"&amp;AI496,"")</f>
      </c>
      <c r="AK496">
        <f>IF(AND($Q496="No disponible",OR($R496="Lista de espera · propio centro",$R496="Traslado de expediente",$R496="Lista de espera · otro centro"),$O496="Sí"),"la plaza ya tiene alumno y sigue marcada como refuerzo, ","")&amp;IF(AND($R496="Reconvertida en refuerzo",$O496&lt;&gt;"Sí"),"reconvertida en refuerzo pero sin marcar «En uso como refuerzo», ","")</f>
      </c>
    </row>
    <row r="497" spans="1:37">
      <c r="A497" s="20">
        <f>IF(D497&lt;&gt;"",ROW()-1,"")</f>
      </c>
      <c r="B497" s="55"/>
      <c r="C497" s="56"/>
      <c r="D497" s="56"/>
      <c r="E497" s="56"/>
      <c r="F497" s="56"/>
      <c r="G497" s="56"/>
      <c r="H497" s="56"/>
      <c r="I497" s="56"/>
      <c r="J497" s="57"/>
      <c r="K497" s="56"/>
      <c r="L497" s="58"/>
      <c r="M497" s="58">
        <f>IF(L497="","",L497)</f>
      </c>
      <c r="N497" s="56"/>
      <c r="O497" s="56"/>
      <c r="P497" s="57"/>
      <c r="Q497" s="56"/>
      <c r="R497" s="56"/>
      <c r="S497" s="56"/>
      <c r="T497" s="56"/>
      <c r="U497" s="56"/>
      <c r="V497" s="57"/>
      <c r="W497">
        <f>IF(Q497="Disponible",COUNTIFS($D$2:D497,D497,$Q$2:Q497,"Disponible"),"")</f>
      </c>
      <c r="X497">
        <f>IF(W497&lt;&gt;"",D497&amp;"|"&amp;W497,"")</f>
      </c>
      <c r="Y497">
        <f>IF(X497&lt;&gt;"",IF(K497&lt;&gt;"",K497&amp;" ("&amp;M497&amp;")",M497),"")</f>
      </c>
      <c r="Z497">
        <f>IF(O497="Sí",COUNTIFS($D$2:D497,D497,$O$2:O497,"Sí"),"")</f>
      </c>
      <c r="AA497">
        <f>IF(Z497&lt;&gt;"",D497&amp;"|"&amp;Z497,"")</f>
      </c>
      <c r="AB497">
        <f>IF(AA497&lt;&gt;"",IF(K497&lt;&gt;"",K497&amp;" ("&amp;M497&amp;")",M497),"")</f>
      </c>
      <c r="AC497">
        <f>IF($B497="","fecha, ","")&amp;IF($C497="","quién lo introduce, ","")&amp;IF($I497="","motivo, ","")&amp;IF($K497="","docente, ","")&amp;IF($L497="","horario, ","")&amp;IF($N497="","duración, ","")&amp;IF($Q497="","estado, ","")&amp;IF(AND($I497="Otros",$J497=""),"detalle del motivo, ","")&amp;IF(AND($O497="Sí",$P497=""),"detalle del refuerzo, ","")&amp;IF(AND(OR($I497="Renuncia (hasta 30 nov)",$I497="Baja (desde 1 dic)",$I497="Renuncia excepcional (art. 25.3)",$I497="Traslado de expediente"),OR($E497="",$F497="",$G497="")),"quién deja la plaza, ","")&amp;IF(AND($Q497="No disponible",$R497=""),"vía de cobertura, ","")&amp;IF(AND(OR($R497="Lista de espera · propio centro",$R497="Traslado de expediente",$R497="Lista de espera · otro centro"),OR($S497="",$T497="",$U497="")),"quién ocupa la plaza, ","")</f>
      </c>
      <c r="AD497" s="24">
        <f>IF($D497="","",IF(AND(LEN($AC497)=0,LEN($AK497)=0),"Completa",IF(LEN($AC497)=0,"Revisar: "&amp;LEFT($AK497,LEN($AK497)-2),"Falta: "&amp;LEFT($AC497,LEN($AC497)-2)&amp;IF(LEN($AK497)&gt;0,"  ·  Revisar: "&amp;LEFT($AK497,LEN($AK497)-2),""))))</f>
      </c>
      <c r="AE497">
        <f>IF(AND($D497&lt;&gt;"",OR($I497="Renuncia (hasta 30 nov)",$I497="Baja (desde 1 dic)",$I497="Renuncia excepcional (art. 25.3)",$I497="Traslado de expediente")),COUNTIF($AE$1:AE496,"&gt;0")+1,"")</f>
      </c>
      <c r="AF497">
        <f>IF($Q497="Disponible",COUNTIF($AF$1:AF496,"&gt;0")+1,"")</f>
      </c>
      <c r="AG497">
        <f>IF($O497="Sí",COUNTIF($AG$1:AG496,"&gt;0")+1,"")</f>
      </c>
      <c r="AH497">
        <f>IF(AND($Q497="Disponible",$O497&lt;&gt;"Sí"),COUNTIF($AH$1:AH496,"&gt;0")+1,"")</f>
      </c>
      <c r="AI497">
        <f>IF(AND($Q497="Disponible",$K497&lt;&gt;""),COUNTIFS($K$2:K497,K497,$Q$2:Q497,"Disponible"),"")</f>
      </c>
      <c r="AJ497">
        <f>IF(AI497&lt;&gt;"",K497&amp;"|"&amp;AI497,"")</f>
      </c>
      <c r="AK497">
        <f>IF(AND($Q497="No disponible",OR($R497="Lista de espera · propio centro",$R497="Traslado de expediente",$R497="Lista de espera · otro centro"),$O497="Sí"),"la plaza ya tiene alumno y sigue marcada como refuerzo, ","")&amp;IF(AND($R497="Reconvertida en refuerzo",$O497&lt;&gt;"Sí"),"reconvertida en refuerzo pero sin marcar «En uso como refuerzo», ","")</f>
      </c>
    </row>
    <row r="498" spans="1:37">
      <c r="A498" s="20">
        <f>IF(D498&lt;&gt;"",ROW()-1,"")</f>
      </c>
      <c r="B498" s="55"/>
      <c r="C498" s="56"/>
      <c r="D498" s="56"/>
      <c r="E498" s="56"/>
      <c r="F498" s="56"/>
      <c r="G498" s="56"/>
      <c r="H498" s="56"/>
      <c r="I498" s="56"/>
      <c r="J498" s="57"/>
      <c r="K498" s="56"/>
      <c r="L498" s="58"/>
      <c r="M498" s="58">
        <f>IF(L498="","",L498)</f>
      </c>
      <c r="N498" s="56"/>
      <c r="O498" s="56"/>
      <c r="P498" s="57"/>
      <c r="Q498" s="56"/>
      <c r="R498" s="56"/>
      <c r="S498" s="56"/>
      <c r="T498" s="56"/>
      <c r="U498" s="56"/>
      <c r="V498" s="57"/>
      <c r="W498">
        <f>IF(Q498="Disponible",COUNTIFS($D$2:D498,D498,$Q$2:Q498,"Disponible"),"")</f>
      </c>
      <c r="X498">
        <f>IF(W498&lt;&gt;"",D498&amp;"|"&amp;W498,"")</f>
      </c>
      <c r="Y498">
        <f>IF(X498&lt;&gt;"",IF(K498&lt;&gt;"",K498&amp;" ("&amp;M498&amp;")",M498),"")</f>
      </c>
      <c r="Z498">
        <f>IF(O498="Sí",COUNTIFS($D$2:D498,D498,$O$2:O498,"Sí"),"")</f>
      </c>
      <c r="AA498">
        <f>IF(Z498&lt;&gt;"",D498&amp;"|"&amp;Z498,"")</f>
      </c>
      <c r="AB498">
        <f>IF(AA498&lt;&gt;"",IF(K498&lt;&gt;"",K498&amp;" ("&amp;M498&amp;")",M498),"")</f>
      </c>
      <c r="AC498">
        <f>IF($B498="","fecha, ","")&amp;IF($C498="","quién lo introduce, ","")&amp;IF($I498="","motivo, ","")&amp;IF($K498="","docente, ","")&amp;IF($L498="","horario, ","")&amp;IF($N498="","duración, ","")&amp;IF($Q498="","estado, ","")&amp;IF(AND($I498="Otros",$J498=""),"detalle del motivo, ","")&amp;IF(AND($O498="Sí",$P498=""),"detalle del refuerzo, ","")&amp;IF(AND(OR($I498="Renuncia (hasta 30 nov)",$I498="Baja (desde 1 dic)",$I498="Renuncia excepcional (art. 25.3)",$I498="Traslado de expediente"),OR($E498="",$F498="",$G498="")),"quién deja la plaza, ","")&amp;IF(AND($Q498="No disponible",$R498=""),"vía de cobertura, ","")&amp;IF(AND(OR($R498="Lista de espera · propio centro",$R498="Traslado de expediente",$R498="Lista de espera · otro centro"),OR($S498="",$T498="",$U498="")),"quién ocupa la plaza, ","")</f>
      </c>
      <c r="AD498" s="24">
        <f>IF($D498="","",IF(AND(LEN($AC498)=0,LEN($AK498)=0),"Completa",IF(LEN($AC498)=0,"Revisar: "&amp;LEFT($AK498,LEN($AK498)-2),"Falta: "&amp;LEFT($AC498,LEN($AC498)-2)&amp;IF(LEN($AK498)&gt;0,"  ·  Revisar: "&amp;LEFT($AK498,LEN($AK498)-2),""))))</f>
      </c>
      <c r="AE498">
        <f>IF(AND($D498&lt;&gt;"",OR($I498="Renuncia (hasta 30 nov)",$I498="Baja (desde 1 dic)",$I498="Renuncia excepcional (art. 25.3)",$I498="Traslado de expediente")),COUNTIF($AE$1:AE497,"&gt;0")+1,"")</f>
      </c>
      <c r="AF498">
        <f>IF($Q498="Disponible",COUNTIF($AF$1:AF497,"&gt;0")+1,"")</f>
      </c>
      <c r="AG498">
        <f>IF($O498="Sí",COUNTIF($AG$1:AG497,"&gt;0")+1,"")</f>
      </c>
      <c r="AH498">
        <f>IF(AND($Q498="Disponible",$O498&lt;&gt;"Sí"),COUNTIF($AH$1:AH497,"&gt;0")+1,"")</f>
      </c>
      <c r="AI498">
        <f>IF(AND($Q498="Disponible",$K498&lt;&gt;""),COUNTIFS($K$2:K498,K498,$Q$2:Q498,"Disponible"),"")</f>
      </c>
      <c r="AJ498">
        <f>IF(AI498&lt;&gt;"",K498&amp;"|"&amp;AI498,"")</f>
      </c>
      <c r="AK498">
        <f>IF(AND($Q498="No disponible",OR($R498="Lista de espera · propio centro",$R498="Traslado de expediente",$R498="Lista de espera · otro centro"),$O498="Sí"),"la plaza ya tiene alumno y sigue marcada como refuerzo, ","")&amp;IF(AND($R498="Reconvertida en refuerzo",$O498&lt;&gt;"Sí"),"reconvertida en refuerzo pero sin marcar «En uso como refuerzo», ","")</f>
      </c>
    </row>
    <row r="499" spans="1:37">
      <c r="A499" s="20">
        <f>IF(D499&lt;&gt;"",ROW()-1,"")</f>
      </c>
      <c r="B499" s="55"/>
      <c r="C499" s="56"/>
      <c r="D499" s="56"/>
      <c r="E499" s="56"/>
      <c r="F499" s="56"/>
      <c r="G499" s="56"/>
      <c r="H499" s="56"/>
      <c r="I499" s="56"/>
      <c r="J499" s="57"/>
      <c r="K499" s="56"/>
      <c r="L499" s="58"/>
      <c r="M499" s="58">
        <f>IF(L499="","",L499)</f>
      </c>
      <c r="N499" s="56"/>
      <c r="O499" s="56"/>
      <c r="P499" s="57"/>
      <c r="Q499" s="56"/>
      <c r="R499" s="56"/>
      <c r="S499" s="56"/>
      <c r="T499" s="56"/>
      <c r="U499" s="56"/>
      <c r="V499" s="57"/>
      <c r="W499">
        <f>IF(Q499="Disponible",COUNTIFS($D$2:D499,D499,$Q$2:Q499,"Disponible"),"")</f>
      </c>
      <c r="X499">
        <f>IF(W499&lt;&gt;"",D499&amp;"|"&amp;W499,"")</f>
      </c>
      <c r="Y499">
        <f>IF(X499&lt;&gt;"",IF(K499&lt;&gt;"",K499&amp;" ("&amp;M499&amp;")",M499),"")</f>
      </c>
      <c r="Z499">
        <f>IF(O499="Sí",COUNTIFS($D$2:D499,D499,$O$2:O499,"Sí"),"")</f>
      </c>
      <c r="AA499">
        <f>IF(Z499&lt;&gt;"",D499&amp;"|"&amp;Z499,"")</f>
      </c>
      <c r="AB499">
        <f>IF(AA499&lt;&gt;"",IF(K499&lt;&gt;"",K499&amp;" ("&amp;M499&amp;")",M499),"")</f>
      </c>
      <c r="AC499">
        <f>IF($B499="","fecha, ","")&amp;IF($C499="","quién lo introduce, ","")&amp;IF($I499="","motivo, ","")&amp;IF($K499="","docente, ","")&amp;IF($L499="","horario, ","")&amp;IF($N499="","duración, ","")&amp;IF($Q499="","estado, ","")&amp;IF(AND($I499="Otros",$J499=""),"detalle del motivo, ","")&amp;IF(AND($O499="Sí",$P499=""),"detalle del refuerzo, ","")&amp;IF(AND(OR($I499="Renuncia (hasta 30 nov)",$I499="Baja (desde 1 dic)",$I499="Renuncia excepcional (art. 25.3)",$I499="Traslado de expediente"),OR($E499="",$F499="",$G499="")),"quién deja la plaza, ","")&amp;IF(AND($Q499="No disponible",$R499=""),"vía de cobertura, ","")&amp;IF(AND(OR($R499="Lista de espera · propio centro",$R499="Traslado de expediente",$R499="Lista de espera · otro centro"),OR($S499="",$T499="",$U499="")),"quién ocupa la plaza, ","")</f>
      </c>
      <c r="AD499" s="24">
        <f>IF($D499="","",IF(AND(LEN($AC499)=0,LEN($AK499)=0),"Completa",IF(LEN($AC499)=0,"Revisar: "&amp;LEFT($AK499,LEN($AK499)-2),"Falta: "&amp;LEFT($AC499,LEN($AC499)-2)&amp;IF(LEN($AK499)&gt;0,"  ·  Revisar: "&amp;LEFT($AK499,LEN($AK499)-2),""))))</f>
      </c>
      <c r="AE499">
        <f>IF(AND($D499&lt;&gt;"",OR($I499="Renuncia (hasta 30 nov)",$I499="Baja (desde 1 dic)",$I499="Renuncia excepcional (art. 25.3)",$I499="Traslado de expediente")),COUNTIF($AE$1:AE498,"&gt;0")+1,"")</f>
      </c>
      <c r="AF499">
        <f>IF($Q499="Disponible",COUNTIF($AF$1:AF498,"&gt;0")+1,"")</f>
      </c>
      <c r="AG499">
        <f>IF($O499="Sí",COUNTIF($AG$1:AG498,"&gt;0")+1,"")</f>
      </c>
      <c r="AH499">
        <f>IF(AND($Q499="Disponible",$O499&lt;&gt;"Sí"),COUNTIF($AH$1:AH498,"&gt;0")+1,"")</f>
      </c>
      <c r="AI499">
        <f>IF(AND($Q499="Disponible",$K499&lt;&gt;""),COUNTIFS($K$2:K499,K499,$Q$2:Q499,"Disponible"),"")</f>
      </c>
      <c r="AJ499">
        <f>IF(AI499&lt;&gt;"",K499&amp;"|"&amp;AI499,"")</f>
      </c>
      <c r="AK499">
        <f>IF(AND($Q499="No disponible",OR($R499="Lista de espera · propio centro",$R499="Traslado de expediente",$R499="Lista de espera · otro centro"),$O499="Sí"),"la plaza ya tiene alumno y sigue marcada como refuerzo, ","")&amp;IF(AND($R499="Reconvertida en refuerzo",$O499&lt;&gt;"Sí"),"reconvertida en refuerzo pero sin marcar «En uso como refuerzo», ","")</f>
      </c>
    </row>
    <row r="500" spans="1:37">
      <c r="A500" s="20">
        <f>IF(D500&lt;&gt;"",ROW()-1,"")</f>
      </c>
      <c r="B500" s="55"/>
      <c r="C500" s="56"/>
      <c r="D500" s="56"/>
      <c r="E500" s="56"/>
      <c r="F500" s="56"/>
      <c r="G500" s="56"/>
      <c r="H500" s="56"/>
      <c r="I500" s="56"/>
      <c r="J500" s="57"/>
      <c r="K500" s="56"/>
      <c r="L500" s="58"/>
      <c r="M500" s="58">
        <f>IF(L500="","",L500)</f>
      </c>
      <c r="N500" s="56"/>
      <c r="O500" s="56"/>
      <c r="P500" s="57"/>
      <c r="Q500" s="56"/>
      <c r="R500" s="56"/>
      <c r="S500" s="56"/>
      <c r="T500" s="56"/>
      <c r="U500" s="56"/>
      <c r="V500" s="57"/>
      <c r="W500">
        <f>IF(Q500="Disponible",COUNTIFS($D$2:D500,D500,$Q$2:Q500,"Disponible"),"")</f>
      </c>
      <c r="X500">
        <f>IF(W500&lt;&gt;"",D500&amp;"|"&amp;W500,"")</f>
      </c>
      <c r="Y500">
        <f>IF(X500&lt;&gt;"",IF(K500&lt;&gt;"",K500&amp;" ("&amp;M500&amp;")",M500),"")</f>
      </c>
      <c r="Z500">
        <f>IF(O500="Sí",COUNTIFS($D$2:D500,D500,$O$2:O500,"Sí"),"")</f>
      </c>
      <c r="AA500">
        <f>IF(Z500&lt;&gt;"",D500&amp;"|"&amp;Z500,"")</f>
      </c>
      <c r="AB500">
        <f>IF(AA500&lt;&gt;"",IF(K500&lt;&gt;"",K500&amp;" ("&amp;M500&amp;")",M500),"")</f>
      </c>
      <c r="AC500">
        <f>IF($B500="","fecha, ","")&amp;IF($C500="","quién lo introduce, ","")&amp;IF($I500="","motivo, ","")&amp;IF($K500="","docente, ","")&amp;IF($L500="","horario, ","")&amp;IF($N500="","duración, ","")&amp;IF($Q500="","estado, ","")&amp;IF(AND($I500="Otros",$J500=""),"detalle del motivo, ","")&amp;IF(AND($O500="Sí",$P500=""),"detalle del refuerzo, ","")&amp;IF(AND(OR($I500="Renuncia (hasta 30 nov)",$I500="Baja (desde 1 dic)",$I500="Renuncia excepcional (art. 25.3)",$I500="Traslado de expediente"),OR($E500="",$F500="",$G500="")),"quién deja la plaza, ","")&amp;IF(AND($Q500="No disponible",$R500=""),"vía de cobertura, ","")&amp;IF(AND(OR($R500="Lista de espera · propio centro",$R500="Traslado de expediente",$R500="Lista de espera · otro centro"),OR($S500="",$T500="",$U500="")),"quién ocupa la plaza, ","")</f>
      </c>
      <c r="AD500" s="24">
        <f>IF($D500="","",IF(AND(LEN($AC500)=0,LEN($AK500)=0),"Completa",IF(LEN($AC500)=0,"Revisar: "&amp;LEFT($AK500,LEN($AK500)-2),"Falta: "&amp;LEFT($AC500,LEN($AC500)-2)&amp;IF(LEN($AK500)&gt;0,"  ·  Revisar: "&amp;LEFT($AK500,LEN($AK500)-2),""))))</f>
      </c>
      <c r="AE500">
        <f>IF(AND($D500&lt;&gt;"",OR($I500="Renuncia (hasta 30 nov)",$I500="Baja (desde 1 dic)",$I500="Renuncia excepcional (art. 25.3)",$I500="Traslado de expediente")),COUNTIF($AE$1:AE499,"&gt;0")+1,"")</f>
      </c>
      <c r="AF500">
        <f>IF($Q500="Disponible",COUNTIF($AF$1:AF499,"&gt;0")+1,"")</f>
      </c>
      <c r="AG500">
        <f>IF($O500="Sí",COUNTIF($AG$1:AG499,"&gt;0")+1,"")</f>
      </c>
      <c r="AH500">
        <f>IF(AND($Q500="Disponible",$O500&lt;&gt;"Sí"),COUNTIF($AH$1:AH499,"&gt;0")+1,"")</f>
      </c>
      <c r="AI500">
        <f>IF(AND($Q500="Disponible",$K500&lt;&gt;""),COUNTIFS($K$2:K500,K500,$Q$2:Q500,"Disponible"),"")</f>
      </c>
      <c r="AJ500">
        <f>IF(AI500&lt;&gt;"",K500&amp;"|"&amp;AI500,"")</f>
      </c>
      <c r="AK500">
        <f>IF(AND($Q500="No disponible",OR($R500="Lista de espera · propio centro",$R500="Traslado de expediente",$R500="Lista de espera · otro centro"),$O500="Sí"),"la plaza ya tiene alumno y sigue marcada como refuerzo, ","")&amp;IF(AND($R500="Reconvertida en refuerzo",$O500&lt;&gt;"Sí"),"reconvertida en refuerzo pero sin marcar «En uso como refuerzo», ","")</f>
      </c>
    </row>
    <row r="501" spans="1:37">
      <c r="A501" s="20">
        <f>IF(D501&lt;&gt;"",ROW()-1,"")</f>
      </c>
      <c r="B501" s="55"/>
      <c r="C501" s="56"/>
      <c r="D501" s="56"/>
      <c r="E501" s="56"/>
      <c r="F501" s="56"/>
      <c r="G501" s="56"/>
      <c r="H501" s="56"/>
      <c r="I501" s="56"/>
      <c r="J501" s="57"/>
      <c r="K501" s="56"/>
      <c r="L501" s="58"/>
      <c r="M501" s="58">
        <f>IF(L501="","",L501)</f>
      </c>
      <c r="N501" s="56"/>
      <c r="O501" s="56"/>
      <c r="P501" s="57"/>
      <c r="Q501" s="56"/>
      <c r="R501" s="56"/>
      <c r="S501" s="56"/>
      <c r="T501" s="56"/>
      <c r="U501" s="56"/>
      <c r="V501" s="57"/>
      <c r="W501">
        <f>IF(Q501="Disponible",COUNTIFS($D$2:D501,D501,$Q$2:Q501,"Disponible"),"")</f>
      </c>
      <c r="X501">
        <f>IF(W501&lt;&gt;"",D501&amp;"|"&amp;W501,"")</f>
      </c>
      <c r="Y501">
        <f>IF(X501&lt;&gt;"",IF(K501&lt;&gt;"",K501&amp;" ("&amp;M501&amp;")",M501),"")</f>
      </c>
      <c r="Z501">
        <f>IF(O501="Sí",COUNTIFS($D$2:D501,D501,$O$2:O501,"Sí"),"")</f>
      </c>
      <c r="AA501">
        <f>IF(Z501&lt;&gt;"",D501&amp;"|"&amp;Z501,"")</f>
      </c>
      <c r="AB501">
        <f>IF(AA501&lt;&gt;"",IF(K501&lt;&gt;"",K501&amp;" ("&amp;M501&amp;")",M501),"")</f>
      </c>
      <c r="AC501">
        <f>IF($B501="","fecha, ","")&amp;IF($C501="","quién lo introduce, ","")&amp;IF($I501="","motivo, ","")&amp;IF($K501="","docente, ","")&amp;IF($L501="","horario, ","")&amp;IF($N501="","duración, ","")&amp;IF($Q501="","estado, ","")&amp;IF(AND($I501="Otros",$J501=""),"detalle del motivo, ","")&amp;IF(AND($O501="Sí",$P501=""),"detalle del refuerzo, ","")&amp;IF(AND(OR($I501="Renuncia (hasta 30 nov)",$I501="Baja (desde 1 dic)",$I501="Renuncia excepcional (art. 25.3)",$I501="Traslado de expediente"),OR($E501="",$F501="",$G501="")),"quién deja la plaza, ","")&amp;IF(AND($Q501="No disponible",$R501=""),"vía de cobertura, ","")&amp;IF(AND(OR($R501="Lista de espera · propio centro",$R501="Traslado de expediente",$R501="Lista de espera · otro centro"),OR($S501="",$T501="",$U501="")),"quién ocupa la plaza, ","")</f>
      </c>
      <c r="AD501" s="24">
        <f>IF($D501="","",IF(AND(LEN($AC501)=0,LEN($AK501)=0),"Completa",IF(LEN($AC501)=0,"Revisar: "&amp;LEFT($AK501,LEN($AK501)-2),"Falta: "&amp;LEFT($AC501,LEN($AC501)-2)&amp;IF(LEN($AK501)&gt;0,"  ·  Revisar: "&amp;LEFT($AK501,LEN($AK501)-2),""))))</f>
      </c>
      <c r="AE501">
        <f>IF(AND($D501&lt;&gt;"",OR($I501="Renuncia (hasta 30 nov)",$I501="Baja (desde 1 dic)",$I501="Renuncia excepcional (art. 25.3)",$I501="Traslado de expediente")),COUNTIF($AE$1:AE500,"&gt;0")+1,"")</f>
      </c>
      <c r="AF501">
        <f>IF($Q501="Disponible",COUNTIF($AF$1:AF500,"&gt;0")+1,"")</f>
      </c>
      <c r="AG501">
        <f>IF($O501="Sí",COUNTIF($AG$1:AG500,"&gt;0")+1,"")</f>
      </c>
      <c r="AH501">
        <f>IF(AND($Q501="Disponible",$O501&lt;&gt;"Sí"),COUNTIF($AH$1:AH500,"&gt;0")+1,"")</f>
      </c>
      <c r="AI501">
        <f>IF(AND($Q501="Disponible",$K501&lt;&gt;""),COUNTIFS($K$2:K501,K501,$Q$2:Q501,"Disponible"),"")</f>
      </c>
      <c r="AJ501">
        <f>IF(AI501&lt;&gt;"",K501&amp;"|"&amp;AI501,"")</f>
      </c>
      <c r="AK501">
        <f>IF(AND($Q501="No disponible",OR($R501="Lista de espera · propio centro",$R501="Traslado de expediente",$R501="Lista de espera · otro centro"),$O501="Sí"),"la plaza ya tiene alumno y sigue marcada como refuerzo, ","")&amp;IF(AND($R501="Reconvertida en refuerzo",$O501&lt;&gt;"Sí"),"reconvertida en refuerzo pero sin marcar «En uso como refuerzo», ","")</f>
      </c>
    </row>
  </sheetData>
  <sheetProtection sheet="1" objects="1" scenarios="1" formatCells="1" formatColumns="1" formatRows="1" insertColumns="1" insertRows="1" insertHyperlinks="1" deleteColumns="1" deleteRows="1" sort="1" autoFilter="0" pivotTables="1" selectLockedCells="0" selectUnlockedCells="0"/>
  <autoFilter ref="A1:AK501"/>
  <conditionalFormatting sqref="AD2:AD501">
    <cfRule type="expression" dxfId="3" priority="1">
      <formula>LEFT($AD2,5)="Falta"</formula>
    </cfRule>
    <cfRule type="expression" dxfId="2" priority="2">
      <formula>LEFT($AD2,7)="Revisar"</formula>
    </cfRule>
    <cfRule type="expression" dxfId="11" priority="3">
      <formula>$AD2="Completa"</formula>
    </cfRule>
  </conditionalFormatting>
  <conditionalFormatting sqref="B2:B501">
    <cfRule type="expression" dxfId="3" priority="4">
      <formula>AND($D2&lt;&gt;"",$B2="")</formula>
    </cfRule>
  </conditionalFormatting>
  <conditionalFormatting sqref="C2:C501">
    <cfRule type="expression" dxfId="3" priority="5">
      <formula>AND($D2&lt;&gt;"",$C2="")</formula>
    </cfRule>
  </conditionalFormatting>
  <conditionalFormatting sqref="I2:I501">
    <cfRule type="expression" dxfId="3" priority="6">
      <formula>AND($D2&lt;&gt;"",$I2="")</formula>
    </cfRule>
  </conditionalFormatting>
  <conditionalFormatting sqref="K2:K501">
    <cfRule type="expression" dxfId="3" priority="7">
      <formula>AND($D2&lt;&gt;"",$K2="")</formula>
    </cfRule>
  </conditionalFormatting>
  <conditionalFormatting sqref="L2:L501">
    <cfRule type="expression" dxfId="3" priority="8">
      <formula>AND($D2&lt;&gt;"",$L2="")</formula>
    </cfRule>
  </conditionalFormatting>
  <conditionalFormatting sqref="N2:N501">
    <cfRule type="expression" dxfId="3" priority="9">
      <formula>AND($D2&lt;&gt;"",$N2="")</formula>
    </cfRule>
  </conditionalFormatting>
  <conditionalFormatting sqref="Q2:Q501">
    <cfRule type="expression" dxfId="3" priority="10">
      <formula>AND($D2&lt;&gt;"",$Q2="")</formula>
    </cfRule>
  </conditionalFormatting>
  <conditionalFormatting sqref="J2:J501">
    <cfRule type="expression" dxfId="3" priority="11">
      <formula>AND($D2&lt;&gt;"",AND($I2="Otros",$J2=""))</formula>
    </cfRule>
  </conditionalFormatting>
  <conditionalFormatting sqref="P2:P501">
    <cfRule type="expression" dxfId="3" priority="12">
      <formula>AND($D2&lt;&gt;"",AND($O2="Sí",$P2=""))</formula>
    </cfRule>
  </conditionalFormatting>
  <conditionalFormatting sqref="E2:G501">
    <cfRule type="expression" dxfId="3" priority="13">
      <formula>AND($D2&lt;&gt;"",AND(OR($I2="Renuncia (hasta 30 nov)",$I2="Baja (desde 1 dic)",$I2="Renuncia excepcional (art. 25.3)",$I2="Traslado de expediente"),OR($E2="",$F2="",$G2="")))</formula>
    </cfRule>
  </conditionalFormatting>
  <conditionalFormatting sqref="R2:R501">
    <cfRule type="expression" dxfId="3" priority="14">
      <formula>AND($D2&lt;&gt;"",AND($Q2="No disponible",$R2=""))</formula>
    </cfRule>
  </conditionalFormatting>
  <conditionalFormatting sqref="S2:U501">
    <cfRule type="expression" dxfId="3" priority="15">
      <formula>AND($D2&lt;&gt;"",AND(OR($R2="Lista de espera · propio centro",$R2="Traslado de expediente",$R2="Lista de espera · otro centro"),OR($S2="",$T2="",$U2="")))</formula>
    </cfRule>
  </conditionalFormatting>
  <conditionalFormatting sqref="A2:V501">
    <cfRule type="expression" dxfId="6" priority="16">
      <formula>AND($D2&lt;&gt;"",$AD2&lt;&gt;"Completa")</formula>
    </cfRule>
    <cfRule type="expression" dxfId="10" priority="17">
      <formula>$Q2="Disponible"</formula>
    </cfRule>
    <cfRule type="expression" dxfId="9" priority="18">
      <formula>$Q2="En trámite"</formula>
    </cfRule>
    <cfRule type="expression" dxfId="13" priority="19">
      <formula>$Q2="No disponible"</formula>
    </cfRule>
  </conditionalFormatting>
  <dataValidations count="3">
    <dataValidation type="date" operator="greaterThanOrEqual" allowBlank="1" showInputMessage="1" showErrorMessage="1" errorTitle="Fecha no válida" error="Introduce una fecha válida en formato DD/MM/AAAA." promptTitle="Fecha de introducción" prompt="Escribe la fecha en formato DD/MM/AAAA._x000a_Ejemplo: 25/02/2026" sqref="B2:B501" xr:uid="{00000000-0002-0000-0200-000000000000}">
      <formula1>DATE(2000,1,1)</formula1>
      <formula2>0</formula2>
    </dataValidation>
    <dataValidation type="custom" allowBlank="1" showInputMessage="1" promptTitle="Si el motivo es 'Otros'" prompt="Cuando el motivo es 'Otros', describe aquí el motivo concreto de la vacante." sqref="J2:J501" xr:uid="{00000000-0002-0000-0200-000001000000}">
      <formula1>1</formula1>
      <formula2>0</formula2>
    </dataValidation>
    <dataValidation type="custom" allowBlank="1" showInputMessage="1" promptTitle="Detalle del Refuerzo" prompt="Describe en qué se usa esta vacante como refuerzo (asignatura, grupo, docente, etc.)." sqref="P2:P501" xr:uid="{00000000-0002-0000-0200-000002000000}">
      <formula1>1</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errorStyle="stop" errorTitle="Especialidad no válida" error="Elige una especialidad de la lista desplegable. Si la escribes a mano, la vacante no aparecerá en el Dashboard." xr:uid="{00000000-0002-0000-0200-000003000000}">
          <x14:formula1>
            <xm:f>Validaciones!$A$2:$A$30</xm:f>
          </x14:formula1>
          <xm:sqref>D2:D501</xm:sqref>
        </x14:dataValidation>
        <x14:dataValidation type="list" allowBlank="1" showInputMessage="1" showErrorMessage="1" errorStyle="stop" errorTitle="Curso no válido" error="Elige un curso de la lista: EEM 1º a 4º, o EPM 1º a 6º." xr:uid="{00000000-0002-0000-0200-000004000000}">
          <x14:formula1>
            <xm:f>Validaciones!$B$2:$B$11</xm:f>
          </x14:formula1>
          <xm:sqref>H2:H501</xm:sqref>
        </x14:dataValidation>
        <x14:dataValidation type="list" allowBlank="1" showInputMessage="1" showErrorMessage="1" errorStyle="stop" errorTitle="Motivo no válido" error="Elige un motivo de la lista desplegable." xr:uid="{00000000-0002-0000-0200-000005000000}">
          <x14:formula1>
            <xm:f>Validaciones!$C$2:$C$9</xm:f>
          </x14:formula1>
          <xm:sqref>I2:I501</xm:sqref>
        </x14:dataValidation>
        <x14:dataValidation type="list" allowBlank="1" showInputMessage="1" showErrorMessage="1" errorStyle="stop" errorTitle="Duración no válida" error="Elige 30 minutos o 1 hora. Si se queda en blanco, la vacante no cuenta en el resumen de refuerzos." xr:uid="{00000000-0002-0000-0200-000006000000}">
          <x14:formula1>
            <xm:f>Validaciones!$F$2:$F$3</xm:f>
          </x14:formula1>
          <xm:sqref>N2:N501</xm:sqref>
        </x14:dataValidation>
        <x14:dataValidation type="list" allowBlank="1" showInputMessage="1" showErrorMessage="1" errorStyle="stop" errorTitle="Valor no válido" error="Elige Sí o No en la lista desplegable." xr:uid="{00000000-0002-0000-0200-000007000000}">
          <x14:formula1>
            <xm:f>Validaciones!$E$2:$E$3</xm:f>
          </x14:formula1>
          <xm:sqref>O2:O501</xm:sqref>
        </x14:dataValidation>
        <x14:dataValidation type="list" allowBlank="1" showInputMessage="1" showErrorMessage="1" errorStyle="stop" errorTitle="Estado no válido" error="Elige Disponible, En trámite o No disponible." xr:uid="{00000000-0002-0000-0200-000008000000}">
          <x14:formula1>
            <xm:f>Validaciones!$D$2:$D$4</xm:f>
          </x14:formula1>
          <xm:sqref>Q2:Q501</xm:sqref>
        </x14:dataValidation>
        <x14:dataValidation type="list" allowBlank="1" showInputMessage="1" showErrorMessage="1" errorStyle="stop" errorTitle="Vía de cobertura no válida" error="Elige una vía de la lista desplegable." xr:uid="{00000000-0002-0000-0200-000009000000}">
          <x14:formula1>
            <xm:f>Validaciones!$I$2:$I$6</xm:f>
          </x14:formula1>
          <xm:sqref>R2:R501</xm:sqref>
        </x14:dataValidation>
        <x14:dataValidation type="list" allowBlank="1" showInputMessage="1" showErrorMessage="1" errorStyle="stop" errorTitle="Persona no válida" error="Elige de la lista. Si falta alguien, añádelo en el Dashboard, bajo QUIÉN PUEDE ESCRIBIR EN EL LIBRO." xr:uid="{00000000-0002-0000-0200-00000A000000}">
          <x14:formula1>
            <xm:f>Dashboard!$A$46:$A$50</xm:f>
          </x14:formula1>
          <xm:sqref>C2:C501</xm:sqref>
        </x14:dataValidation>
        <x14:dataValidation type="list" allowBlank="1" showInputMessage="1" showErrorMessage="1" errorStyle="warning" errorTitle="Docente no listado" error="Ese docente no está en la hoja Docentes. Puedes continuar, pero conviene añadirlo allí para que el nombre se escriba siempre igual." promptTitle="Nombre del docente" prompt="Elígelo de la lista. Se rellena en la hoja Docentes." xr:uid="{00000000-0002-0000-0200-00000B000000}">
          <x14:formula1>
            <xm:f>ListaDocentes</xm:f>
          </x14:formula1>
          <xm:sqref>K2:K501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
  <sheetViews>
    <sheetView zoomScaleNormal="100" workbookViewId="0"/>
  </sheetViews>
  <sheetFormatPr baseColWidth="10" defaultColWidth="8.6640625" defaultRowHeight="15" customHeight="1" x14ac:dyDescent="0.2"/>
  <sheetData>
    <row r="1" spans="1:13" ht="23.25" customHeight="1" x14ac:dyDescent="0.2">
      <c r="A1" s="1" t="s">
        <v>65</v>
      </c>
      <c r="B1" s="1" t="s">
        <v>92</v>
      </c>
      <c r="C1" s="1" t="s">
        <v>93</v>
      </c>
      <c r="D1" s="1" t="s">
        <v>94</v>
      </c>
      <c r="E1" s="1" t="s">
        <v>95</v>
      </c>
      <c r="F1" s="1" t="s">
        <v>96</v>
      </c>
      <c r="G1" s="1" t="inlineStr">
        <is>
          <t>Slot 6</t>
        </is>
      </c>
      <c r="H1" s="1" t="inlineStr">
        <is>
          <t>Slot 7</t>
        </is>
      </c>
      <c r="I1" s="1" t="inlineStr">
        <is>
          <t>Slot 8</t>
        </is>
      </c>
      <c r="J1" s="1" t="inlineStr">
        <is>
          <t>Slot 9</t>
        </is>
      </c>
      <c r="K1" s="1" t="inlineStr">
        <is>
          <t>Slot 10</t>
        </is>
      </c>
      <c r="L1" s="1" t="inlineStr">
        <is>
          <t>Slot 11</t>
        </is>
      </c>
      <c r="M1" s="1" t="inlineStr">
        <is>
          <t>Slot 12</t>
        </is>
      </c>
    </row>
    <row r="2" spans="1:13" ht="15" customHeight="1" x14ac:dyDescent="0.2">
      <c r="A2" t="s">
        <v>8</v>
      </c>
      <c r="B2" t="str">
        <f>IFERROR(INDEX(Registro!$Y$2:$Y$501,MATCH($A2&amp;"|"&amp;1,Registro!$X$2:$X$501,0)),"")</f>
        <v/>
      </c>
      <c r="C2" t="str">
        <f>IFERROR(INDEX(Registro!$Y$2:$Y$501,MATCH($A2&amp;"|"&amp;2,Registro!$X$2:$X$501,0)),"")</f>
        <v/>
      </c>
      <c r="D2" t="str">
        <f>IFERROR(INDEX(Registro!$Y$2:$Y$501,MATCH($A2&amp;"|"&amp;3,Registro!$X$2:$X$501,0)),"")</f>
        <v/>
      </c>
      <c r="E2" t="str">
        <f>IFERROR(INDEX(Registro!$Y$2:$Y$501,MATCH($A2&amp;"|"&amp;4,Registro!$X$2:$X$501,0)),"")</f>
        <v/>
      </c>
      <c r="F2" t="str">
        <f>IFERROR(INDEX(Registro!$Y$2:$Y$501,MATCH($A2&amp;"|"&amp;5,Registro!$X$2:$X$501,0)),"")</f>
        <v/>
      </c>
      <c r="G2">
        <f>IFERROR(INDEX(Registro!$Y$2:$Y$501,MATCH($A2&amp;"|"&amp;6,Registro!$X$2:$X$501,0)),"")</f>
      </c>
      <c r="H2">
        <f>IFERROR(INDEX(Registro!$Y$2:$Y$501,MATCH($A2&amp;"|"&amp;7,Registro!$X$2:$X$501,0)),"")</f>
      </c>
      <c r="I2">
        <f>IFERROR(INDEX(Registro!$Y$2:$Y$501,MATCH($A2&amp;"|"&amp;8,Registro!$X$2:$X$501,0)),"")</f>
      </c>
      <c r="J2">
        <f>IFERROR(INDEX(Registro!$Y$2:$Y$501,MATCH($A2&amp;"|"&amp;9,Registro!$X$2:$X$501,0)),"")</f>
      </c>
      <c r="K2">
        <f>IFERROR(INDEX(Registro!$Y$2:$Y$501,MATCH($A2&amp;"|"&amp;10,Registro!$X$2:$X$501,0)),"")</f>
      </c>
      <c r="L2">
        <f>IFERROR(INDEX(Registro!$Y$2:$Y$501,MATCH($A2&amp;"|"&amp;11,Registro!$X$2:$X$501,0)),"")</f>
      </c>
      <c r="M2">
        <f>IFERROR(INDEX(Registro!$Y$2:$Y$501,MATCH($A2&amp;"|"&amp;12,Registro!$X$2:$X$501,0)),"")</f>
      </c>
    </row>
    <row r="3" spans="1:13" ht="15" customHeight="1" x14ac:dyDescent="0.2">
      <c r="A3" t="s">
        <v>16</v>
      </c>
      <c r="B3" t="str">
        <f>IFERROR(INDEX(Registro!$Y$2:$Y$501,MATCH($A3&amp;"|"&amp;1,Registro!$X$2:$X$501,0)),"")</f>
        <v/>
      </c>
      <c r="C3" t="str">
        <f>IFERROR(INDEX(Registro!$Y$2:$Y$501,MATCH($A3&amp;"|"&amp;2,Registro!$X$2:$X$501,0)),"")</f>
        <v/>
      </c>
      <c r="D3" t="str">
        <f>IFERROR(INDEX(Registro!$Y$2:$Y$501,MATCH($A3&amp;"|"&amp;3,Registro!$X$2:$X$501,0)),"")</f>
        <v/>
      </c>
      <c r="E3" t="str">
        <f>IFERROR(INDEX(Registro!$Y$2:$Y$501,MATCH($A3&amp;"|"&amp;4,Registro!$X$2:$X$501,0)),"")</f>
        <v/>
      </c>
      <c r="F3" t="str">
        <f>IFERROR(INDEX(Registro!$Y$2:$Y$501,MATCH($A3&amp;"|"&amp;5,Registro!$X$2:$X$501,0)),"")</f>
        <v/>
      </c>
      <c r="G3">
        <f>IFERROR(INDEX(Registro!$Y$2:$Y$501,MATCH($A3&amp;"|"&amp;6,Registro!$X$2:$X$501,0)),"")</f>
      </c>
      <c r="H3">
        <f>IFERROR(INDEX(Registro!$Y$2:$Y$501,MATCH($A3&amp;"|"&amp;7,Registro!$X$2:$X$501,0)),"")</f>
      </c>
      <c r="I3">
        <f>IFERROR(INDEX(Registro!$Y$2:$Y$501,MATCH($A3&amp;"|"&amp;8,Registro!$X$2:$X$501,0)),"")</f>
      </c>
      <c r="J3">
        <f>IFERROR(INDEX(Registro!$Y$2:$Y$501,MATCH($A3&amp;"|"&amp;9,Registro!$X$2:$X$501,0)),"")</f>
      </c>
      <c r="K3">
        <f>IFERROR(INDEX(Registro!$Y$2:$Y$501,MATCH($A3&amp;"|"&amp;10,Registro!$X$2:$X$501,0)),"")</f>
      </c>
      <c r="L3">
        <f>IFERROR(INDEX(Registro!$Y$2:$Y$501,MATCH($A3&amp;"|"&amp;11,Registro!$X$2:$X$501,0)),"")</f>
      </c>
      <c r="M3">
        <f>IFERROR(INDEX(Registro!$Y$2:$Y$501,MATCH($A3&amp;"|"&amp;12,Registro!$X$2:$X$501,0)),"")</f>
      </c>
    </row>
    <row r="4" spans="1:13" ht="15" customHeight="1" x14ac:dyDescent="0.2">
      <c r="A4" t="s">
        <v>24</v>
      </c>
      <c r="B4" t="str">
        <f>IFERROR(INDEX(Registro!$Y$2:$Y$501,MATCH($A4&amp;"|"&amp;1,Registro!$X$2:$X$501,0)),"")</f>
        <v/>
      </c>
      <c r="C4" t="str">
        <f>IFERROR(INDEX(Registro!$Y$2:$Y$501,MATCH($A4&amp;"|"&amp;2,Registro!$X$2:$X$501,0)),"")</f>
        <v/>
      </c>
      <c r="D4" t="str">
        <f>IFERROR(INDEX(Registro!$Y$2:$Y$501,MATCH($A4&amp;"|"&amp;3,Registro!$X$2:$X$501,0)),"")</f>
        <v/>
      </c>
      <c r="E4" t="str">
        <f>IFERROR(INDEX(Registro!$Y$2:$Y$501,MATCH($A4&amp;"|"&amp;4,Registro!$X$2:$X$501,0)),"")</f>
        <v/>
      </c>
      <c r="F4" t="str">
        <f>IFERROR(INDEX(Registro!$Y$2:$Y$501,MATCH($A4&amp;"|"&amp;5,Registro!$X$2:$X$501,0)),"")</f>
        <v/>
      </c>
      <c r="G4">
        <f>IFERROR(INDEX(Registro!$Y$2:$Y$501,MATCH($A4&amp;"|"&amp;6,Registro!$X$2:$X$501,0)),"")</f>
      </c>
      <c r="H4">
        <f>IFERROR(INDEX(Registro!$Y$2:$Y$501,MATCH($A4&amp;"|"&amp;7,Registro!$X$2:$X$501,0)),"")</f>
      </c>
      <c r="I4">
        <f>IFERROR(INDEX(Registro!$Y$2:$Y$501,MATCH($A4&amp;"|"&amp;8,Registro!$X$2:$X$501,0)),"")</f>
      </c>
      <c r="J4">
        <f>IFERROR(INDEX(Registro!$Y$2:$Y$501,MATCH($A4&amp;"|"&amp;9,Registro!$X$2:$X$501,0)),"")</f>
      </c>
      <c r="K4">
        <f>IFERROR(INDEX(Registro!$Y$2:$Y$501,MATCH($A4&amp;"|"&amp;10,Registro!$X$2:$X$501,0)),"")</f>
      </c>
      <c r="L4">
        <f>IFERROR(INDEX(Registro!$Y$2:$Y$501,MATCH($A4&amp;"|"&amp;11,Registro!$X$2:$X$501,0)),"")</f>
      </c>
      <c r="M4">
        <f>IFERROR(INDEX(Registro!$Y$2:$Y$501,MATCH($A4&amp;"|"&amp;12,Registro!$X$2:$X$501,0)),"")</f>
      </c>
    </row>
    <row r="5" spans="1:13" ht="15" customHeight="1" x14ac:dyDescent="0.2">
      <c r="A5" t="s">
        <v>29</v>
      </c>
      <c r="B5" t="str">
        <f>IFERROR(INDEX(Registro!$Y$2:$Y$501,MATCH($A5&amp;"|"&amp;1,Registro!$X$2:$X$501,0)),"")</f>
        <v/>
      </c>
      <c r="C5" t="str">
        <f>IFERROR(INDEX(Registro!$Y$2:$Y$501,MATCH($A5&amp;"|"&amp;2,Registro!$X$2:$X$501,0)),"")</f>
        <v/>
      </c>
      <c r="D5" t="str">
        <f>IFERROR(INDEX(Registro!$Y$2:$Y$501,MATCH($A5&amp;"|"&amp;3,Registro!$X$2:$X$501,0)),"")</f>
        <v/>
      </c>
      <c r="E5" t="str">
        <f>IFERROR(INDEX(Registro!$Y$2:$Y$501,MATCH($A5&amp;"|"&amp;4,Registro!$X$2:$X$501,0)),"")</f>
        <v/>
      </c>
      <c r="F5" t="str">
        <f>IFERROR(INDEX(Registro!$Y$2:$Y$501,MATCH($A5&amp;"|"&amp;5,Registro!$X$2:$X$501,0)),"")</f>
        <v/>
      </c>
      <c r="G5">
        <f>IFERROR(INDEX(Registro!$Y$2:$Y$501,MATCH($A5&amp;"|"&amp;6,Registro!$X$2:$X$501,0)),"")</f>
      </c>
      <c r="H5">
        <f>IFERROR(INDEX(Registro!$Y$2:$Y$501,MATCH($A5&amp;"|"&amp;7,Registro!$X$2:$X$501,0)),"")</f>
      </c>
      <c r="I5">
        <f>IFERROR(INDEX(Registro!$Y$2:$Y$501,MATCH($A5&amp;"|"&amp;8,Registro!$X$2:$X$501,0)),"")</f>
      </c>
      <c r="J5">
        <f>IFERROR(INDEX(Registro!$Y$2:$Y$501,MATCH($A5&amp;"|"&amp;9,Registro!$X$2:$X$501,0)),"")</f>
      </c>
      <c r="K5">
        <f>IFERROR(INDEX(Registro!$Y$2:$Y$501,MATCH($A5&amp;"|"&amp;10,Registro!$X$2:$X$501,0)),"")</f>
      </c>
      <c r="L5">
        <f>IFERROR(INDEX(Registro!$Y$2:$Y$501,MATCH($A5&amp;"|"&amp;11,Registro!$X$2:$X$501,0)),"")</f>
      </c>
      <c r="M5">
        <f>IFERROR(INDEX(Registro!$Y$2:$Y$501,MATCH($A5&amp;"|"&amp;12,Registro!$X$2:$X$501,0)),"")</f>
      </c>
    </row>
    <row r="6" spans="1:13" ht="15" customHeight="1" x14ac:dyDescent="0.2">
      <c r="A6" t="s">
        <v>32</v>
      </c>
      <c r="B6" t="str">
        <f>IFERROR(INDEX(Registro!$Y$2:$Y$501,MATCH($A6&amp;"|"&amp;1,Registro!$X$2:$X$501,0)),"")</f>
        <v/>
      </c>
      <c r="C6" t="str">
        <f>IFERROR(INDEX(Registro!$Y$2:$Y$501,MATCH($A6&amp;"|"&amp;2,Registro!$X$2:$X$501,0)),"")</f>
        <v/>
      </c>
      <c r="D6" t="str">
        <f>IFERROR(INDEX(Registro!$Y$2:$Y$501,MATCH($A6&amp;"|"&amp;3,Registro!$X$2:$X$501,0)),"")</f>
        <v/>
      </c>
      <c r="E6" t="str">
        <f>IFERROR(INDEX(Registro!$Y$2:$Y$501,MATCH($A6&amp;"|"&amp;4,Registro!$X$2:$X$501,0)),"")</f>
        <v/>
      </c>
      <c r="F6" t="str">
        <f>IFERROR(INDEX(Registro!$Y$2:$Y$501,MATCH($A6&amp;"|"&amp;5,Registro!$X$2:$X$501,0)),"")</f>
        <v/>
      </c>
      <c r="G6">
        <f>IFERROR(INDEX(Registro!$Y$2:$Y$501,MATCH($A6&amp;"|"&amp;6,Registro!$X$2:$X$501,0)),"")</f>
      </c>
      <c r="H6">
        <f>IFERROR(INDEX(Registro!$Y$2:$Y$501,MATCH($A6&amp;"|"&amp;7,Registro!$X$2:$X$501,0)),"")</f>
      </c>
      <c r="I6">
        <f>IFERROR(INDEX(Registro!$Y$2:$Y$501,MATCH($A6&amp;"|"&amp;8,Registro!$X$2:$X$501,0)),"")</f>
      </c>
      <c r="J6">
        <f>IFERROR(INDEX(Registro!$Y$2:$Y$501,MATCH($A6&amp;"|"&amp;9,Registro!$X$2:$X$501,0)),"")</f>
      </c>
      <c r="K6">
        <f>IFERROR(INDEX(Registro!$Y$2:$Y$501,MATCH($A6&amp;"|"&amp;10,Registro!$X$2:$X$501,0)),"")</f>
      </c>
      <c r="L6">
        <f>IFERROR(INDEX(Registro!$Y$2:$Y$501,MATCH($A6&amp;"|"&amp;11,Registro!$X$2:$X$501,0)),"")</f>
      </c>
      <c r="M6">
        <f>IFERROR(INDEX(Registro!$Y$2:$Y$501,MATCH($A6&amp;"|"&amp;12,Registro!$X$2:$X$501,0)),"")</f>
      </c>
    </row>
    <row r="7" spans="1:13" ht="15" customHeight="1" x14ac:dyDescent="0.2">
      <c r="A7" t="s">
        <v>34</v>
      </c>
      <c r="B7" t="str">
        <f>IFERROR(INDEX(Registro!$Y$2:$Y$501,MATCH($A7&amp;"|"&amp;1,Registro!$X$2:$X$501,0)),"")</f>
        <v/>
      </c>
      <c r="C7" t="str">
        <f>IFERROR(INDEX(Registro!$Y$2:$Y$501,MATCH($A7&amp;"|"&amp;2,Registro!$X$2:$X$501,0)),"")</f>
        <v/>
      </c>
      <c r="D7" t="str">
        <f>IFERROR(INDEX(Registro!$Y$2:$Y$501,MATCH($A7&amp;"|"&amp;3,Registro!$X$2:$X$501,0)),"")</f>
        <v/>
      </c>
      <c r="E7" t="str">
        <f>IFERROR(INDEX(Registro!$Y$2:$Y$501,MATCH($A7&amp;"|"&amp;4,Registro!$X$2:$X$501,0)),"")</f>
        <v/>
      </c>
      <c r="F7" t="str">
        <f>IFERROR(INDEX(Registro!$Y$2:$Y$501,MATCH($A7&amp;"|"&amp;5,Registro!$X$2:$X$501,0)),"")</f>
        <v/>
      </c>
      <c r="G7">
        <f>IFERROR(INDEX(Registro!$Y$2:$Y$501,MATCH($A7&amp;"|"&amp;6,Registro!$X$2:$X$501,0)),"")</f>
      </c>
      <c r="H7">
        <f>IFERROR(INDEX(Registro!$Y$2:$Y$501,MATCH($A7&amp;"|"&amp;7,Registro!$X$2:$X$501,0)),"")</f>
      </c>
      <c r="I7">
        <f>IFERROR(INDEX(Registro!$Y$2:$Y$501,MATCH($A7&amp;"|"&amp;8,Registro!$X$2:$X$501,0)),"")</f>
      </c>
      <c r="J7">
        <f>IFERROR(INDEX(Registro!$Y$2:$Y$501,MATCH($A7&amp;"|"&amp;9,Registro!$X$2:$X$501,0)),"")</f>
      </c>
      <c r="K7">
        <f>IFERROR(INDEX(Registro!$Y$2:$Y$501,MATCH($A7&amp;"|"&amp;10,Registro!$X$2:$X$501,0)),"")</f>
      </c>
      <c r="L7">
        <f>IFERROR(INDEX(Registro!$Y$2:$Y$501,MATCH($A7&amp;"|"&amp;11,Registro!$X$2:$X$501,0)),"")</f>
      </c>
      <c r="M7">
        <f>IFERROR(INDEX(Registro!$Y$2:$Y$501,MATCH($A7&amp;"|"&amp;12,Registro!$X$2:$X$501,0)),"")</f>
      </c>
    </row>
    <row r="8" spans="1:13" ht="15" customHeight="1" x14ac:dyDescent="0.2">
      <c r="A8" t="s">
        <v>36</v>
      </c>
      <c r="B8" t="str">
        <f>IFERROR(INDEX(Registro!$Y$2:$Y$501,MATCH($A8&amp;"|"&amp;1,Registro!$X$2:$X$501,0)),"")</f>
        <v/>
      </c>
      <c r="C8" t="str">
        <f>IFERROR(INDEX(Registro!$Y$2:$Y$501,MATCH($A8&amp;"|"&amp;2,Registro!$X$2:$X$501,0)),"")</f>
        <v/>
      </c>
      <c r="D8" t="str">
        <f>IFERROR(INDEX(Registro!$Y$2:$Y$501,MATCH($A8&amp;"|"&amp;3,Registro!$X$2:$X$501,0)),"")</f>
        <v/>
      </c>
      <c r="E8" t="str">
        <f>IFERROR(INDEX(Registro!$Y$2:$Y$501,MATCH($A8&amp;"|"&amp;4,Registro!$X$2:$X$501,0)),"")</f>
        <v/>
      </c>
      <c r="F8" t="str">
        <f>IFERROR(INDEX(Registro!$Y$2:$Y$501,MATCH($A8&amp;"|"&amp;5,Registro!$X$2:$X$501,0)),"")</f>
        <v/>
      </c>
      <c r="G8">
        <f>IFERROR(INDEX(Registro!$Y$2:$Y$501,MATCH($A8&amp;"|"&amp;6,Registro!$X$2:$X$501,0)),"")</f>
      </c>
      <c r="H8">
        <f>IFERROR(INDEX(Registro!$Y$2:$Y$501,MATCH($A8&amp;"|"&amp;7,Registro!$X$2:$X$501,0)),"")</f>
      </c>
      <c r="I8">
        <f>IFERROR(INDEX(Registro!$Y$2:$Y$501,MATCH($A8&amp;"|"&amp;8,Registro!$X$2:$X$501,0)),"")</f>
      </c>
      <c r="J8">
        <f>IFERROR(INDEX(Registro!$Y$2:$Y$501,MATCH($A8&amp;"|"&amp;9,Registro!$X$2:$X$501,0)),"")</f>
      </c>
      <c r="K8">
        <f>IFERROR(INDEX(Registro!$Y$2:$Y$501,MATCH($A8&amp;"|"&amp;10,Registro!$X$2:$X$501,0)),"")</f>
      </c>
      <c r="L8">
        <f>IFERROR(INDEX(Registro!$Y$2:$Y$501,MATCH($A8&amp;"|"&amp;11,Registro!$X$2:$X$501,0)),"")</f>
      </c>
      <c r="M8">
        <f>IFERROR(INDEX(Registro!$Y$2:$Y$501,MATCH($A8&amp;"|"&amp;12,Registro!$X$2:$X$501,0)),"")</f>
      </c>
    </row>
    <row r="9" spans="1:13" ht="15" customHeight="1" x14ac:dyDescent="0.2">
      <c r="A9" t="s">
        <v>38</v>
      </c>
      <c r="B9" t="str">
        <f>IFERROR(INDEX(Registro!$Y$2:$Y$501,MATCH($A9&amp;"|"&amp;1,Registro!$X$2:$X$501,0)),"")</f>
        <v/>
      </c>
      <c r="C9" t="str">
        <f>IFERROR(INDEX(Registro!$Y$2:$Y$501,MATCH($A9&amp;"|"&amp;2,Registro!$X$2:$X$501,0)),"")</f>
        <v/>
      </c>
      <c r="D9" t="str">
        <f>IFERROR(INDEX(Registro!$Y$2:$Y$501,MATCH($A9&amp;"|"&amp;3,Registro!$X$2:$X$501,0)),"")</f>
        <v/>
      </c>
      <c r="E9" t="str">
        <f>IFERROR(INDEX(Registro!$Y$2:$Y$501,MATCH($A9&amp;"|"&amp;4,Registro!$X$2:$X$501,0)),"")</f>
        <v/>
      </c>
      <c r="F9" t="str">
        <f>IFERROR(INDEX(Registro!$Y$2:$Y$501,MATCH($A9&amp;"|"&amp;5,Registro!$X$2:$X$501,0)),"")</f>
        <v/>
      </c>
      <c r="G9">
        <f>IFERROR(INDEX(Registro!$Y$2:$Y$501,MATCH($A9&amp;"|"&amp;6,Registro!$X$2:$X$501,0)),"")</f>
      </c>
      <c r="H9">
        <f>IFERROR(INDEX(Registro!$Y$2:$Y$501,MATCH($A9&amp;"|"&amp;7,Registro!$X$2:$X$501,0)),"")</f>
      </c>
      <c r="I9">
        <f>IFERROR(INDEX(Registro!$Y$2:$Y$501,MATCH($A9&amp;"|"&amp;8,Registro!$X$2:$X$501,0)),"")</f>
      </c>
      <c r="J9">
        <f>IFERROR(INDEX(Registro!$Y$2:$Y$501,MATCH($A9&amp;"|"&amp;9,Registro!$X$2:$X$501,0)),"")</f>
      </c>
      <c r="K9">
        <f>IFERROR(INDEX(Registro!$Y$2:$Y$501,MATCH($A9&amp;"|"&amp;10,Registro!$X$2:$X$501,0)),"")</f>
      </c>
      <c r="L9">
        <f>IFERROR(INDEX(Registro!$Y$2:$Y$501,MATCH($A9&amp;"|"&amp;11,Registro!$X$2:$X$501,0)),"")</f>
      </c>
      <c r="M9">
        <f>IFERROR(INDEX(Registro!$Y$2:$Y$501,MATCH($A9&amp;"|"&amp;12,Registro!$X$2:$X$501,0)),"")</f>
      </c>
    </row>
    <row r="10" spans="1:13" ht="15" customHeight="1" x14ac:dyDescent="0.2">
      <c r="A10" t="s">
        <v>40</v>
      </c>
      <c r="B10" t="str">
        <f>IFERROR(INDEX(Registro!$Y$2:$Y$501,MATCH($A10&amp;"|"&amp;1,Registro!$X$2:$X$501,0)),"")</f>
        <v/>
      </c>
      <c r="C10" t="str">
        <f>IFERROR(INDEX(Registro!$Y$2:$Y$501,MATCH($A10&amp;"|"&amp;2,Registro!$X$2:$X$501,0)),"")</f>
        <v/>
      </c>
      <c r="D10" t="str">
        <f>IFERROR(INDEX(Registro!$Y$2:$Y$501,MATCH($A10&amp;"|"&amp;3,Registro!$X$2:$X$501,0)),"")</f>
        <v/>
      </c>
      <c r="E10" t="str">
        <f>IFERROR(INDEX(Registro!$Y$2:$Y$501,MATCH($A10&amp;"|"&amp;4,Registro!$X$2:$X$501,0)),"")</f>
        <v/>
      </c>
      <c r="F10" t="str">
        <f>IFERROR(INDEX(Registro!$Y$2:$Y$501,MATCH($A10&amp;"|"&amp;5,Registro!$X$2:$X$501,0)),"")</f>
        <v/>
      </c>
      <c r="G10">
        <f>IFERROR(INDEX(Registro!$Y$2:$Y$501,MATCH($A10&amp;"|"&amp;6,Registro!$X$2:$X$501,0)),"")</f>
      </c>
      <c r="H10">
        <f>IFERROR(INDEX(Registro!$Y$2:$Y$501,MATCH($A10&amp;"|"&amp;7,Registro!$X$2:$X$501,0)),"")</f>
      </c>
      <c r="I10">
        <f>IFERROR(INDEX(Registro!$Y$2:$Y$501,MATCH($A10&amp;"|"&amp;8,Registro!$X$2:$X$501,0)),"")</f>
      </c>
      <c r="J10">
        <f>IFERROR(INDEX(Registro!$Y$2:$Y$501,MATCH($A10&amp;"|"&amp;9,Registro!$X$2:$X$501,0)),"")</f>
      </c>
      <c r="K10">
        <f>IFERROR(INDEX(Registro!$Y$2:$Y$501,MATCH($A10&amp;"|"&amp;10,Registro!$X$2:$X$501,0)),"")</f>
      </c>
      <c r="L10">
        <f>IFERROR(INDEX(Registro!$Y$2:$Y$501,MATCH($A10&amp;"|"&amp;11,Registro!$X$2:$X$501,0)),"")</f>
      </c>
      <c r="M10">
        <f>IFERROR(INDEX(Registro!$Y$2:$Y$501,MATCH($A10&amp;"|"&amp;12,Registro!$X$2:$X$501,0)),"")</f>
      </c>
    </row>
    <row r="11" spans="1:13" ht="15" customHeight="1" x14ac:dyDescent="0.2">
      <c r="A11" t="s">
        <v>42</v>
      </c>
      <c r="B11" t="str">
        <f>IFERROR(INDEX(Registro!$Y$2:$Y$501,MATCH($A11&amp;"|"&amp;1,Registro!$X$2:$X$501,0)),"")</f>
        <v/>
      </c>
      <c r="C11" t="str">
        <f>IFERROR(INDEX(Registro!$Y$2:$Y$501,MATCH($A11&amp;"|"&amp;2,Registro!$X$2:$X$501,0)),"")</f>
        <v/>
      </c>
      <c r="D11" t="str">
        <f>IFERROR(INDEX(Registro!$Y$2:$Y$501,MATCH($A11&amp;"|"&amp;3,Registro!$X$2:$X$501,0)),"")</f>
        <v/>
      </c>
      <c r="E11" t="str">
        <f>IFERROR(INDEX(Registro!$Y$2:$Y$501,MATCH($A11&amp;"|"&amp;4,Registro!$X$2:$X$501,0)),"")</f>
        <v/>
      </c>
      <c r="F11" t="str">
        <f>IFERROR(INDEX(Registro!$Y$2:$Y$501,MATCH($A11&amp;"|"&amp;5,Registro!$X$2:$X$501,0)),"")</f>
        <v/>
      </c>
      <c r="G11">
        <f>IFERROR(INDEX(Registro!$Y$2:$Y$501,MATCH($A11&amp;"|"&amp;6,Registro!$X$2:$X$501,0)),"")</f>
      </c>
      <c r="H11">
        <f>IFERROR(INDEX(Registro!$Y$2:$Y$501,MATCH($A11&amp;"|"&amp;7,Registro!$X$2:$X$501,0)),"")</f>
      </c>
      <c r="I11">
        <f>IFERROR(INDEX(Registro!$Y$2:$Y$501,MATCH($A11&amp;"|"&amp;8,Registro!$X$2:$X$501,0)),"")</f>
      </c>
      <c r="J11">
        <f>IFERROR(INDEX(Registro!$Y$2:$Y$501,MATCH($A11&amp;"|"&amp;9,Registro!$X$2:$X$501,0)),"")</f>
      </c>
      <c r="K11">
        <f>IFERROR(INDEX(Registro!$Y$2:$Y$501,MATCH($A11&amp;"|"&amp;10,Registro!$X$2:$X$501,0)),"")</f>
      </c>
      <c r="L11">
        <f>IFERROR(INDEX(Registro!$Y$2:$Y$501,MATCH($A11&amp;"|"&amp;11,Registro!$X$2:$X$501,0)),"")</f>
      </c>
      <c r="M11">
        <f>IFERROR(INDEX(Registro!$Y$2:$Y$501,MATCH($A11&amp;"|"&amp;12,Registro!$X$2:$X$501,0)),"")</f>
      </c>
    </row>
    <row r="12" spans="1:13" ht="15" customHeight="1" x14ac:dyDescent="0.2">
      <c r="A12" t="s">
        <v>44</v>
      </c>
      <c r="B12" t="str">
        <f>IFERROR(INDEX(Registro!$Y$2:$Y$501,MATCH($A12&amp;"|"&amp;1,Registro!$X$2:$X$501,0)),"")</f>
        <v/>
      </c>
      <c r="C12" t="str">
        <f>IFERROR(INDEX(Registro!$Y$2:$Y$501,MATCH($A12&amp;"|"&amp;2,Registro!$X$2:$X$501,0)),"")</f>
        <v/>
      </c>
      <c r="D12" t="str">
        <f>IFERROR(INDEX(Registro!$Y$2:$Y$501,MATCH($A12&amp;"|"&amp;3,Registro!$X$2:$X$501,0)),"")</f>
        <v/>
      </c>
      <c r="E12" t="str">
        <f>IFERROR(INDEX(Registro!$Y$2:$Y$501,MATCH($A12&amp;"|"&amp;4,Registro!$X$2:$X$501,0)),"")</f>
        <v/>
      </c>
      <c r="F12" t="str">
        <f>IFERROR(INDEX(Registro!$Y$2:$Y$501,MATCH($A12&amp;"|"&amp;5,Registro!$X$2:$X$501,0)),"")</f>
        <v/>
      </c>
      <c r="G12">
        <f>IFERROR(INDEX(Registro!$Y$2:$Y$501,MATCH($A12&amp;"|"&amp;6,Registro!$X$2:$X$501,0)),"")</f>
      </c>
      <c r="H12">
        <f>IFERROR(INDEX(Registro!$Y$2:$Y$501,MATCH($A12&amp;"|"&amp;7,Registro!$X$2:$X$501,0)),"")</f>
      </c>
      <c r="I12">
        <f>IFERROR(INDEX(Registro!$Y$2:$Y$501,MATCH($A12&amp;"|"&amp;8,Registro!$X$2:$X$501,0)),"")</f>
      </c>
      <c r="J12">
        <f>IFERROR(INDEX(Registro!$Y$2:$Y$501,MATCH($A12&amp;"|"&amp;9,Registro!$X$2:$X$501,0)),"")</f>
      </c>
      <c r="K12">
        <f>IFERROR(INDEX(Registro!$Y$2:$Y$501,MATCH($A12&amp;"|"&amp;10,Registro!$X$2:$X$501,0)),"")</f>
      </c>
      <c r="L12">
        <f>IFERROR(INDEX(Registro!$Y$2:$Y$501,MATCH($A12&amp;"|"&amp;11,Registro!$X$2:$X$501,0)),"")</f>
      </c>
      <c r="M12">
        <f>IFERROR(INDEX(Registro!$Y$2:$Y$501,MATCH($A12&amp;"|"&amp;12,Registro!$X$2:$X$501,0)),"")</f>
      </c>
    </row>
    <row r="13" spans="1:13" ht="15" customHeight="1" x14ac:dyDescent="0.2">
      <c r="A13" t="s">
        <v>45</v>
      </c>
      <c r="B13" t="str">
        <f>IFERROR(INDEX(Registro!$Y$2:$Y$501,MATCH($A13&amp;"|"&amp;1,Registro!$X$2:$X$501,0)),"")</f>
        <v/>
      </c>
      <c r="C13" t="str">
        <f>IFERROR(INDEX(Registro!$Y$2:$Y$501,MATCH($A13&amp;"|"&amp;2,Registro!$X$2:$X$501,0)),"")</f>
        <v/>
      </c>
      <c r="D13" t="str">
        <f>IFERROR(INDEX(Registro!$Y$2:$Y$501,MATCH($A13&amp;"|"&amp;3,Registro!$X$2:$X$501,0)),"")</f>
        <v/>
      </c>
      <c r="E13" t="str">
        <f>IFERROR(INDEX(Registro!$Y$2:$Y$501,MATCH($A13&amp;"|"&amp;4,Registro!$X$2:$X$501,0)),"")</f>
        <v/>
      </c>
      <c r="F13" t="str">
        <f>IFERROR(INDEX(Registro!$Y$2:$Y$501,MATCH($A13&amp;"|"&amp;5,Registro!$X$2:$X$501,0)),"")</f>
        <v/>
      </c>
      <c r="G13">
        <f>IFERROR(INDEX(Registro!$Y$2:$Y$501,MATCH($A13&amp;"|"&amp;6,Registro!$X$2:$X$501,0)),"")</f>
      </c>
      <c r="H13">
        <f>IFERROR(INDEX(Registro!$Y$2:$Y$501,MATCH($A13&amp;"|"&amp;7,Registro!$X$2:$X$501,0)),"")</f>
      </c>
      <c r="I13">
        <f>IFERROR(INDEX(Registro!$Y$2:$Y$501,MATCH($A13&amp;"|"&amp;8,Registro!$X$2:$X$501,0)),"")</f>
      </c>
      <c r="J13">
        <f>IFERROR(INDEX(Registro!$Y$2:$Y$501,MATCH($A13&amp;"|"&amp;9,Registro!$X$2:$X$501,0)),"")</f>
      </c>
      <c r="K13">
        <f>IFERROR(INDEX(Registro!$Y$2:$Y$501,MATCH($A13&amp;"|"&amp;10,Registro!$X$2:$X$501,0)),"")</f>
      </c>
      <c r="L13">
        <f>IFERROR(INDEX(Registro!$Y$2:$Y$501,MATCH($A13&amp;"|"&amp;11,Registro!$X$2:$X$501,0)),"")</f>
      </c>
      <c r="M13">
        <f>IFERROR(INDEX(Registro!$Y$2:$Y$501,MATCH($A13&amp;"|"&amp;12,Registro!$X$2:$X$501,0)),"")</f>
      </c>
    </row>
    <row r="14" spans="1:13" ht="15" customHeight="1" x14ac:dyDescent="0.2">
      <c r="A14" t="s">
        <v>46</v>
      </c>
      <c r="B14" t="str">
        <f>IFERROR(INDEX(Registro!$Y$2:$Y$501,MATCH($A14&amp;"|"&amp;1,Registro!$X$2:$X$501,0)),"")</f>
        <v/>
      </c>
      <c r="C14" t="str">
        <f>IFERROR(INDEX(Registro!$Y$2:$Y$501,MATCH($A14&amp;"|"&amp;2,Registro!$X$2:$X$501,0)),"")</f>
        <v/>
      </c>
      <c r="D14" t="str">
        <f>IFERROR(INDEX(Registro!$Y$2:$Y$501,MATCH($A14&amp;"|"&amp;3,Registro!$X$2:$X$501,0)),"")</f>
        <v/>
      </c>
      <c r="E14" t="str">
        <f>IFERROR(INDEX(Registro!$Y$2:$Y$501,MATCH($A14&amp;"|"&amp;4,Registro!$X$2:$X$501,0)),"")</f>
        <v/>
      </c>
      <c r="F14" t="str">
        <f>IFERROR(INDEX(Registro!$Y$2:$Y$501,MATCH($A14&amp;"|"&amp;5,Registro!$X$2:$X$501,0)),"")</f>
        <v/>
      </c>
      <c r="G14">
        <f>IFERROR(INDEX(Registro!$Y$2:$Y$501,MATCH($A14&amp;"|"&amp;6,Registro!$X$2:$X$501,0)),"")</f>
      </c>
      <c r="H14">
        <f>IFERROR(INDEX(Registro!$Y$2:$Y$501,MATCH($A14&amp;"|"&amp;7,Registro!$X$2:$X$501,0)),"")</f>
      </c>
      <c r="I14">
        <f>IFERROR(INDEX(Registro!$Y$2:$Y$501,MATCH($A14&amp;"|"&amp;8,Registro!$X$2:$X$501,0)),"")</f>
      </c>
      <c r="J14">
        <f>IFERROR(INDEX(Registro!$Y$2:$Y$501,MATCH($A14&amp;"|"&amp;9,Registro!$X$2:$X$501,0)),"")</f>
      </c>
      <c r="K14">
        <f>IFERROR(INDEX(Registro!$Y$2:$Y$501,MATCH($A14&amp;"|"&amp;10,Registro!$X$2:$X$501,0)),"")</f>
      </c>
      <c r="L14">
        <f>IFERROR(INDEX(Registro!$Y$2:$Y$501,MATCH($A14&amp;"|"&amp;11,Registro!$X$2:$X$501,0)),"")</f>
      </c>
      <c r="M14">
        <f>IFERROR(INDEX(Registro!$Y$2:$Y$501,MATCH($A14&amp;"|"&amp;12,Registro!$X$2:$X$501,0)),"")</f>
      </c>
    </row>
    <row r="15" spans="1:13" ht="15" customHeight="1" x14ac:dyDescent="0.2">
      <c r="A15" t="s">
        <v>47</v>
      </c>
      <c r="B15" t="str">
        <f>IFERROR(INDEX(Registro!$Y$2:$Y$501,MATCH($A15&amp;"|"&amp;1,Registro!$X$2:$X$501,0)),"")</f>
        <v/>
      </c>
      <c r="C15" t="str">
        <f>IFERROR(INDEX(Registro!$Y$2:$Y$501,MATCH($A15&amp;"|"&amp;2,Registro!$X$2:$X$501,0)),"")</f>
        <v/>
      </c>
      <c r="D15" t="str">
        <f>IFERROR(INDEX(Registro!$Y$2:$Y$501,MATCH($A15&amp;"|"&amp;3,Registro!$X$2:$X$501,0)),"")</f>
        <v/>
      </c>
      <c r="E15" t="str">
        <f>IFERROR(INDEX(Registro!$Y$2:$Y$501,MATCH($A15&amp;"|"&amp;4,Registro!$X$2:$X$501,0)),"")</f>
        <v/>
      </c>
      <c r="F15" t="str">
        <f>IFERROR(INDEX(Registro!$Y$2:$Y$501,MATCH($A15&amp;"|"&amp;5,Registro!$X$2:$X$501,0)),"")</f>
        <v/>
      </c>
      <c r="G15">
        <f>IFERROR(INDEX(Registro!$Y$2:$Y$501,MATCH($A15&amp;"|"&amp;6,Registro!$X$2:$X$501,0)),"")</f>
      </c>
      <c r="H15">
        <f>IFERROR(INDEX(Registro!$Y$2:$Y$501,MATCH($A15&amp;"|"&amp;7,Registro!$X$2:$X$501,0)),"")</f>
      </c>
      <c r="I15">
        <f>IFERROR(INDEX(Registro!$Y$2:$Y$501,MATCH($A15&amp;"|"&amp;8,Registro!$X$2:$X$501,0)),"")</f>
      </c>
      <c r="J15">
        <f>IFERROR(INDEX(Registro!$Y$2:$Y$501,MATCH($A15&amp;"|"&amp;9,Registro!$X$2:$X$501,0)),"")</f>
      </c>
      <c r="K15">
        <f>IFERROR(INDEX(Registro!$Y$2:$Y$501,MATCH($A15&amp;"|"&amp;10,Registro!$X$2:$X$501,0)),"")</f>
      </c>
      <c r="L15">
        <f>IFERROR(INDEX(Registro!$Y$2:$Y$501,MATCH($A15&amp;"|"&amp;11,Registro!$X$2:$X$501,0)),"")</f>
      </c>
      <c r="M15">
        <f>IFERROR(INDEX(Registro!$Y$2:$Y$501,MATCH($A15&amp;"|"&amp;12,Registro!$X$2:$X$501,0)),"")</f>
      </c>
    </row>
    <row r="16" spans="1:13" ht="15" customHeight="1" x14ac:dyDescent="0.2">
      <c r="A16" t="s">
        <v>48</v>
      </c>
      <c r="B16" t="str">
        <f>IFERROR(INDEX(Registro!$Y$2:$Y$501,MATCH($A16&amp;"|"&amp;1,Registro!$X$2:$X$501,0)),"")</f>
        <v/>
      </c>
      <c r="C16" t="str">
        <f>IFERROR(INDEX(Registro!$Y$2:$Y$501,MATCH($A16&amp;"|"&amp;2,Registro!$X$2:$X$501,0)),"")</f>
        <v/>
      </c>
      <c r="D16" t="str">
        <f>IFERROR(INDEX(Registro!$Y$2:$Y$501,MATCH($A16&amp;"|"&amp;3,Registro!$X$2:$X$501,0)),"")</f>
        <v/>
      </c>
      <c r="E16" t="str">
        <f>IFERROR(INDEX(Registro!$Y$2:$Y$501,MATCH($A16&amp;"|"&amp;4,Registro!$X$2:$X$501,0)),"")</f>
        <v/>
      </c>
      <c r="F16" t="str">
        <f>IFERROR(INDEX(Registro!$Y$2:$Y$501,MATCH($A16&amp;"|"&amp;5,Registro!$X$2:$X$501,0)),"")</f>
        <v/>
      </c>
      <c r="G16">
        <f>IFERROR(INDEX(Registro!$Y$2:$Y$501,MATCH($A16&amp;"|"&amp;6,Registro!$X$2:$X$501,0)),"")</f>
      </c>
      <c r="H16">
        <f>IFERROR(INDEX(Registro!$Y$2:$Y$501,MATCH($A16&amp;"|"&amp;7,Registro!$X$2:$X$501,0)),"")</f>
      </c>
      <c r="I16">
        <f>IFERROR(INDEX(Registro!$Y$2:$Y$501,MATCH($A16&amp;"|"&amp;8,Registro!$X$2:$X$501,0)),"")</f>
      </c>
      <c r="J16">
        <f>IFERROR(INDEX(Registro!$Y$2:$Y$501,MATCH($A16&amp;"|"&amp;9,Registro!$X$2:$X$501,0)),"")</f>
      </c>
      <c r="K16">
        <f>IFERROR(INDEX(Registro!$Y$2:$Y$501,MATCH($A16&amp;"|"&amp;10,Registro!$X$2:$X$501,0)),"")</f>
      </c>
      <c r="L16">
        <f>IFERROR(INDEX(Registro!$Y$2:$Y$501,MATCH($A16&amp;"|"&amp;11,Registro!$X$2:$X$501,0)),"")</f>
      </c>
      <c r="M16">
        <f>IFERROR(INDEX(Registro!$Y$2:$Y$501,MATCH($A16&amp;"|"&amp;12,Registro!$X$2:$X$501,0)),"")</f>
      </c>
    </row>
    <row r="17" spans="1:13" ht="15" customHeight="1" x14ac:dyDescent="0.2">
      <c r="A17" t="s">
        <v>49</v>
      </c>
      <c r="B17" t="str">
        <f>IFERROR(INDEX(Registro!$Y$2:$Y$501,MATCH($A17&amp;"|"&amp;1,Registro!$X$2:$X$501,0)),"")</f>
        <v/>
      </c>
      <c r="C17" t="str">
        <f>IFERROR(INDEX(Registro!$Y$2:$Y$501,MATCH($A17&amp;"|"&amp;2,Registro!$X$2:$X$501,0)),"")</f>
        <v/>
      </c>
      <c r="D17" t="str">
        <f>IFERROR(INDEX(Registro!$Y$2:$Y$501,MATCH($A17&amp;"|"&amp;3,Registro!$X$2:$X$501,0)),"")</f>
        <v/>
      </c>
      <c r="E17" t="str">
        <f>IFERROR(INDEX(Registro!$Y$2:$Y$501,MATCH($A17&amp;"|"&amp;4,Registro!$X$2:$X$501,0)),"")</f>
        <v/>
      </c>
      <c r="F17" t="str">
        <f>IFERROR(INDEX(Registro!$Y$2:$Y$501,MATCH($A17&amp;"|"&amp;5,Registro!$X$2:$X$501,0)),"")</f>
        <v/>
      </c>
      <c r="G17">
        <f>IFERROR(INDEX(Registro!$Y$2:$Y$501,MATCH($A17&amp;"|"&amp;6,Registro!$X$2:$X$501,0)),"")</f>
      </c>
      <c r="H17">
        <f>IFERROR(INDEX(Registro!$Y$2:$Y$501,MATCH($A17&amp;"|"&amp;7,Registro!$X$2:$X$501,0)),"")</f>
      </c>
      <c r="I17">
        <f>IFERROR(INDEX(Registro!$Y$2:$Y$501,MATCH($A17&amp;"|"&amp;8,Registro!$X$2:$X$501,0)),"")</f>
      </c>
      <c r="J17">
        <f>IFERROR(INDEX(Registro!$Y$2:$Y$501,MATCH($A17&amp;"|"&amp;9,Registro!$X$2:$X$501,0)),"")</f>
      </c>
      <c r="K17">
        <f>IFERROR(INDEX(Registro!$Y$2:$Y$501,MATCH($A17&amp;"|"&amp;10,Registro!$X$2:$X$501,0)),"")</f>
      </c>
      <c r="L17">
        <f>IFERROR(INDEX(Registro!$Y$2:$Y$501,MATCH($A17&amp;"|"&amp;11,Registro!$X$2:$X$501,0)),"")</f>
      </c>
      <c r="M17">
        <f>IFERROR(INDEX(Registro!$Y$2:$Y$501,MATCH($A17&amp;"|"&amp;12,Registro!$X$2:$X$501,0)),"")</f>
      </c>
    </row>
    <row r="18" spans="1:13" ht="15" customHeight="1" x14ac:dyDescent="0.2">
      <c r="A18" t="s">
        <v>50</v>
      </c>
      <c r="B18" t="str">
        <f>IFERROR(INDEX(Registro!$Y$2:$Y$501,MATCH($A18&amp;"|"&amp;1,Registro!$X$2:$X$501,0)),"")</f>
        <v/>
      </c>
      <c r="C18" t="str">
        <f>IFERROR(INDEX(Registro!$Y$2:$Y$501,MATCH($A18&amp;"|"&amp;2,Registro!$X$2:$X$501,0)),"")</f>
        <v/>
      </c>
      <c r="D18" t="str">
        <f>IFERROR(INDEX(Registro!$Y$2:$Y$501,MATCH($A18&amp;"|"&amp;3,Registro!$X$2:$X$501,0)),"")</f>
        <v/>
      </c>
      <c r="E18" t="str">
        <f>IFERROR(INDEX(Registro!$Y$2:$Y$501,MATCH($A18&amp;"|"&amp;4,Registro!$X$2:$X$501,0)),"")</f>
        <v/>
      </c>
      <c r="F18" t="str">
        <f>IFERROR(INDEX(Registro!$Y$2:$Y$501,MATCH($A18&amp;"|"&amp;5,Registro!$X$2:$X$501,0)),"")</f>
        <v/>
      </c>
      <c r="G18">
        <f>IFERROR(INDEX(Registro!$Y$2:$Y$501,MATCH($A18&amp;"|"&amp;6,Registro!$X$2:$X$501,0)),"")</f>
      </c>
      <c r="H18">
        <f>IFERROR(INDEX(Registro!$Y$2:$Y$501,MATCH($A18&amp;"|"&amp;7,Registro!$X$2:$X$501,0)),"")</f>
      </c>
      <c r="I18">
        <f>IFERROR(INDEX(Registro!$Y$2:$Y$501,MATCH($A18&amp;"|"&amp;8,Registro!$X$2:$X$501,0)),"")</f>
      </c>
      <c r="J18">
        <f>IFERROR(INDEX(Registro!$Y$2:$Y$501,MATCH($A18&amp;"|"&amp;9,Registro!$X$2:$X$501,0)),"")</f>
      </c>
      <c r="K18">
        <f>IFERROR(INDEX(Registro!$Y$2:$Y$501,MATCH($A18&amp;"|"&amp;10,Registro!$X$2:$X$501,0)),"")</f>
      </c>
      <c r="L18">
        <f>IFERROR(INDEX(Registro!$Y$2:$Y$501,MATCH($A18&amp;"|"&amp;11,Registro!$X$2:$X$501,0)),"")</f>
      </c>
      <c r="M18">
        <f>IFERROR(INDEX(Registro!$Y$2:$Y$501,MATCH($A18&amp;"|"&amp;12,Registro!$X$2:$X$501,0)),"")</f>
      </c>
    </row>
    <row r="19" spans="1:13" ht="15" customHeight="1" x14ac:dyDescent="0.2">
      <c r="A19" t="s">
        <v>51</v>
      </c>
      <c r="B19" t="str">
        <f>IFERROR(INDEX(Registro!$Y$2:$Y$501,MATCH($A19&amp;"|"&amp;1,Registro!$X$2:$X$501,0)),"")</f>
        <v/>
      </c>
      <c r="C19" t="str">
        <f>IFERROR(INDEX(Registro!$Y$2:$Y$501,MATCH($A19&amp;"|"&amp;2,Registro!$X$2:$X$501,0)),"")</f>
        <v/>
      </c>
      <c r="D19" t="str">
        <f>IFERROR(INDEX(Registro!$Y$2:$Y$501,MATCH($A19&amp;"|"&amp;3,Registro!$X$2:$X$501,0)),"")</f>
        <v/>
      </c>
      <c r="E19" t="str">
        <f>IFERROR(INDEX(Registro!$Y$2:$Y$501,MATCH($A19&amp;"|"&amp;4,Registro!$X$2:$X$501,0)),"")</f>
        <v/>
      </c>
      <c r="F19" t="str">
        <f>IFERROR(INDEX(Registro!$Y$2:$Y$501,MATCH($A19&amp;"|"&amp;5,Registro!$X$2:$X$501,0)),"")</f>
        <v/>
      </c>
      <c r="G19">
        <f>IFERROR(INDEX(Registro!$Y$2:$Y$501,MATCH($A19&amp;"|"&amp;6,Registro!$X$2:$X$501,0)),"")</f>
      </c>
      <c r="H19">
        <f>IFERROR(INDEX(Registro!$Y$2:$Y$501,MATCH($A19&amp;"|"&amp;7,Registro!$X$2:$X$501,0)),"")</f>
      </c>
      <c r="I19">
        <f>IFERROR(INDEX(Registro!$Y$2:$Y$501,MATCH($A19&amp;"|"&amp;8,Registro!$X$2:$X$501,0)),"")</f>
      </c>
      <c r="J19">
        <f>IFERROR(INDEX(Registro!$Y$2:$Y$501,MATCH($A19&amp;"|"&amp;9,Registro!$X$2:$X$501,0)),"")</f>
      </c>
      <c r="K19">
        <f>IFERROR(INDEX(Registro!$Y$2:$Y$501,MATCH($A19&amp;"|"&amp;10,Registro!$X$2:$X$501,0)),"")</f>
      </c>
      <c r="L19">
        <f>IFERROR(INDEX(Registro!$Y$2:$Y$501,MATCH($A19&amp;"|"&amp;11,Registro!$X$2:$X$501,0)),"")</f>
      </c>
      <c r="M19">
        <f>IFERROR(INDEX(Registro!$Y$2:$Y$501,MATCH($A19&amp;"|"&amp;12,Registro!$X$2:$X$501,0)),"")</f>
      </c>
    </row>
    <row r="20" spans="1:13" ht="15" customHeight="1" x14ac:dyDescent="0.2">
      <c r="A20" t="s">
        <v>52</v>
      </c>
      <c r="B20" t="str">
        <f>IFERROR(INDEX(Registro!$Y$2:$Y$501,MATCH($A20&amp;"|"&amp;1,Registro!$X$2:$X$501,0)),"")</f>
        <v/>
      </c>
      <c r="C20" t="str">
        <f>IFERROR(INDEX(Registro!$Y$2:$Y$501,MATCH($A20&amp;"|"&amp;2,Registro!$X$2:$X$501,0)),"")</f>
        <v/>
      </c>
      <c r="D20" t="str">
        <f>IFERROR(INDEX(Registro!$Y$2:$Y$501,MATCH($A20&amp;"|"&amp;3,Registro!$X$2:$X$501,0)),"")</f>
        <v/>
      </c>
      <c r="E20" t="str">
        <f>IFERROR(INDEX(Registro!$Y$2:$Y$501,MATCH($A20&amp;"|"&amp;4,Registro!$X$2:$X$501,0)),"")</f>
        <v/>
      </c>
      <c r="F20" t="str">
        <f>IFERROR(INDEX(Registro!$Y$2:$Y$501,MATCH($A20&amp;"|"&amp;5,Registro!$X$2:$X$501,0)),"")</f>
        <v/>
      </c>
      <c r="G20">
        <f>IFERROR(INDEX(Registro!$Y$2:$Y$501,MATCH($A20&amp;"|"&amp;6,Registro!$X$2:$X$501,0)),"")</f>
      </c>
      <c r="H20">
        <f>IFERROR(INDEX(Registro!$Y$2:$Y$501,MATCH($A20&amp;"|"&amp;7,Registro!$X$2:$X$501,0)),"")</f>
      </c>
      <c r="I20">
        <f>IFERROR(INDEX(Registro!$Y$2:$Y$501,MATCH($A20&amp;"|"&amp;8,Registro!$X$2:$X$501,0)),"")</f>
      </c>
      <c r="J20">
        <f>IFERROR(INDEX(Registro!$Y$2:$Y$501,MATCH($A20&amp;"|"&amp;9,Registro!$X$2:$X$501,0)),"")</f>
      </c>
      <c r="K20">
        <f>IFERROR(INDEX(Registro!$Y$2:$Y$501,MATCH($A20&amp;"|"&amp;10,Registro!$X$2:$X$501,0)),"")</f>
      </c>
      <c r="L20">
        <f>IFERROR(INDEX(Registro!$Y$2:$Y$501,MATCH($A20&amp;"|"&amp;11,Registro!$X$2:$X$501,0)),"")</f>
      </c>
      <c r="M20">
        <f>IFERROR(INDEX(Registro!$Y$2:$Y$501,MATCH($A20&amp;"|"&amp;12,Registro!$X$2:$X$501,0)),"")</f>
      </c>
    </row>
    <row r="21" spans="1:13" ht="15" customHeight="1" x14ac:dyDescent="0.2">
      <c r="A21" t="s">
        <v>53</v>
      </c>
      <c r="B21" t="str">
        <f>IFERROR(INDEX(Registro!$Y$2:$Y$501,MATCH($A21&amp;"|"&amp;1,Registro!$X$2:$X$501,0)),"")</f>
        <v/>
      </c>
      <c r="C21" t="str">
        <f>IFERROR(INDEX(Registro!$Y$2:$Y$501,MATCH($A21&amp;"|"&amp;2,Registro!$X$2:$X$501,0)),"")</f>
        <v/>
      </c>
      <c r="D21" t="str">
        <f>IFERROR(INDEX(Registro!$Y$2:$Y$501,MATCH($A21&amp;"|"&amp;3,Registro!$X$2:$X$501,0)),"")</f>
        <v/>
      </c>
      <c r="E21" t="str">
        <f>IFERROR(INDEX(Registro!$Y$2:$Y$501,MATCH($A21&amp;"|"&amp;4,Registro!$X$2:$X$501,0)),"")</f>
        <v/>
      </c>
      <c r="F21" t="str">
        <f>IFERROR(INDEX(Registro!$Y$2:$Y$501,MATCH($A21&amp;"|"&amp;5,Registro!$X$2:$X$501,0)),"")</f>
        <v/>
      </c>
      <c r="G21">
        <f>IFERROR(INDEX(Registro!$Y$2:$Y$501,MATCH($A21&amp;"|"&amp;6,Registro!$X$2:$X$501,0)),"")</f>
      </c>
      <c r="H21">
        <f>IFERROR(INDEX(Registro!$Y$2:$Y$501,MATCH($A21&amp;"|"&amp;7,Registro!$X$2:$X$501,0)),"")</f>
      </c>
      <c r="I21">
        <f>IFERROR(INDEX(Registro!$Y$2:$Y$501,MATCH($A21&amp;"|"&amp;8,Registro!$X$2:$X$501,0)),"")</f>
      </c>
      <c r="J21">
        <f>IFERROR(INDEX(Registro!$Y$2:$Y$501,MATCH($A21&amp;"|"&amp;9,Registro!$X$2:$X$501,0)),"")</f>
      </c>
      <c r="K21">
        <f>IFERROR(INDEX(Registro!$Y$2:$Y$501,MATCH($A21&amp;"|"&amp;10,Registro!$X$2:$X$501,0)),"")</f>
      </c>
      <c r="L21">
        <f>IFERROR(INDEX(Registro!$Y$2:$Y$501,MATCH($A21&amp;"|"&amp;11,Registro!$X$2:$X$501,0)),"")</f>
      </c>
      <c r="M21">
        <f>IFERROR(INDEX(Registro!$Y$2:$Y$501,MATCH($A21&amp;"|"&amp;12,Registro!$X$2:$X$501,0)),"")</f>
      </c>
    </row>
    <row r="22" spans="1:13" ht="15" customHeight="1" x14ac:dyDescent="0.2">
      <c r="A22" t="s">
        <v>54</v>
      </c>
      <c r="B22" t="str">
        <f>IFERROR(INDEX(Registro!$Y$2:$Y$501,MATCH($A22&amp;"|"&amp;1,Registro!$X$2:$X$501,0)),"")</f>
        <v/>
      </c>
      <c r="C22" t="str">
        <f>IFERROR(INDEX(Registro!$Y$2:$Y$501,MATCH($A22&amp;"|"&amp;2,Registro!$X$2:$X$501,0)),"")</f>
        <v/>
      </c>
      <c r="D22" t="str">
        <f>IFERROR(INDEX(Registro!$Y$2:$Y$501,MATCH($A22&amp;"|"&amp;3,Registro!$X$2:$X$501,0)),"")</f>
        <v/>
      </c>
      <c r="E22" t="str">
        <f>IFERROR(INDEX(Registro!$Y$2:$Y$501,MATCH($A22&amp;"|"&amp;4,Registro!$X$2:$X$501,0)),"")</f>
        <v/>
      </c>
      <c r="F22" t="str">
        <f>IFERROR(INDEX(Registro!$Y$2:$Y$501,MATCH($A22&amp;"|"&amp;5,Registro!$X$2:$X$501,0)),"")</f>
        <v/>
      </c>
      <c r="G22">
        <f>IFERROR(INDEX(Registro!$Y$2:$Y$501,MATCH($A22&amp;"|"&amp;6,Registro!$X$2:$X$501,0)),"")</f>
      </c>
      <c r="H22">
        <f>IFERROR(INDEX(Registro!$Y$2:$Y$501,MATCH($A22&amp;"|"&amp;7,Registro!$X$2:$X$501,0)),"")</f>
      </c>
      <c r="I22">
        <f>IFERROR(INDEX(Registro!$Y$2:$Y$501,MATCH($A22&amp;"|"&amp;8,Registro!$X$2:$X$501,0)),"")</f>
      </c>
      <c r="J22">
        <f>IFERROR(INDEX(Registro!$Y$2:$Y$501,MATCH($A22&amp;"|"&amp;9,Registro!$X$2:$X$501,0)),"")</f>
      </c>
      <c r="K22">
        <f>IFERROR(INDEX(Registro!$Y$2:$Y$501,MATCH($A22&amp;"|"&amp;10,Registro!$X$2:$X$501,0)),"")</f>
      </c>
      <c r="L22">
        <f>IFERROR(INDEX(Registro!$Y$2:$Y$501,MATCH($A22&amp;"|"&amp;11,Registro!$X$2:$X$501,0)),"")</f>
      </c>
      <c r="M22">
        <f>IFERROR(INDEX(Registro!$Y$2:$Y$501,MATCH($A22&amp;"|"&amp;12,Registro!$X$2:$X$501,0)),"")</f>
      </c>
    </row>
    <row r="23" spans="1:13" ht="15" customHeight="1" x14ac:dyDescent="0.2">
      <c r="A23" t="s">
        <v>55</v>
      </c>
      <c r="B23" t="str">
        <f>IFERROR(INDEX(Registro!$Y$2:$Y$501,MATCH($A23&amp;"|"&amp;1,Registro!$X$2:$X$501,0)),"")</f>
        <v/>
      </c>
      <c r="C23" t="str">
        <f>IFERROR(INDEX(Registro!$Y$2:$Y$501,MATCH($A23&amp;"|"&amp;2,Registro!$X$2:$X$501,0)),"")</f>
        <v/>
      </c>
      <c r="D23" t="str">
        <f>IFERROR(INDEX(Registro!$Y$2:$Y$501,MATCH($A23&amp;"|"&amp;3,Registro!$X$2:$X$501,0)),"")</f>
        <v/>
      </c>
      <c r="E23" t="str">
        <f>IFERROR(INDEX(Registro!$Y$2:$Y$501,MATCH($A23&amp;"|"&amp;4,Registro!$X$2:$X$501,0)),"")</f>
        <v/>
      </c>
      <c r="F23" t="str">
        <f>IFERROR(INDEX(Registro!$Y$2:$Y$501,MATCH($A23&amp;"|"&amp;5,Registro!$X$2:$X$501,0)),"")</f>
        <v/>
      </c>
      <c r="G23">
        <f>IFERROR(INDEX(Registro!$Y$2:$Y$501,MATCH($A23&amp;"|"&amp;6,Registro!$X$2:$X$501,0)),"")</f>
      </c>
      <c r="H23">
        <f>IFERROR(INDEX(Registro!$Y$2:$Y$501,MATCH($A23&amp;"|"&amp;7,Registro!$X$2:$X$501,0)),"")</f>
      </c>
      <c r="I23">
        <f>IFERROR(INDEX(Registro!$Y$2:$Y$501,MATCH($A23&amp;"|"&amp;8,Registro!$X$2:$X$501,0)),"")</f>
      </c>
      <c r="J23">
        <f>IFERROR(INDEX(Registro!$Y$2:$Y$501,MATCH($A23&amp;"|"&amp;9,Registro!$X$2:$X$501,0)),"")</f>
      </c>
      <c r="K23">
        <f>IFERROR(INDEX(Registro!$Y$2:$Y$501,MATCH($A23&amp;"|"&amp;10,Registro!$X$2:$X$501,0)),"")</f>
      </c>
      <c r="L23">
        <f>IFERROR(INDEX(Registro!$Y$2:$Y$501,MATCH($A23&amp;"|"&amp;11,Registro!$X$2:$X$501,0)),"")</f>
      </c>
      <c r="M23">
        <f>IFERROR(INDEX(Registro!$Y$2:$Y$501,MATCH($A23&amp;"|"&amp;12,Registro!$X$2:$X$501,0)),"")</f>
      </c>
    </row>
    <row r="24" spans="1:13" ht="15" customHeight="1" x14ac:dyDescent="0.2">
      <c r="A24" t="s">
        <v>56</v>
      </c>
      <c r="B24" t="str">
        <f>IFERROR(INDEX(Registro!$Y$2:$Y$501,MATCH($A24&amp;"|"&amp;1,Registro!$X$2:$X$501,0)),"")</f>
        <v/>
      </c>
      <c r="C24" t="str">
        <f>IFERROR(INDEX(Registro!$Y$2:$Y$501,MATCH($A24&amp;"|"&amp;2,Registro!$X$2:$X$501,0)),"")</f>
        <v/>
      </c>
      <c r="D24" t="str">
        <f>IFERROR(INDEX(Registro!$Y$2:$Y$501,MATCH($A24&amp;"|"&amp;3,Registro!$X$2:$X$501,0)),"")</f>
        <v/>
      </c>
      <c r="E24" t="str">
        <f>IFERROR(INDEX(Registro!$Y$2:$Y$501,MATCH($A24&amp;"|"&amp;4,Registro!$X$2:$X$501,0)),"")</f>
        <v/>
      </c>
      <c r="F24" t="str">
        <f>IFERROR(INDEX(Registro!$Y$2:$Y$501,MATCH($A24&amp;"|"&amp;5,Registro!$X$2:$X$501,0)),"")</f>
        <v/>
      </c>
      <c r="G24">
        <f>IFERROR(INDEX(Registro!$Y$2:$Y$501,MATCH($A24&amp;"|"&amp;6,Registro!$X$2:$X$501,0)),"")</f>
      </c>
      <c r="H24">
        <f>IFERROR(INDEX(Registro!$Y$2:$Y$501,MATCH($A24&amp;"|"&amp;7,Registro!$X$2:$X$501,0)),"")</f>
      </c>
      <c r="I24">
        <f>IFERROR(INDEX(Registro!$Y$2:$Y$501,MATCH($A24&amp;"|"&amp;8,Registro!$X$2:$X$501,0)),"")</f>
      </c>
      <c r="J24">
        <f>IFERROR(INDEX(Registro!$Y$2:$Y$501,MATCH($A24&amp;"|"&amp;9,Registro!$X$2:$X$501,0)),"")</f>
      </c>
      <c r="K24">
        <f>IFERROR(INDEX(Registro!$Y$2:$Y$501,MATCH($A24&amp;"|"&amp;10,Registro!$X$2:$X$501,0)),"")</f>
      </c>
      <c r="L24">
        <f>IFERROR(INDEX(Registro!$Y$2:$Y$501,MATCH($A24&amp;"|"&amp;11,Registro!$X$2:$X$501,0)),"")</f>
      </c>
      <c r="M24">
        <f>IFERROR(INDEX(Registro!$Y$2:$Y$501,MATCH($A24&amp;"|"&amp;12,Registro!$X$2:$X$501,0)),"")</f>
      </c>
    </row>
    <row r="25" spans="1:13" ht="15" customHeight="1" x14ac:dyDescent="0.2">
      <c r="A25" t="s">
        <v>57</v>
      </c>
      <c r="B25" t="str">
        <f>IFERROR(INDEX(Registro!$Y$2:$Y$501,MATCH($A25&amp;"|"&amp;1,Registro!$X$2:$X$501,0)),"")</f>
        <v/>
      </c>
      <c r="C25" t="str">
        <f>IFERROR(INDEX(Registro!$Y$2:$Y$501,MATCH($A25&amp;"|"&amp;2,Registro!$X$2:$X$501,0)),"")</f>
        <v/>
      </c>
      <c r="D25" t="str">
        <f>IFERROR(INDEX(Registro!$Y$2:$Y$501,MATCH($A25&amp;"|"&amp;3,Registro!$X$2:$X$501,0)),"")</f>
        <v/>
      </c>
      <c r="E25" t="str">
        <f>IFERROR(INDEX(Registro!$Y$2:$Y$501,MATCH($A25&amp;"|"&amp;4,Registro!$X$2:$X$501,0)),"")</f>
        <v/>
      </c>
      <c r="F25" t="str">
        <f>IFERROR(INDEX(Registro!$Y$2:$Y$501,MATCH($A25&amp;"|"&amp;5,Registro!$X$2:$X$501,0)),"")</f>
        <v/>
      </c>
      <c r="G25">
        <f>IFERROR(INDEX(Registro!$Y$2:$Y$501,MATCH($A25&amp;"|"&amp;6,Registro!$X$2:$X$501,0)),"")</f>
      </c>
      <c r="H25">
        <f>IFERROR(INDEX(Registro!$Y$2:$Y$501,MATCH($A25&amp;"|"&amp;7,Registro!$X$2:$X$501,0)),"")</f>
      </c>
      <c r="I25">
        <f>IFERROR(INDEX(Registro!$Y$2:$Y$501,MATCH($A25&amp;"|"&amp;8,Registro!$X$2:$X$501,0)),"")</f>
      </c>
      <c r="J25">
        <f>IFERROR(INDEX(Registro!$Y$2:$Y$501,MATCH($A25&amp;"|"&amp;9,Registro!$X$2:$X$501,0)),"")</f>
      </c>
      <c r="K25">
        <f>IFERROR(INDEX(Registro!$Y$2:$Y$501,MATCH($A25&amp;"|"&amp;10,Registro!$X$2:$X$501,0)),"")</f>
      </c>
      <c r="L25">
        <f>IFERROR(INDEX(Registro!$Y$2:$Y$501,MATCH($A25&amp;"|"&amp;11,Registro!$X$2:$X$501,0)),"")</f>
      </c>
      <c r="M25">
        <f>IFERROR(INDEX(Registro!$Y$2:$Y$501,MATCH($A25&amp;"|"&amp;12,Registro!$X$2:$X$501,0)),"")</f>
      </c>
    </row>
    <row r="26" spans="1:13" ht="15" customHeight="1" x14ac:dyDescent="0.2">
      <c r="A26" t="s">
        <v>58</v>
      </c>
      <c r="B26" t="str">
        <f>IFERROR(INDEX(Registro!$Y$2:$Y$501,MATCH($A26&amp;"|"&amp;1,Registro!$X$2:$X$501,0)),"")</f>
        <v/>
      </c>
      <c r="C26" t="str">
        <f>IFERROR(INDEX(Registro!$Y$2:$Y$501,MATCH($A26&amp;"|"&amp;2,Registro!$X$2:$X$501,0)),"")</f>
        <v/>
      </c>
      <c r="D26" t="str">
        <f>IFERROR(INDEX(Registro!$Y$2:$Y$501,MATCH($A26&amp;"|"&amp;3,Registro!$X$2:$X$501,0)),"")</f>
        <v/>
      </c>
      <c r="E26" t="str">
        <f>IFERROR(INDEX(Registro!$Y$2:$Y$501,MATCH($A26&amp;"|"&amp;4,Registro!$X$2:$X$501,0)),"")</f>
        <v/>
      </c>
      <c r="F26" t="str">
        <f>IFERROR(INDEX(Registro!$Y$2:$Y$501,MATCH($A26&amp;"|"&amp;5,Registro!$X$2:$X$501,0)),"")</f>
        <v/>
      </c>
      <c r="G26">
        <f>IFERROR(INDEX(Registro!$Y$2:$Y$501,MATCH($A26&amp;"|"&amp;6,Registro!$X$2:$X$501,0)),"")</f>
      </c>
      <c r="H26">
        <f>IFERROR(INDEX(Registro!$Y$2:$Y$501,MATCH($A26&amp;"|"&amp;7,Registro!$X$2:$X$501,0)),"")</f>
      </c>
      <c r="I26">
        <f>IFERROR(INDEX(Registro!$Y$2:$Y$501,MATCH($A26&amp;"|"&amp;8,Registro!$X$2:$X$501,0)),"")</f>
      </c>
      <c r="J26">
        <f>IFERROR(INDEX(Registro!$Y$2:$Y$501,MATCH($A26&amp;"|"&amp;9,Registro!$X$2:$X$501,0)),"")</f>
      </c>
      <c r="K26">
        <f>IFERROR(INDEX(Registro!$Y$2:$Y$501,MATCH($A26&amp;"|"&amp;10,Registro!$X$2:$X$501,0)),"")</f>
      </c>
      <c r="L26">
        <f>IFERROR(INDEX(Registro!$Y$2:$Y$501,MATCH($A26&amp;"|"&amp;11,Registro!$X$2:$X$501,0)),"")</f>
      </c>
      <c r="M26">
        <f>IFERROR(INDEX(Registro!$Y$2:$Y$501,MATCH($A26&amp;"|"&amp;12,Registro!$X$2:$X$501,0)),"")</f>
      </c>
    </row>
    <row r="27" spans="1:13" ht="15" customHeight="1" x14ac:dyDescent="0.2">
      <c r="A27" t="s">
        <v>59</v>
      </c>
      <c r="B27" t="str">
        <f>IFERROR(INDEX(Registro!$Y$2:$Y$501,MATCH($A27&amp;"|"&amp;1,Registro!$X$2:$X$501,0)),"")</f>
        <v/>
      </c>
      <c r="C27" t="str">
        <f>IFERROR(INDEX(Registro!$Y$2:$Y$501,MATCH($A27&amp;"|"&amp;2,Registro!$X$2:$X$501,0)),"")</f>
        <v/>
      </c>
      <c r="D27" t="str">
        <f>IFERROR(INDEX(Registro!$Y$2:$Y$501,MATCH($A27&amp;"|"&amp;3,Registro!$X$2:$X$501,0)),"")</f>
        <v/>
      </c>
      <c r="E27" t="str">
        <f>IFERROR(INDEX(Registro!$Y$2:$Y$501,MATCH($A27&amp;"|"&amp;4,Registro!$X$2:$X$501,0)),"")</f>
        <v/>
      </c>
      <c r="F27" t="str">
        <f>IFERROR(INDEX(Registro!$Y$2:$Y$501,MATCH($A27&amp;"|"&amp;5,Registro!$X$2:$X$501,0)),"")</f>
        <v/>
      </c>
      <c r="G27">
        <f>IFERROR(INDEX(Registro!$Y$2:$Y$501,MATCH($A27&amp;"|"&amp;6,Registro!$X$2:$X$501,0)),"")</f>
      </c>
      <c r="H27">
        <f>IFERROR(INDEX(Registro!$Y$2:$Y$501,MATCH($A27&amp;"|"&amp;7,Registro!$X$2:$X$501,0)),"")</f>
      </c>
      <c r="I27">
        <f>IFERROR(INDEX(Registro!$Y$2:$Y$501,MATCH($A27&amp;"|"&amp;8,Registro!$X$2:$X$501,0)),"")</f>
      </c>
      <c r="J27">
        <f>IFERROR(INDEX(Registro!$Y$2:$Y$501,MATCH($A27&amp;"|"&amp;9,Registro!$X$2:$X$501,0)),"")</f>
      </c>
      <c r="K27">
        <f>IFERROR(INDEX(Registro!$Y$2:$Y$501,MATCH($A27&amp;"|"&amp;10,Registro!$X$2:$X$501,0)),"")</f>
      </c>
      <c r="L27">
        <f>IFERROR(INDEX(Registro!$Y$2:$Y$501,MATCH($A27&amp;"|"&amp;11,Registro!$X$2:$X$501,0)),"")</f>
      </c>
      <c r="M27">
        <f>IFERROR(INDEX(Registro!$Y$2:$Y$501,MATCH($A27&amp;"|"&amp;12,Registro!$X$2:$X$501,0)),"")</f>
      </c>
    </row>
    <row r="28" spans="1:13" ht="15" customHeight="1" x14ac:dyDescent="0.2">
      <c r="A28" t="s">
        <v>60</v>
      </c>
      <c r="B28" t="str">
        <f>IFERROR(INDEX(Registro!$Y$2:$Y$501,MATCH($A28&amp;"|"&amp;1,Registro!$X$2:$X$501,0)),"")</f>
        <v/>
      </c>
      <c r="C28" t="str">
        <f>IFERROR(INDEX(Registro!$Y$2:$Y$501,MATCH($A28&amp;"|"&amp;2,Registro!$X$2:$X$501,0)),"")</f>
        <v/>
      </c>
      <c r="D28" t="str">
        <f>IFERROR(INDEX(Registro!$Y$2:$Y$501,MATCH($A28&amp;"|"&amp;3,Registro!$X$2:$X$501,0)),"")</f>
        <v/>
      </c>
      <c r="E28" t="str">
        <f>IFERROR(INDEX(Registro!$Y$2:$Y$501,MATCH($A28&amp;"|"&amp;4,Registro!$X$2:$X$501,0)),"")</f>
        <v/>
      </c>
      <c r="F28" t="str">
        <f>IFERROR(INDEX(Registro!$Y$2:$Y$501,MATCH($A28&amp;"|"&amp;5,Registro!$X$2:$X$501,0)),"")</f>
        <v/>
      </c>
      <c r="G28">
        <f>IFERROR(INDEX(Registro!$Y$2:$Y$501,MATCH($A28&amp;"|"&amp;6,Registro!$X$2:$X$501,0)),"")</f>
      </c>
      <c r="H28">
        <f>IFERROR(INDEX(Registro!$Y$2:$Y$501,MATCH($A28&amp;"|"&amp;7,Registro!$X$2:$X$501,0)),"")</f>
      </c>
      <c r="I28">
        <f>IFERROR(INDEX(Registro!$Y$2:$Y$501,MATCH($A28&amp;"|"&amp;8,Registro!$X$2:$X$501,0)),"")</f>
      </c>
      <c r="J28">
        <f>IFERROR(INDEX(Registro!$Y$2:$Y$501,MATCH($A28&amp;"|"&amp;9,Registro!$X$2:$X$501,0)),"")</f>
      </c>
      <c r="K28">
        <f>IFERROR(INDEX(Registro!$Y$2:$Y$501,MATCH($A28&amp;"|"&amp;10,Registro!$X$2:$X$501,0)),"")</f>
      </c>
      <c r="L28">
        <f>IFERROR(INDEX(Registro!$Y$2:$Y$501,MATCH($A28&amp;"|"&amp;11,Registro!$X$2:$X$501,0)),"")</f>
      </c>
      <c r="M28">
        <f>IFERROR(INDEX(Registro!$Y$2:$Y$501,MATCH($A28&amp;"|"&amp;12,Registro!$X$2:$X$501,0)),"")</f>
      </c>
    </row>
    <row r="29" spans="1:13" ht="15" customHeight="1" x14ac:dyDescent="0.2">
      <c r="A29" t="s">
        <v>61</v>
      </c>
      <c r="B29" t="str">
        <f>IFERROR(INDEX(Registro!$Y$2:$Y$501,MATCH($A29&amp;"|"&amp;1,Registro!$X$2:$X$501,0)),"")</f>
        <v/>
      </c>
      <c r="C29" t="str">
        <f>IFERROR(INDEX(Registro!$Y$2:$Y$501,MATCH($A29&amp;"|"&amp;2,Registro!$X$2:$X$501,0)),"")</f>
        <v/>
      </c>
      <c r="D29" t="str">
        <f>IFERROR(INDEX(Registro!$Y$2:$Y$501,MATCH($A29&amp;"|"&amp;3,Registro!$X$2:$X$501,0)),"")</f>
        <v/>
      </c>
      <c r="E29" t="str">
        <f>IFERROR(INDEX(Registro!$Y$2:$Y$501,MATCH($A29&amp;"|"&amp;4,Registro!$X$2:$X$501,0)),"")</f>
        <v/>
      </c>
      <c r="F29" t="str">
        <f>IFERROR(INDEX(Registro!$Y$2:$Y$501,MATCH($A29&amp;"|"&amp;5,Registro!$X$2:$X$501,0)),"")</f>
        <v/>
      </c>
      <c r="G29">
        <f>IFERROR(INDEX(Registro!$Y$2:$Y$501,MATCH($A29&amp;"|"&amp;6,Registro!$X$2:$X$501,0)),"")</f>
      </c>
      <c r="H29">
        <f>IFERROR(INDEX(Registro!$Y$2:$Y$501,MATCH($A29&amp;"|"&amp;7,Registro!$X$2:$X$501,0)),"")</f>
      </c>
      <c r="I29">
        <f>IFERROR(INDEX(Registro!$Y$2:$Y$501,MATCH($A29&amp;"|"&amp;8,Registro!$X$2:$X$501,0)),"")</f>
      </c>
      <c r="J29">
        <f>IFERROR(INDEX(Registro!$Y$2:$Y$501,MATCH($A29&amp;"|"&amp;9,Registro!$X$2:$X$501,0)),"")</f>
      </c>
      <c r="K29">
        <f>IFERROR(INDEX(Registro!$Y$2:$Y$501,MATCH($A29&amp;"|"&amp;10,Registro!$X$2:$X$501,0)),"")</f>
      </c>
      <c r="L29">
        <f>IFERROR(INDEX(Registro!$Y$2:$Y$501,MATCH($A29&amp;"|"&amp;11,Registro!$X$2:$X$501,0)),"")</f>
      </c>
      <c r="M29">
        <f>IFERROR(INDEX(Registro!$Y$2:$Y$501,MATCH($A29&amp;"|"&amp;12,Registro!$X$2:$X$501,0)),"")</f>
      </c>
    </row>
    <row r="30" spans="1:13" ht="15" customHeight="1" x14ac:dyDescent="0.2">
      <c r="A30" t="s">
        <v>62</v>
      </c>
      <c r="B30" t="str">
        <f>IFERROR(INDEX(Registro!$Y$2:$Y$501,MATCH($A30&amp;"|"&amp;1,Registro!$X$2:$X$501,0)),"")</f>
        <v/>
      </c>
      <c r="C30" t="str">
        <f>IFERROR(INDEX(Registro!$Y$2:$Y$501,MATCH($A30&amp;"|"&amp;2,Registro!$X$2:$X$501,0)),"")</f>
        <v/>
      </c>
      <c r="D30" t="str">
        <f>IFERROR(INDEX(Registro!$Y$2:$Y$501,MATCH($A30&amp;"|"&amp;3,Registro!$X$2:$X$501,0)),"")</f>
        <v/>
      </c>
      <c r="E30" t="str">
        <f>IFERROR(INDEX(Registro!$Y$2:$Y$501,MATCH($A30&amp;"|"&amp;4,Registro!$X$2:$X$501,0)),"")</f>
        <v/>
      </c>
      <c r="F30" t="str">
        <f>IFERROR(INDEX(Registro!$Y$2:$Y$501,MATCH($A30&amp;"|"&amp;5,Registro!$X$2:$X$501,0)),"")</f>
        <v/>
      </c>
      <c r="G30">
        <f>IFERROR(INDEX(Registro!$Y$2:$Y$501,MATCH($A30&amp;"|"&amp;6,Registro!$X$2:$X$501,0)),"")</f>
      </c>
      <c r="H30">
        <f>IFERROR(INDEX(Registro!$Y$2:$Y$501,MATCH($A30&amp;"|"&amp;7,Registro!$X$2:$X$501,0)),"")</f>
      </c>
      <c r="I30">
        <f>IFERROR(INDEX(Registro!$Y$2:$Y$501,MATCH($A30&amp;"|"&amp;8,Registro!$X$2:$X$501,0)),"")</f>
      </c>
      <c r="J30">
        <f>IFERROR(INDEX(Registro!$Y$2:$Y$501,MATCH($A30&amp;"|"&amp;9,Registro!$X$2:$X$501,0)),"")</f>
      </c>
      <c r="K30">
        <f>IFERROR(INDEX(Registro!$Y$2:$Y$501,MATCH($A30&amp;"|"&amp;10,Registro!$X$2:$X$501,0)),"")</f>
      </c>
      <c r="L30">
        <f>IFERROR(INDEX(Registro!$Y$2:$Y$501,MATCH($A30&amp;"|"&amp;11,Registro!$X$2:$X$501,0)),"")</f>
      </c>
      <c r="M30">
        <f>IFERROR(INDEX(Registro!$Y$2:$Y$501,MATCH($A30&amp;"|"&amp;12,Registro!$X$2:$X$501,0)),"")</f>
      </c>
    </row>
  </sheetData>
  <sheetProtection sheet="1" objects="1" scenarios="1" formatCells="1" formatColumns="1" formatRows="1" insertColumns="1" insertRows="1" insertHyperlinks="1" deleteColumns="1" deleteRows="1" sort="1" autoFilter="0" pivotTables="1" selectLockedCells="0" selectUnlockedCells="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1"/>
  <sheetViews>
    <sheetView zoomScaleNormal="100" workbookViewId="0">
      <pane ySplit="1" topLeftCell="A2" activePane="bottomLeft" state="frozen"/>
      <selection pane="bottomLeft" activeCell="B6" sqref="B6"/>
    </sheetView>
  </sheetViews>
  <sheetFormatPr baseColWidth="10" defaultColWidth="8.6640625" defaultRowHeight="15" customHeight="1" x14ac:dyDescent="0.2"/>
  <cols>
    <col min="1" max="1" width="7" customWidth="1"/>
    <col min="2" max="2" width="20" customWidth="1"/>
    <col min="3" max="3" width="22" customWidth="1"/>
    <col min="4" max="4" width="24" customWidth="1"/>
    <col min="5" max="5" width="32" customWidth="1"/>
    <col min="6" max="6" width="26" customWidth="1"/>
    <col min="7" max="8" width="22" customWidth="1"/>
    <col min="9" max="11" width="6" hidden="1" customWidth="1"/>
    <col min="9" max="9" width="9" hidden="1" customWidth="1"/>
  </cols>
  <sheetData>
    <row r="1" spans="1:11" ht="34.5" customHeight="1" x14ac:dyDescent="0.2">
      <c r="A1" s="18" t="inlineStr">
        <is>
          <t xml:space="preserve">Nº de orden</t>
        </is>
      </c>
      <c r="B1" s="18" t="s">
        <v>77</v>
      </c>
      <c r="C1" s="18" t="s">
        <v>78</v>
      </c>
      <c r="D1" s="18" t="s">
        <v>65</v>
      </c>
      <c r="E1" s="18" t="s">
        <v>97</v>
      </c>
      <c r="F1" s="18" t="s">
        <v>82</v>
      </c>
      <c r="G1" s="18" t="s">
        <v>98</v>
      </c>
      <c r="H1" s="18" t="s">
        <v>99</v>
      </c>
      <c r="I1" s="19" t="s">
        <v>100</v>
      </c>
      <c r="J1" s="19" t="s">
        <v>101</v>
      </c>
      <c r="K1" s="19" t="s">
        <v>102</v>
      </c>
      <c r="L1" s="19" t="inlineStr">
        <is>
          <t xml:space="preserve">_iAct</t>
        </is>
      </c>
    </row>
    <row r="2" spans="1:11" ht="18" customHeight="1" x14ac:dyDescent="0.2">
      <c r="A2" s="27" t="str">
        <f t="shared" ref="A2:A5" si="0">IF(D2&lt;&gt;"",ROW()-1,"")</f>
        <v/>
      </c>
      <c r="B2" s="63"/>
      <c r="C2" s="59"/>
      <c r="D2" s="60"/>
      <c r="E2" s="60"/>
      <c r="F2" s="59"/>
      <c r="G2" s="59"/>
      <c r="H2" s="60"/>
      <c r="I2" t="str">
        <f>IF(H2="Activo",COUNTIFS($D$2:D2,D2,$H$2:H2,"Activo"),"")</f>
        <v/>
      </c>
      <c r="J2" t="str">
        <f t="shared" ref="J2:J33" si="1">IF(I2&lt;&gt;"",D2&amp;"|"&amp;I2,"")</f>
        <v/>
      </c>
      <c r="K2" t="str">
        <f t="shared" ref="K2:K33" si="2">IF(J2&lt;&gt;"",IF(F2&lt;&gt;"",F2&amp;" ("&amp;G2&amp;")",G2),"")</f>
        <v/>
      </c>
      <c r="L2">
        <f>IF($H2="Activo",COUNTIF($L$1:L1,"&gt;0")+1,"")</f>
      </c>
    </row>
    <row r="3" spans="1:11" ht="18" customHeight="1" x14ac:dyDescent="0.2">
      <c r="A3" s="27" t="str">
        <f t="shared" si="0"/>
        <v/>
      </c>
      <c r="B3" s="66"/>
      <c r="C3" s="61"/>
      <c r="D3" s="62"/>
      <c r="E3" s="62"/>
      <c r="F3" s="61"/>
      <c r="G3" s="61"/>
      <c r="H3" s="62"/>
      <c r="I3" t="str">
        <f>IF(H3="Activo",COUNTIFS($D$2:D3,D3,$H$2:H3,"Activo"),"")</f>
        <v/>
      </c>
      <c r="J3" t="str">
        <f t="shared" si="1"/>
        <v/>
      </c>
      <c r="K3" t="str">
        <f t="shared" si="2"/>
        <v/>
      </c>
      <c r="L3">
        <f>IF($H3="Activo",COUNTIF($L$1:L2,"&gt;0")+1,"")</f>
      </c>
    </row>
    <row r="4" spans="1:11" ht="18" customHeight="1" x14ac:dyDescent="0.2">
      <c r="A4" s="27" t="str">
        <f t="shared" si="0"/>
        <v/>
      </c>
      <c r="B4" s="63"/>
      <c r="C4" s="64"/>
      <c r="D4" s="64"/>
      <c r="E4" s="60"/>
      <c r="F4" s="64"/>
      <c r="G4" s="64"/>
      <c r="H4" s="65"/>
      <c r="I4" t="str">
        <f>IF(H4="Activo",COUNTIFS($D$2:D4,D4,$H$2:H4,"Activo"),"")</f>
        <v/>
      </c>
      <c r="J4" t="str">
        <f t="shared" si="1"/>
        <v/>
      </c>
      <c r="K4" t="str">
        <f t="shared" si="2"/>
        <v/>
      </c>
      <c r="L4">
        <f>IF($H4="Activo",COUNTIF($L$1:L3,"&gt;0")+1,"")</f>
      </c>
    </row>
    <row r="5" spans="1:11" ht="18" customHeight="1" x14ac:dyDescent="0.2">
      <c r="A5" s="27" t="str">
        <f t="shared" si="0"/>
        <v/>
      </c>
      <c r="B5" s="66"/>
      <c r="C5" s="67"/>
      <c r="D5" s="67"/>
      <c r="E5" s="62"/>
      <c r="F5" s="67"/>
      <c r="G5" s="67"/>
      <c r="H5" s="68"/>
      <c r="I5" t="str">
        <f>IF(H5="Activo",COUNTIFS($D$2:D5,D5,$H$2:H5,"Activo"),"")</f>
        <v/>
      </c>
      <c r="J5" t="str">
        <f t="shared" si="1"/>
        <v/>
      </c>
      <c r="K5" t="str">
        <f t="shared" si="2"/>
        <v/>
      </c>
      <c r="L5">
        <f>IF($H5="Activo",COUNTIF($L$1:L4,"&gt;0")+1,"")</f>
      </c>
    </row>
    <row r="6" spans="1:11" ht="18" customHeight="1" x14ac:dyDescent="0.2">
      <c r="A6" s="27" t="str">
        <f t="shared" ref="A6:A33" si="3">IF(D6&lt;&gt;"",ROW()-1,"")</f>
        <v/>
      </c>
      <c r="B6" s="63"/>
      <c r="C6" s="60"/>
      <c r="D6" s="60"/>
      <c r="E6" s="60"/>
      <c r="F6" s="60"/>
      <c r="G6" s="60"/>
      <c r="H6" s="60"/>
      <c r="I6" t="str">
        <f>IF(H6="Activo",COUNTIFS($D$2:D6,D6,$H$2:H6,"Activo"),"")</f>
        <v/>
      </c>
      <c r="J6" t="str">
        <f t="shared" si="1"/>
        <v/>
      </c>
      <c r="K6" t="str">
        <f t="shared" si="2"/>
        <v/>
      </c>
      <c r="L6">
        <f>IF($H6="Activo",COUNTIF($L$1:L5,"&gt;0")+1,"")</f>
      </c>
    </row>
    <row r="7" spans="1:11" ht="18" customHeight="1" x14ac:dyDescent="0.2">
      <c r="A7" s="31" t="str">
        <f t="shared" si="3"/>
        <v/>
      </c>
      <c r="B7" s="66"/>
      <c r="C7" s="62"/>
      <c r="D7" s="62"/>
      <c r="E7" s="62"/>
      <c r="F7" s="62"/>
      <c r="G7" s="62"/>
      <c r="H7" s="62"/>
      <c r="I7" t="str">
        <f>IF(H7="Activo",COUNTIFS($D$2:D7,D7,$H$2:H7,"Activo"),"")</f>
        <v/>
      </c>
      <c r="J7" t="str">
        <f t="shared" si="1"/>
        <v/>
      </c>
      <c r="K7" t="str">
        <f t="shared" si="2"/>
        <v/>
      </c>
      <c r="L7">
        <f>IF($H7="Activo",COUNTIF($L$1:L6,"&gt;0")+1,"")</f>
      </c>
    </row>
    <row r="8" spans="1:11" ht="18" customHeight="1" x14ac:dyDescent="0.2">
      <c r="A8" s="27" t="str">
        <f t="shared" si="3"/>
        <v/>
      </c>
      <c r="B8" s="63"/>
      <c r="C8" s="60"/>
      <c r="D8" s="60"/>
      <c r="E8" s="60"/>
      <c r="F8" s="60"/>
      <c r="G8" s="60"/>
      <c r="H8" s="60"/>
      <c r="I8" t="str">
        <f>IF(H8="Activo",COUNTIFS($D$2:D8,D8,$H$2:H8,"Activo"),"")</f>
        <v/>
      </c>
      <c r="J8" t="str">
        <f t="shared" si="1"/>
        <v/>
      </c>
      <c r="K8" t="str">
        <f t="shared" si="2"/>
        <v/>
      </c>
      <c r="L8">
        <f>IF($H8="Activo",COUNTIF($L$1:L7,"&gt;0")+1,"")</f>
      </c>
    </row>
    <row r="9" spans="1:11" ht="18" customHeight="1" x14ac:dyDescent="0.2">
      <c r="A9" s="31" t="str">
        <f t="shared" si="3"/>
        <v/>
      </c>
      <c r="B9" s="66"/>
      <c r="C9" s="62"/>
      <c r="D9" s="62"/>
      <c r="E9" s="62"/>
      <c r="F9" s="62"/>
      <c r="G9" s="62"/>
      <c r="H9" s="62"/>
      <c r="I9" t="str">
        <f>IF(H9="Activo",COUNTIFS($D$2:D9,D9,$H$2:H9,"Activo"),"")</f>
        <v/>
      </c>
      <c r="J9" t="str">
        <f t="shared" si="1"/>
        <v/>
      </c>
      <c r="K9" t="str">
        <f t="shared" si="2"/>
        <v/>
      </c>
      <c r="L9">
        <f>IF($H9="Activo",COUNTIF($L$1:L8,"&gt;0")+1,"")</f>
      </c>
    </row>
    <row r="10" spans="1:11" ht="18" customHeight="1" x14ac:dyDescent="0.2">
      <c r="A10" s="27" t="str">
        <f t="shared" si="3"/>
        <v/>
      </c>
      <c r="B10" s="63"/>
      <c r="C10" s="60"/>
      <c r="D10" s="60"/>
      <c r="E10" s="60"/>
      <c r="F10" s="60"/>
      <c r="G10" s="60"/>
      <c r="H10" s="60"/>
      <c r="I10" t="str">
        <f>IF(H10="Activo",COUNTIFS($D$2:D10,D10,$H$2:H10,"Activo"),"")</f>
        <v/>
      </c>
      <c r="J10" t="str">
        <f t="shared" si="1"/>
        <v/>
      </c>
      <c r="K10" t="str">
        <f t="shared" si="2"/>
        <v/>
      </c>
      <c r="L10">
        <f>IF($H10="Activo",COUNTIF($L$1:L9,"&gt;0")+1,"")</f>
      </c>
    </row>
    <row r="11" spans="1:11" ht="18" customHeight="1" x14ac:dyDescent="0.2">
      <c r="A11" s="31" t="str">
        <f t="shared" si="3"/>
        <v/>
      </c>
      <c r="B11" s="66"/>
      <c r="C11" s="62"/>
      <c r="D11" s="62"/>
      <c r="E11" s="62"/>
      <c r="F11" s="62"/>
      <c r="G11" s="62"/>
      <c r="H11" s="62"/>
      <c r="I11" t="str">
        <f>IF(H11="Activo",COUNTIFS($D$2:D11,D11,$H$2:H11,"Activo"),"")</f>
        <v/>
      </c>
      <c r="J11" t="str">
        <f t="shared" si="1"/>
        <v/>
      </c>
      <c r="K11" t="str">
        <f t="shared" si="2"/>
        <v/>
      </c>
      <c r="L11">
        <f>IF($H11="Activo",COUNTIF($L$1:L10,"&gt;0")+1,"")</f>
      </c>
    </row>
    <row r="12" spans="1:11" ht="18" customHeight="1" x14ac:dyDescent="0.2">
      <c r="A12" s="27" t="str">
        <f t="shared" si="3"/>
        <v/>
      </c>
      <c r="B12" s="63"/>
      <c r="C12" s="60"/>
      <c r="D12" s="60"/>
      <c r="E12" s="60"/>
      <c r="F12" s="60"/>
      <c r="G12" s="60"/>
      <c r="H12" s="60"/>
      <c r="I12" t="str">
        <f>IF(H12="Activo",COUNTIFS($D$2:D12,D12,$H$2:H12,"Activo"),"")</f>
        <v/>
      </c>
      <c r="J12" t="str">
        <f t="shared" si="1"/>
        <v/>
      </c>
      <c r="K12" t="str">
        <f t="shared" si="2"/>
        <v/>
      </c>
      <c r="L12">
        <f>IF($H12="Activo",COUNTIF($L$1:L11,"&gt;0")+1,"")</f>
      </c>
    </row>
    <row r="13" spans="1:11" ht="18" customHeight="1" x14ac:dyDescent="0.2">
      <c r="A13" s="31" t="str">
        <f t="shared" si="3"/>
        <v/>
      </c>
      <c r="B13" s="66"/>
      <c r="C13" s="62"/>
      <c r="D13" s="62"/>
      <c r="E13" s="62"/>
      <c r="F13" s="62"/>
      <c r="G13" s="62"/>
      <c r="H13" s="62"/>
      <c r="I13" t="str">
        <f>IF(H13="Activo",COUNTIFS($D$2:D13,D13,$H$2:H13,"Activo"),"")</f>
        <v/>
      </c>
      <c r="J13" t="str">
        <f t="shared" si="1"/>
        <v/>
      </c>
      <c r="K13" t="str">
        <f t="shared" si="2"/>
        <v/>
      </c>
      <c r="L13">
        <f>IF($H13="Activo",COUNTIF($L$1:L12,"&gt;0")+1,"")</f>
      </c>
    </row>
    <row r="14" spans="1:11" ht="18" customHeight="1" x14ac:dyDescent="0.2">
      <c r="A14" s="27" t="str">
        <f t="shared" si="3"/>
        <v/>
      </c>
      <c r="B14" s="63"/>
      <c r="C14" s="60"/>
      <c r="D14" s="60"/>
      <c r="E14" s="60"/>
      <c r="F14" s="60"/>
      <c r="G14" s="60"/>
      <c r="H14" s="60"/>
      <c r="I14" t="str">
        <f>IF(H14="Activo",COUNTIFS($D$2:D14,D14,$H$2:H14,"Activo"),"")</f>
        <v/>
      </c>
      <c r="J14" t="str">
        <f t="shared" si="1"/>
        <v/>
      </c>
      <c r="K14" t="str">
        <f t="shared" si="2"/>
        <v/>
      </c>
      <c r="L14">
        <f>IF($H14="Activo",COUNTIF($L$1:L13,"&gt;0")+1,"")</f>
      </c>
    </row>
    <row r="15" spans="1:11" ht="18" customHeight="1" x14ac:dyDescent="0.2">
      <c r="A15" s="31" t="str">
        <f t="shared" si="3"/>
        <v/>
      </c>
      <c r="B15" s="66"/>
      <c r="C15" s="62"/>
      <c r="D15" s="62"/>
      <c r="E15" s="62"/>
      <c r="F15" s="62"/>
      <c r="G15" s="62"/>
      <c r="H15" s="62"/>
      <c r="I15" t="str">
        <f>IF(H15="Activo",COUNTIFS($D$2:D15,D15,$H$2:H15,"Activo"),"")</f>
        <v/>
      </c>
      <c r="J15" t="str">
        <f t="shared" si="1"/>
        <v/>
      </c>
      <c r="K15" t="str">
        <f t="shared" si="2"/>
        <v/>
      </c>
      <c r="L15">
        <f>IF($H15="Activo",COUNTIF($L$1:L14,"&gt;0")+1,"")</f>
      </c>
    </row>
    <row r="16" spans="1:11" ht="18" customHeight="1" x14ac:dyDescent="0.2">
      <c r="A16" s="27" t="str">
        <f t="shared" si="3"/>
        <v/>
      </c>
      <c r="B16" s="63"/>
      <c r="C16" s="60"/>
      <c r="D16" s="60"/>
      <c r="E16" s="60"/>
      <c r="F16" s="60"/>
      <c r="G16" s="60"/>
      <c r="H16" s="60"/>
      <c r="I16" t="str">
        <f>IF(H16="Activo",COUNTIFS($D$2:D16,D16,$H$2:H16,"Activo"),"")</f>
        <v/>
      </c>
      <c r="J16" t="str">
        <f t="shared" si="1"/>
        <v/>
      </c>
      <c r="K16" t="str">
        <f t="shared" si="2"/>
        <v/>
      </c>
      <c r="L16">
        <f>IF($H16="Activo",COUNTIF($L$1:L15,"&gt;0")+1,"")</f>
      </c>
    </row>
    <row r="17" spans="1:11" ht="18" customHeight="1" x14ac:dyDescent="0.2">
      <c r="A17" s="31" t="str">
        <f t="shared" si="3"/>
        <v/>
      </c>
      <c r="B17" s="66"/>
      <c r="C17" s="62"/>
      <c r="D17" s="62"/>
      <c r="E17" s="62"/>
      <c r="F17" s="62"/>
      <c r="G17" s="62"/>
      <c r="H17" s="62"/>
      <c r="I17" t="str">
        <f>IF(H17="Activo",COUNTIFS($D$2:D17,D17,$H$2:H17,"Activo"),"")</f>
        <v/>
      </c>
      <c r="J17" t="str">
        <f t="shared" si="1"/>
        <v/>
      </c>
      <c r="K17" t="str">
        <f t="shared" si="2"/>
        <v/>
      </c>
      <c r="L17">
        <f>IF($H17="Activo",COUNTIF($L$1:L16,"&gt;0")+1,"")</f>
      </c>
    </row>
    <row r="18" spans="1:11" ht="18" customHeight="1" x14ac:dyDescent="0.2">
      <c r="A18" s="27" t="str">
        <f t="shared" si="3"/>
        <v/>
      </c>
      <c r="B18" s="63"/>
      <c r="C18" s="60"/>
      <c r="D18" s="60"/>
      <c r="E18" s="60"/>
      <c r="F18" s="60"/>
      <c r="G18" s="60"/>
      <c r="H18" s="60"/>
      <c r="I18" t="str">
        <f>IF(H18="Activo",COUNTIFS($D$2:D18,D18,$H$2:H18,"Activo"),"")</f>
        <v/>
      </c>
      <c r="J18" t="str">
        <f t="shared" si="1"/>
        <v/>
      </c>
      <c r="K18" t="str">
        <f t="shared" si="2"/>
        <v/>
      </c>
      <c r="L18">
        <f>IF($H18="Activo",COUNTIF($L$1:L17,"&gt;0")+1,"")</f>
      </c>
    </row>
    <row r="19" spans="1:11" ht="18" customHeight="1" x14ac:dyDescent="0.2">
      <c r="A19" s="31" t="str">
        <f t="shared" si="3"/>
        <v/>
      </c>
      <c r="B19" s="66"/>
      <c r="C19" s="62"/>
      <c r="D19" s="62"/>
      <c r="E19" s="62"/>
      <c r="F19" s="62"/>
      <c r="G19" s="62"/>
      <c r="H19" s="62"/>
      <c r="I19" t="str">
        <f>IF(H19="Activo",COUNTIFS($D$2:D19,D19,$H$2:H19,"Activo"),"")</f>
        <v/>
      </c>
      <c r="J19" t="str">
        <f t="shared" si="1"/>
        <v/>
      </c>
      <c r="K19" t="str">
        <f t="shared" si="2"/>
        <v/>
      </c>
      <c r="L19">
        <f>IF($H19="Activo",COUNTIF($L$1:L18,"&gt;0")+1,"")</f>
      </c>
    </row>
    <row r="20" spans="1:11" ht="18" customHeight="1" x14ac:dyDescent="0.2">
      <c r="A20" s="27" t="str">
        <f t="shared" si="3"/>
        <v/>
      </c>
      <c r="B20" s="63"/>
      <c r="C20" s="60"/>
      <c r="D20" s="60"/>
      <c r="E20" s="60"/>
      <c r="F20" s="60"/>
      <c r="G20" s="60"/>
      <c r="H20" s="60"/>
      <c r="I20" t="str">
        <f>IF(H20="Activo",COUNTIFS($D$2:D20,D20,$H$2:H20,"Activo"),"")</f>
        <v/>
      </c>
      <c r="J20" t="str">
        <f t="shared" si="1"/>
        <v/>
      </c>
      <c r="K20" t="str">
        <f t="shared" si="2"/>
        <v/>
      </c>
      <c r="L20">
        <f>IF($H20="Activo",COUNTIF($L$1:L19,"&gt;0")+1,"")</f>
      </c>
    </row>
    <row r="21" spans="1:11" ht="18" customHeight="1" x14ac:dyDescent="0.2">
      <c r="A21" s="31" t="str">
        <f t="shared" si="3"/>
        <v/>
      </c>
      <c r="B21" s="66"/>
      <c r="C21" s="62"/>
      <c r="D21" s="62"/>
      <c r="E21" s="62"/>
      <c r="F21" s="62"/>
      <c r="G21" s="62"/>
      <c r="H21" s="62"/>
      <c r="I21" t="str">
        <f>IF(H21="Activo",COUNTIFS($D$2:D21,D21,$H$2:H21,"Activo"),"")</f>
        <v/>
      </c>
      <c r="J21" t="str">
        <f t="shared" si="1"/>
        <v/>
      </c>
      <c r="K21" t="str">
        <f t="shared" si="2"/>
        <v/>
      </c>
      <c r="L21">
        <f>IF($H21="Activo",COUNTIF($L$1:L20,"&gt;0")+1,"")</f>
      </c>
    </row>
    <row r="22" spans="1:11" ht="18" customHeight="1" x14ac:dyDescent="0.2">
      <c r="A22" s="27" t="str">
        <f t="shared" si="3"/>
        <v/>
      </c>
      <c r="B22" s="63"/>
      <c r="C22" s="60"/>
      <c r="D22" s="60"/>
      <c r="E22" s="60"/>
      <c r="F22" s="60"/>
      <c r="G22" s="60"/>
      <c r="H22" s="60"/>
      <c r="I22" t="str">
        <f>IF(H22="Activo",COUNTIFS($D$2:D22,D22,$H$2:H22,"Activo"),"")</f>
        <v/>
      </c>
      <c r="J22" t="str">
        <f t="shared" si="1"/>
        <v/>
      </c>
      <c r="K22" t="str">
        <f t="shared" si="2"/>
        <v/>
      </c>
      <c r="L22">
        <f>IF($H22="Activo",COUNTIF($L$1:L21,"&gt;0")+1,"")</f>
      </c>
    </row>
    <row r="23" spans="1:11" ht="18" customHeight="1" x14ac:dyDescent="0.2">
      <c r="A23" s="31" t="str">
        <f t="shared" si="3"/>
        <v/>
      </c>
      <c r="B23" s="66"/>
      <c r="C23" s="62"/>
      <c r="D23" s="62"/>
      <c r="E23" s="62"/>
      <c r="F23" s="62"/>
      <c r="G23" s="62"/>
      <c r="H23" s="62"/>
      <c r="I23" t="str">
        <f>IF(H23="Activo",COUNTIFS($D$2:D23,D23,$H$2:H23,"Activo"),"")</f>
        <v/>
      </c>
      <c r="J23" t="str">
        <f t="shared" si="1"/>
        <v/>
      </c>
      <c r="K23" t="str">
        <f t="shared" si="2"/>
        <v/>
      </c>
      <c r="L23">
        <f>IF($H23="Activo",COUNTIF($L$1:L22,"&gt;0")+1,"")</f>
      </c>
    </row>
    <row r="24" spans="1:11" ht="18" customHeight="1" x14ac:dyDescent="0.2">
      <c r="A24" s="27" t="str">
        <f t="shared" si="3"/>
        <v/>
      </c>
      <c r="B24" s="63"/>
      <c r="C24" s="60"/>
      <c r="D24" s="60"/>
      <c r="E24" s="60"/>
      <c r="F24" s="60"/>
      <c r="G24" s="60"/>
      <c r="H24" s="60"/>
      <c r="I24" t="str">
        <f>IF(H24="Activo",COUNTIFS($D$2:D24,D24,$H$2:H24,"Activo"),"")</f>
        <v/>
      </c>
      <c r="J24" t="str">
        <f t="shared" si="1"/>
        <v/>
      </c>
      <c r="K24" t="str">
        <f t="shared" si="2"/>
        <v/>
      </c>
      <c r="L24">
        <f>IF($H24="Activo",COUNTIF($L$1:L23,"&gt;0")+1,"")</f>
      </c>
    </row>
    <row r="25" spans="1:11" ht="18" customHeight="1" x14ac:dyDescent="0.2">
      <c r="A25" s="31" t="str">
        <f t="shared" si="3"/>
        <v/>
      </c>
      <c r="B25" s="66"/>
      <c r="C25" s="62"/>
      <c r="D25" s="62"/>
      <c r="E25" s="62"/>
      <c r="F25" s="62"/>
      <c r="G25" s="62"/>
      <c r="H25" s="62"/>
      <c r="I25" t="str">
        <f>IF(H25="Activo",COUNTIFS($D$2:D25,D25,$H$2:H25,"Activo"),"")</f>
        <v/>
      </c>
      <c r="J25" t="str">
        <f t="shared" si="1"/>
        <v/>
      </c>
      <c r="K25" t="str">
        <f t="shared" si="2"/>
        <v/>
      </c>
      <c r="L25">
        <f>IF($H25="Activo",COUNTIF($L$1:L24,"&gt;0")+1,"")</f>
      </c>
    </row>
    <row r="26" spans="1:11" ht="18" customHeight="1" x14ac:dyDescent="0.2">
      <c r="A26" s="27" t="str">
        <f t="shared" si="3"/>
        <v/>
      </c>
      <c r="B26" s="63"/>
      <c r="C26" s="60"/>
      <c r="D26" s="60"/>
      <c r="E26" s="60"/>
      <c r="F26" s="60"/>
      <c r="G26" s="60"/>
      <c r="H26" s="60"/>
      <c r="I26" t="str">
        <f>IF(H26="Activo",COUNTIFS($D$2:D26,D26,$H$2:H26,"Activo"),"")</f>
        <v/>
      </c>
      <c r="J26" t="str">
        <f t="shared" si="1"/>
        <v/>
      </c>
      <c r="K26" t="str">
        <f t="shared" si="2"/>
        <v/>
      </c>
      <c r="L26">
        <f>IF($H26="Activo",COUNTIF($L$1:L25,"&gt;0")+1,"")</f>
      </c>
    </row>
    <row r="27" spans="1:11" ht="18" customHeight="1" x14ac:dyDescent="0.2">
      <c r="A27" s="31" t="str">
        <f t="shared" si="3"/>
        <v/>
      </c>
      <c r="B27" s="66"/>
      <c r="C27" s="62"/>
      <c r="D27" s="62"/>
      <c r="E27" s="62"/>
      <c r="F27" s="62"/>
      <c r="G27" s="62"/>
      <c r="H27" s="62"/>
      <c r="I27" t="str">
        <f>IF(H27="Activo",COUNTIFS($D$2:D27,D27,$H$2:H27,"Activo"),"")</f>
        <v/>
      </c>
      <c r="J27" t="str">
        <f t="shared" si="1"/>
        <v/>
      </c>
      <c r="K27" t="str">
        <f t="shared" si="2"/>
        <v/>
      </c>
      <c r="L27">
        <f>IF($H27="Activo",COUNTIF($L$1:L26,"&gt;0")+1,"")</f>
      </c>
    </row>
    <row r="28" spans="1:11" ht="18" customHeight="1" x14ac:dyDescent="0.2">
      <c r="A28" s="27" t="str">
        <f t="shared" si="3"/>
        <v/>
      </c>
      <c r="B28" s="63"/>
      <c r="C28" s="60"/>
      <c r="D28" s="60"/>
      <c r="E28" s="60"/>
      <c r="F28" s="60"/>
      <c r="G28" s="60"/>
      <c r="H28" s="60"/>
      <c r="I28" t="str">
        <f>IF(H28="Activo",COUNTIFS($D$2:D28,D28,$H$2:H28,"Activo"),"")</f>
        <v/>
      </c>
      <c r="J28" t="str">
        <f t="shared" si="1"/>
        <v/>
      </c>
      <c r="K28" t="str">
        <f t="shared" si="2"/>
        <v/>
      </c>
      <c r="L28">
        <f>IF($H28="Activo",COUNTIF($L$1:L27,"&gt;0")+1,"")</f>
      </c>
    </row>
    <row r="29" spans="1:11" ht="18" customHeight="1" x14ac:dyDescent="0.2">
      <c r="A29" s="31" t="str">
        <f t="shared" si="3"/>
        <v/>
      </c>
      <c r="B29" s="66"/>
      <c r="C29" s="62"/>
      <c r="D29" s="62"/>
      <c r="E29" s="62"/>
      <c r="F29" s="62"/>
      <c r="G29" s="62"/>
      <c r="H29" s="62"/>
      <c r="I29" t="str">
        <f>IF(H29="Activo",COUNTIFS($D$2:D29,D29,$H$2:H29,"Activo"),"")</f>
        <v/>
      </c>
      <c r="J29" t="str">
        <f t="shared" si="1"/>
        <v/>
      </c>
      <c r="K29" t="str">
        <f t="shared" si="2"/>
        <v/>
      </c>
      <c r="L29">
        <f>IF($H29="Activo",COUNTIF($L$1:L28,"&gt;0")+1,"")</f>
      </c>
    </row>
    <row r="30" spans="1:11" ht="18" customHeight="1" x14ac:dyDescent="0.2">
      <c r="A30" s="27" t="str">
        <f t="shared" si="3"/>
        <v/>
      </c>
      <c r="B30" s="63"/>
      <c r="C30" s="60"/>
      <c r="D30" s="60"/>
      <c r="E30" s="60"/>
      <c r="F30" s="60"/>
      <c r="G30" s="60"/>
      <c r="H30" s="60"/>
      <c r="I30" t="str">
        <f>IF(H30="Activo",COUNTIFS($D$2:D30,D30,$H$2:H30,"Activo"),"")</f>
        <v/>
      </c>
      <c r="J30" t="str">
        <f t="shared" si="1"/>
        <v/>
      </c>
      <c r="K30" t="str">
        <f t="shared" si="2"/>
        <v/>
      </c>
      <c r="L30">
        <f>IF($H30="Activo",COUNTIF($L$1:L29,"&gt;0")+1,"")</f>
      </c>
    </row>
    <row r="31" spans="1:11" ht="18" customHeight="1" x14ac:dyDescent="0.2">
      <c r="A31" s="31" t="str">
        <f t="shared" si="3"/>
        <v/>
      </c>
      <c r="B31" s="66"/>
      <c r="C31" s="62"/>
      <c r="D31" s="62"/>
      <c r="E31" s="62"/>
      <c r="F31" s="62"/>
      <c r="G31" s="62"/>
      <c r="H31" s="62"/>
      <c r="I31" t="str">
        <f>IF(H31="Activo",COUNTIFS($D$2:D31,D31,$H$2:H31,"Activo"),"")</f>
        <v/>
      </c>
      <c r="J31" t="str">
        <f t="shared" si="1"/>
        <v/>
      </c>
      <c r="K31" t="str">
        <f t="shared" si="2"/>
        <v/>
      </c>
      <c r="L31">
        <f>IF($H31="Activo",COUNTIF($L$1:L30,"&gt;0")+1,"")</f>
      </c>
    </row>
    <row r="32" spans="1:11" ht="18" customHeight="1" x14ac:dyDescent="0.2">
      <c r="A32" s="27" t="str">
        <f t="shared" si="3"/>
        <v/>
      </c>
      <c r="B32" s="63"/>
      <c r="C32" s="60"/>
      <c r="D32" s="60"/>
      <c r="E32" s="60"/>
      <c r="F32" s="60"/>
      <c r="G32" s="60"/>
      <c r="H32" s="60"/>
      <c r="I32" t="str">
        <f>IF(H32="Activo",COUNTIFS($D$2:D32,D32,$H$2:H32,"Activo"),"")</f>
        <v/>
      </c>
      <c r="J32" t="str">
        <f t="shared" si="1"/>
        <v/>
      </c>
      <c r="K32" t="str">
        <f t="shared" si="2"/>
        <v/>
      </c>
      <c r="L32">
        <f>IF($H32="Activo",COUNTIF($L$1:L31,"&gt;0")+1,"")</f>
      </c>
    </row>
    <row r="33" spans="1:11" ht="18" customHeight="1" x14ac:dyDescent="0.2">
      <c r="A33" s="31" t="str">
        <f t="shared" si="3"/>
        <v/>
      </c>
      <c r="B33" s="66"/>
      <c r="C33" s="62"/>
      <c r="D33" s="62"/>
      <c r="E33" s="62"/>
      <c r="F33" s="62"/>
      <c r="G33" s="62"/>
      <c r="H33" s="62"/>
      <c r="I33" t="str">
        <f>IF(H33="Activo",COUNTIFS($D$2:D33,D33,$H$2:H33,"Activo"),"")</f>
        <v/>
      </c>
      <c r="J33" t="str">
        <f t="shared" si="1"/>
        <v/>
      </c>
      <c r="K33" t="str">
        <f t="shared" si="2"/>
        <v/>
      </c>
      <c r="L33">
        <f>IF($H33="Activo",COUNTIF($L$1:L32,"&gt;0")+1,"")</f>
      </c>
    </row>
    <row r="34" spans="1:11" ht="18" customHeight="1" x14ac:dyDescent="0.2">
      <c r="A34" s="27" t="str">
        <f t="shared" ref="A34:A65" si="4">IF(D34&lt;&gt;"",ROW()-1,"")</f>
        <v/>
      </c>
      <c r="B34" s="63"/>
      <c r="C34" s="60"/>
      <c r="D34" s="60"/>
      <c r="E34" s="60"/>
      <c r="F34" s="60"/>
      <c r="G34" s="60"/>
      <c r="H34" s="60"/>
      <c r="I34" t="str">
        <f>IF(H34="Activo",COUNTIFS($D$2:D34,D34,$H$2:H34,"Activo"),"")</f>
        <v/>
      </c>
      <c r="J34" t="str">
        <f t="shared" ref="J34:J65" si="5">IF(I34&lt;&gt;"",D34&amp;"|"&amp;I34,"")</f>
        <v/>
      </c>
      <c r="K34" t="str">
        <f t="shared" ref="K34:K65" si="6">IF(J34&lt;&gt;"",IF(F34&lt;&gt;"",F34&amp;" ("&amp;G34&amp;")",G34),"")</f>
        <v/>
      </c>
      <c r="L34">
        <f>IF($H34="Activo",COUNTIF($L$1:L33,"&gt;0")+1,"")</f>
      </c>
    </row>
    <row r="35" spans="1:11" ht="18" customHeight="1" x14ac:dyDescent="0.2">
      <c r="A35" s="31" t="str">
        <f t="shared" si="4"/>
        <v/>
      </c>
      <c r="B35" s="66"/>
      <c r="C35" s="62"/>
      <c r="D35" s="62"/>
      <c r="E35" s="62"/>
      <c r="F35" s="62"/>
      <c r="G35" s="62"/>
      <c r="H35" s="62"/>
      <c r="I35" t="str">
        <f>IF(H35="Activo",COUNTIFS($D$2:D35,D35,$H$2:H35,"Activo"),"")</f>
        <v/>
      </c>
      <c r="J35" t="str">
        <f t="shared" si="5"/>
        <v/>
      </c>
      <c r="K35" t="str">
        <f t="shared" si="6"/>
        <v/>
      </c>
      <c r="L35">
        <f>IF($H35="Activo",COUNTIF($L$1:L34,"&gt;0")+1,"")</f>
      </c>
    </row>
    <row r="36" spans="1:11" ht="18" customHeight="1" x14ac:dyDescent="0.2">
      <c r="A36" s="27" t="str">
        <f t="shared" si="4"/>
        <v/>
      </c>
      <c r="B36" s="63"/>
      <c r="C36" s="60"/>
      <c r="D36" s="60"/>
      <c r="E36" s="60"/>
      <c r="F36" s="60"/>
      <c r="G36" s="60"/>
      <c r="H36" s="60"/>
      <c r="I36" t="str">
        <f>IF(H36="Activo",COUNTIFS($D$2:D36,D36,$H$2:H36,"Activo"),"")</f>
        <v/>
      </c>
      <c r="J36" t="str">
        <f t="shared" si="5"/>
        <v/>
      </c>
      <c r="K36" t="str">
        <f t="shared" si="6"/>
        <v/>
      </c>
      <c r="L36">
        <f>IF($H36="Activo",COUNTIF($L$1:L35,"&gt;0")+1,"")</f>
      </c>
    </row>
    <row r="37" spans="1:11" ht="18" customHeight="1" x14ac:dyDescent="0.2">
      <c r="A37" s="31" t="str">
        <f t="shared" si="4"/>
        <v/>
      </c>
      <c r="B37" s="66"/>
      <c r="C37" s="62"/>
      <c r="D37" s="62"/>
      <c r="E37" s="62"/>
      <c r="F37" s="62"/>
      <c r="G37" s="62"/>
      <c r="H37" s="62"/>
      <c r="I37" t="str">
        <f>IF(H37="Activo",COUNTIFS($D$2:D37,D37,$H$2:H37,"Activo"),"")</f>
        <v/>
      </c>
      <c r="J37" t="str">
        <f t="shared" si="5"/>
        <v/>
      </c>
      <c r="K37" t="str">
        <f t="shared" si="6"/>
        <v/>
      </c>
      <c r="L37">
        <f>IF($H37="Activo",COUNTIF($L$1:L36,"&gt;0")+1,"")</f>
      </c>
    </row>
    <row r="38" spans="1:11" ht="18" customHeight="1" x14ac:dyDescent="0.2">
      <c r="A38" s="27" t="str">
        <f t="shared" si="4"/>
        <v/>
      </c>
      <c r="B38" s="63"/>
      <c r="C38" s="60"/>
      <c r="D38" s="60"/>
      <c r="E38" s="60"/>
      <c r="F38" s="60"/>
      <c r="G38" s="60"/>
      <c r="H38" s="60"/>
      <c r="I38" t="str">
        <f>IF(H38="Activo",COUNTIFS($D$2:D38,D38,$H$2:H38,"Activo"),"")</f>
        <v/>
      </c>
      <c r="J38" t="str">
        <f t="shared" si="5"/>
        <v/>
      </c>
      <c r="K38" t="str">
        <f t="shared" si="6"/>
        <v/>
      </c>
      <c r="L38">
        <f>IF($H38="Activo",COUNTIF($L$1:L37,"&gt;0")+1,"")</f>
      </c>
    </row>
    <row r="39" spans="1:11" ht="18" customHeight="1" x14ac:dyDescent="0.2">
      <c r="A39" s="31" t="str">
        <f t="shared" si="4"/>
        <v/>
      </c>
      <c r="B39" s="66"/>
      <c r="C39" s="62"/>
      <c r="D39" s="62"/>
      <c r="E39" s="62"/>
      <c r="F39" s="62"/>
      <c r="G39" s="62"/>
      <c r="H39" s="62"/>
      <c r="I39" t="str">
        <f>IF(H39="Activo",COUNTIFS($D$2:D39,D39,$H$2:H39,"Activo"),"")</f>
        <v/>
      </c>
      <c r="J39" t="str">
        <f t="shared" si="5"/>
        <v/>
      </c>
      <c r="K39" t="str">
        <f t="shared" si="6"/>
        <v/>
      </c>
      <c r="L39">
        <f>IF($H39="Activo",COUNTIF($L$1:L38,"&gt;0")+1,"")</f>
      </c>
    </row>
    <row r="40" spans="1:11" ht="18" customHeight="1" x14ac:dyDescent="0.2">
      <c r="A40" s="27" t="str">
        <f t="shared" si="4"/>
        <v/>
      </c>
      <c r="B40" s="63"/>
      <c r="C40" s="60"/>
      <c r="D40" s="60"/>
      <c r="E40" s="60"/>
      <c r="F40" s="60"/>
      <c r="G40" s="60"/>
      <c r="H40" s="60"/>
      <c r="I40" t="str">
        <f>IF(H40="Activo",COUNTIFS($D$2:D40,D40,$H$2:H40,"Activo"),"")</f>
        <v/>
      </c>
      <c r="J40" t="str">
        <f t="shared" si="5"/>
        <v/>
      </c>
      <c r="K40" t="str">
        <f t="shared" si="6"/>
        <v/>
      </c>
      <c r="L40">
        <f>IF($H40="Activo",COUNTIF($L$1:L39,"&gt;0")+1,"")</f>
      </c>
    </row>
    <row r="41" spans="1:11" ht="18" customHeight="1" x14ac:dyDescent="0.2">
      <c r="A41" s="31" t="str">
        <f t="shared" si="4"/>
        <v/>
      </c>
      <c r="B41" s="66"/>
      <c r="C41" s="62"/>
      <c r="D41" s="62"/>
      <c r="E41" s="62"/>
      <c r="F41" s="62"/>
      <c r="G41" s="62"/>
      <c r="H41" s="62"/>
      <c r="I41" t="str">
        <f>IF(H41="Activo",COUNTIFS($D$2:D41,D41,$H$2:H41,"Activo"),"")</f>
        <v/>
      </c>
      <c r="J41" t="str">
        <f t="shared" si="5"/>
        <v/>
      </c>
      <c r="K41" t="str">
        <f t="shared" si="6"/>
        <v/>
      </c>
      <c r="L41">
        <f>IF($H41="Activo",COUNTIF($L$1:L40,"&gt;0")+1,"")</f>
      </c>
    </row>
    <row r="42" spans="1:11" ht="18" customHeight="1" x14ac:dyDescent="0.2">
      <c r="A42" s="27" t="str">
        <f t="shared" si="4"/>
        <v/>
      </c>
      <c r="B42" s="63"/>
      <c r="C42" s="60"/>
      <c r="D42" s="60"/>
      <c r="E42" s="60"/>
      <c r="F42" s="60"/>
      <c r="G42" s="60"/>
      <c r="H42" s="60"/>
      <c r="I42" t="str">
        <f>IF(H42="Activo",COUNTIFS($D$2:D42,D42,$H$2:H42,"Activo"),"")</f>
        <v/>
      </c>
      <c r="J42" t="str">
        <f t="shared" si="5"/>
        <v/>
      </c>
      <c r="K42" t="str">
        <f t="shared" si="6"/>
        <v/>
      </c>
      <c r="L42">
        <f>IF($H42="Activo",COUNTIF($L$1:L41,"&gt;0")+1,"")</f>
      </c>
    </row>
    <row r="43" spans="1:11" ht="18" customHeight="1" x14ac:dyDescent="0.2">
      <c r="A43" s="31" t="str">
        <f t="shared" si="4"/>
        <v/>
      </c>
      <c r="B43" s="66"/>
      <c r="C43" s="62"/>
      <c r="D43" s="62"/>
      <c r="E43" s="62"/>
      <c r="F43" s="62"/>
      <c r="G43" s="62"/>
      <c r="H43" s="62"/>
      <c r="I43" t="str">
        <f>IF(H43="Activo",COUNTIFS($D$2:D43,D43,$H$2:H43,"Activo"),"")</f>
        <v/>
      </c>
      <c r="J43" t="str">
        <f t="shared" si="5"/>
        <v/>
      </c>
      <c r="K43" t="str">
        <f t="shared" si="6"/>
        <v/>
      </c>
      <c r="L43">
        <f>IF($H43="Activo",COUNTIF($L$1:L42,"&gt;0")+1,"")</f>
      </c>
    </row>
    <row r="44" spans="1:11" ht="18" customHeight="1" x14ac:dyDescent="0.2">
      <c r="A44" s="27" t="str">
        <f t="shared" si="4"/>
        <v/>
      </c>
      <c r="B44" s="63"/>
      <c r="C44" s="60"/>
      <c r="D44" s="60"/>
      <c r="E44" s="60"/>
      <c r="F44" s="60"/>
      <c r="G44" s="60"/>
      <c r="H44" s="60"/>
      <c r="I44" t="str">
        <f>IF(H44="Activo",COUNTIFS($D$2:D44,D44,$H$2:H44,"Activo"),"")</f>
        <v/>
      </c>
      <c r="J44" t="str">
        <f t="shared" si="5"/>
        <v/>
      </c>
      <c r="K44" t="str">
        <f t="shared" si="6"/>
        <v/>
      </c>
      <c r="L44">
        <f>IF($H44="Activo",COUNTIF($L$1:L43,"&gt;0")+1,"")</f>
      </c>
    </row>
    <row r="45" spans="1:11" ht="18" customHeight="1" x14ac:dyDescent="0.2">
      <c r="A45" s="31" t="str">
        <f t="shared" si="4"/>
        <v/>
      </c>
      <c r="B45" s="66"/>
      <c r="C45" s="62"/>
      <c r="D45" s="62"/>
      <c r="E45" s="62"/>
      <c r="F45" s="62"/>
      <c r="G45" s="62"/>
      <c r="H45" s="62"/>
      <c r="I45" t="str">
        <f>IF(H45="Activo",COUNTIFS($D$2:D45,D45,$H$2:H45,"Activo"),"")</f>
        <v/>
      </c>
      <c r="J45" t="str">
        <f t="shared" si="5"/>
        <v/>
      </c>
      <c r="K45" t="str">
        <f t="shared" si="6"/>
        <v/>
      </c>
      <c r="L45">
        <f>IF($H45="Activo",COUNTIF($L$1:L44,"&gt;0")+1,"")</f>
      </c>
    </row>
    <row r="46" spans="1:11" ht="18" customHeight="1" x14ac:dyDescent="0.2">
      <c r="A46" s="27" t="str">
        <f t="shared" si="4"/>
        <v/>
      </c>
      <c r="B46" s="63"/>
      <c r="C46" s="60"/>
      <c r="D46" s="60"/>
      <c r="E46" s="60"/>
      <c r="F46" s="60"/>
      <c r="G46" s="60"/>
      <c r="H46" s="60"/>
      <c r="I46" t="str">
        <f>IF(H46="Activo",COUNTIFS($D$2:D46,D46,$H$2:H46,"Activo"),"")</f>
        <v/>
      </c>
      <c r="J46" t="str">
        <f t="shared" si="5"/>
        <v/>
      </c>
      <c r="K46" t="str">
        <f t="shared" si="6"/>
        <v/>
      </c>
      <c r="L46">
        <f>IF($H46="Activo",COUNTIF($L$1:L45,"&gt;0")+1,"")</f>
      </c>
    </row>
    <row r="47" spans="1:11" ht="18" customHeight="1" x14ac:dyDescent="0.2">
      <c r="A47" s="31" t="str">
        <f t="shared" si="4"/>
        <v/>
      </c>
      <c r="B47" s="66"/>
      <c r="C47" s="62"/>
      <c r="D47" s="62"/>
      <c r="E47" s="62"/>
      <c r="F47" s="62"/>
      <c r="G47" s="62"/>
      <c r="H47" s="62"/>
      <c r="I47" t="str">
        <f>IF(H47="Activo",COUNTIFS($D$2:D47,D47,$H$2:H47,"Activo"),"")</f>
        <v/>
      </c>
      <c r="J47" t="str">
        <f t="shared" si="5"/>
        <v/>
      </c>
      <c r="K47" t="str">
        <f t="shared" si="6"/>
        <v/>
      </c>
      <c r="L47">
        <f>IF($H47="Activo",COUNTIF($L$1:L46,"&gt;0")+1,"")</f>
      </c>
    </row>
    <row r="48" spans="1:11" ht="18" customHeight="1" x14ac:dyDescent="0.2">
      <c r="A48" s="27" t="str">
        <f t="shared" si="4"/>
        <v/>
      </c>
      <c r="B48" s="63"/>
      <c r="C48" s="60"/>
      <c r="D48" s="60"/>
      <c r="E48" s="60"/>
      <c r="F48" s="60"/>
      <c r="G48" s="60"/>
      <c r="H48" s="60"/>
      <c r="I48" t="str">
        <f>IF(H48="Activo",COUNTIFS($D$2:D48,D48,$H$2:H48,"Activo"),"")</f>
        <v/>
      </c>
      <c r="J48" t="str">
        <f t="shared" si="5"/>
        <v/>
      </c>
      <c r="K48" t="str">
        <f t="shared" si="6"/>
        <v/>
      </c>
      <c r="L48">
        <f>IF($H48="Activo",COUNTIF($L$1:L47,"&gt;0")+1,"")</f>
      </c>
    </row>
    <row r="49" spans="1:11" ht="18" customHeight="1" x14ac:dyDescent="0.2">
      <c r="A49" s="31" t="str">
        <f t="shared" si="4"/>
        <v/>
      </c>
      <c r="B49" s="66"/>
      <c r="C49" s="62"/>
      <c r="D49" s="62"/>
      <c r="E49" s="62"/>
      <c r="F49" s="62"/>
      <c r="G49" s="62"/>
      <c r="H49" s="62"/>
      <c r="I49" t="str">
        <f>IF(H49="Activo",COUNTIFS($D$2:D49,D49,$H$2:H49,"Activo"),"")</f>
        <v/>
      </c>
      <c r="J49" t="str">
        <f t="shared" si="5"/>
        <v/>
      </c>
      <c r="K49" t="str">
        <f t="shared" si="6"/>
        <v/>
      </c>
      <c r="L49">
        <f>IF($H49="Activo",COUNTIF($L$1:L48,"&gt;0")+1,"")</f>
      </c>
    </row>
    <row r="50" spans="1:11" ht="18" customHeight="1" x14ac:dyDescent="0.2">
      <c r="A50" s="27" t="str">
        <f t="shared" si="4"/>
        <v/>
      </c>
      <c r="B50" s="63"/>
      <c r="C50" s="60"/>
      <c r="D50" s="60"/>
      <c r="E50" s="60"/>
      <c r="F50" s="60"/>
      <c r="G50" s="60"/>
      <c r="H50" s="60"/>
      <c r="I50" t="str">
        <f>IF(H50="Activo",COUNTIFS($D$2:D50,D50,$H$2:H50,"Activo"),"")</f>
        <v/>
      </c>
      <c r="J50" t="str">
        <f t="shared" si="5"/>
        <v/>
      </c>
      <c r="K50" t="str">
        <f t="shared" si="6"/>
        <v/>
      </c>
      <c r="L50">
        <f>IF($H50="Activo",COUNTIF($L$1:L49,"&gt;0")+1,"")</f>
      </c>
    </row>
    <row r="51" spans="1:11" ht="18" customHeight="1" x14ac:dyDescent="0.2">
      <c r="A51" s="31" t="str">
        <f t="shared" si="4"/>
        <v/>
      </c>
      <c r="B51" s="66"/>
      <c r="C51" s="62"/>
      <c r="D51" s="62"/>
      <c r="E51" s="62"/>
      <c r="F51" s="62"/>
      <c r="G51" s="62"/>
      <c r="H51" s="62"/>
      <c r="I51" t="str">
        <f>IF(H51="Activo",COUNTIFS($D$2:D51,D51,$H$2:H51,"Activo"),"")</f>
        <v/>
      </c>
      <c r="J51" t="str">
        <f t="shared" si="5"/>
        <v/>
      </c>
      <c r="K51" t="str">
        <f t="shared" si="6"/>
        <v/>
      </c>
      <c r="L51">
        <f>IF($H51="Activo",COUNTIF($L$1:L50,"&gt;0")+1,"")</f>
      </c>
    </row>
    <row r="52" spans="1:11" ht="18" customHeight="1" x14ac:dyDescent="0.2">
      <c r="A52" s="27" t="str">
        <f t="shared" si="4"/>
        <v/>
      </c>
      <c r="B52" s="63"/>
      <c r="C52" s="60"/>
      <c r="D52" s="60"/>
      <c r="E52" s="60"/>
      <c r="F52" s="60"/>
      <c r="G52" s="60"/>
      <c r="H52" s="60"/>
      <c r="I52" t="str">
        <f>IF(H52="Activo",COUNTIFS($D$2:D52,D52,$H$2:H52,"Activo"),"")</f>
        <v/>
      </c>
      <c r="J52" t="str">
        <f t="shared" si="5"/>
        <v/>
      </c>
      <c r="K52" t="str">
        <f t="shared" si="6"/>
        <v/>
      </c>
      <c r="L52">
        <f>IF($H52="Activo",COUNTIF($L$1:L51,"&gt;0")+1,"")</f>
      </c>
    </row>
    <row r="53" spans="1:11" ht="18" customHeight="1" x14ac:dyDescent="0.2">
      <c r="A53" s="31" t="str">
        <f t="shared" si="4"/>
        <v/>
      </c>
      <c r="B53" s="66"/>
      <c r="C53" s="62"/>
      <c r="D53" s="62"/>
      <c r="E53" s="62"/>
      <c r="F53" s="62"/>
      <c r="G53" s="62"/>
      <c r="H53" s="62"/>
      <c r="I53" t="str">
        <f>IF(H53="Activo",COUNTIFS($D$2:D53,D53,$H$2:H53,"Activo"),"")</f>
        <v/>
      </c>
      <c r="J53" t="str">
        <f t="shared" si="5"/>
        <v/>
      </c>
      <c r="K53" t="str">
        <f t="shared" si="6"/>
        <v/>
      </c>
      <c r="L53">
        <f>IF($H53="Activo",COUNTIF($L$1:L52,"&gt;0")+1,"")</f>
      </c>
    </row>
    <row r="54" spans="1:11" ht="18" customHeight="1" x14ac:dyDescent="0.2">
      <c r="A54" s="27" t="str">
        <f t="shared" si="4"/>
        <v/>
      </c>
      <c r="B54" s="63"/>
      <c r="C54" s="60"/>
      <c r="D54" s="60"/>
      <c r="E54" s="60"/>
      <c r="F54" s="60"/>
      <c r="G54" s="60"/>
      <c r="H54" s="60"/>
      <c r="I54" t="str">
        <f>IF(H54="Activo",COUNTIFS($D$2:D54,D54,$H$2:H54,"Activo"),"")</f>
        <v/>
      </c>
      <c r="J54" t="str">
        <f t="shared" si="5"/>
        <v/>
      </c>
      <c r="K54" t="str">
        <f t="shared" si="6"/>
        <v/>
      </c>
      <c r="L54">
        <f>IF($H54="Activo",COUNTIF($L$1:L53,"&gt;0")+1,"")</f>
      </c>
    </row>
    <row r="55" spans="1:11" ht="18" customHeight="1" x14ac:dyDescent="0.2">
      <c r="A55" s="31" t="str">
        <f t="shared" si="4"/>
        <v/>
      </c>
      <c r="B55" s="66"/>
      <c r="C55" s="62"/>
      <c r="D55" s="62"/>
      <c r="E55" s="62"/>
      <c r="F55" s="62"/>
      <c r="G55" s="62"/>
      <c r="H55" s="62"/>
      <c r="I55" t="str">
        <f>IF(H55="Activo",COUNTIFS($D$2:D55,D55,$H$2:H55,"Activo"),"")</f>
        <v/>
      </c>
      <c r="J55" t="str">
        <f t="shared" si="5"/>
        <v/>
      </c>
      <c r="K55" t="str">
        <f t="shared" si="6"/>
        <v/>
      </c>
      <c r="L55">
        <f>IF($H55="Activo",COUNTIF($L$1:L54,"&gt;0")+1,"")</f>
      </c>
    </row>
    <row r="56" spans="1:11" ht="18" customHeight="1" x14ac:dyDescent="0.2">
      <c r="A56" s="27" t="str">
        <f t="shared" si="4"/>
        <v/>
      </c>
      <c r="B56" s="63"/>
      <c r="C56" s="60"/>
      <c r="D56" s="60"/>
      <c r="E56" s="60"/>
      <c r="F56" s="60"/>
      <c r="G56" s="60"/>
      <c r="H56" s="60"/>
      <c r="I56" t="str">
        <f>IF(H56="Activo",COUNTIFS($D$2:D56,D56,$H$2:H56,"Activo"),"")</f>
        <v/>
      </c>
      <c r="J56" t="str">
        <f t="shared" si="5"/>
        <v/>
      </c>
      <c r="K56" t="str">
        <f t="shared" si="6"/>
        <v/>
      </c>
      <c r="L56">
        <f>IF($H56="Activo",COUNTIF($L$1:L55,"&gt;0")+1,"")</f>
      </c>
    </row>
    <row r="57" spans="1:11" ht="18" customHeight="1" x14ac:dyDescent="0.2">
      <c r="A57" s="31" t="str">
        <f t="shared" si="4"/>
        <v/>
      </c>
      <c r="B57" s="66"/>
      <c r="C57" s="62"/>
      <c r="D57" s="62"/>
      <c r="E57" s="62"/>
      <c r="F57" s="62"/>
      <c r="G57" s="62"/>
      <c r="H57" s="62"/>
      <c r="I57" t="str">
        <f>IF(H57="Activo",COUNTIFS($D$2:D57,D57,$H$2:H57,"Activo"),"")</f>
        <v/>
      </c>
      <c r="J57" t="str">
        <f t="shared" si="5"/>
        <v/>
      </c>
      <c r="K57" t="str">
        <f t="shared" si="6"/>
        <v/>
      </c>
      <c r="L57">
        <f>IF($H57="Activo",COUNTIF($L$1:L56,"&gt;0")+1,"")</f>
      </c>
    </row>
    <row r="58" spans="1:11" ht="18" customHeight="1" x14ac:dyDescent="0.2">
      <c r="A58" s="27" t="str">
        <f t="shared" si="4"/>
        <v/>
      </c>
      <c r="B58" s="63"/>
      <c r="C58" s="60"/>
      <c r="D58" s="60"/>
      <c r="E58" s="60"/>
      <c r="F58" s="60"/>
      <c r="G58" s="60"/>
      <c r="H58" s="60"/>
      <c r="I58" t="str">
        <f>IF(H58="Activo",COUNTIFS($D$2:D58,D58,$H$2:H58,"Activo"),"")</f>
        <v/>
      </c>
      <c r="J58" t="str">
        <f t="shared" si="5"/>
        <v/>
      </c>
      <c r="K58" t="str">
        <f t="shared" si="6"/>
        <v/>
      </c>
      <c r="L58">
        <f>IF($H58="Activo",COUNTIF($L$1:L57,"&gt;0")+1,"")</f>
      </c>
    </row>
    <row r="59" spans="1:11" ht="18" customHeight="1" x14ac:dyDescent="0.2">
      <c r="A59" s="31" t="str">
        <f t="shared" si="4"/>
        <v/>
      </c>
      <c r="B59" s="66"/>
      <c r="C59" s="62"/>
      <c r="D59" s="62"/>
      <c r="E59" s="62"/>
      <c r="F59" s="62"/>
      <c r="G59" s="62"/>
      <c r="H59" s="62"/>
      <c r="I59" t="str">
        <f>IF(H59="Activo",COUNTIFS($D$2:D59,D59,$H$2:H59,"Activo"),"")</f>
        <v/>
      </c>
      <c r="J59" t="str">
        <f t="shared" si="5"/>
        <v/>
      </c>
      <c r="K59" t="str">
        <f t="shared" si="6"/>
        <v/>
      </c>
      <c r="L59">
        <f>IF($H59="Activo",COUNTIF($L$1:L58,"&gt;0")+1,"")</f>
      </c>
    </row>
    <row r="60" spans="1:11" ht="18" customHeight="1" x14ac:dyDescent="0.2">
      <c r="A60" s="27" t="str">
        <f t="shared" si="4"/>
        <v/>
      </c>
      <c r="B60" s="63"/>
      <c r="C60" s="60"/>
      <c r="D60" s="60"/>
      <c r="E60" s="60"/>
      <c r="F60" s="60"/>
      <c r="G60" s="60"/>
      <c r="H60" s="60"/>
      <c r="I60" t="str">
        <f>IF(H60="Activo",COUNTIFS($D$2:D60,D60,$H$2:H60,"Activo"),"")</f>
        <v/>
      </c>
      <c r="J60" t="str">
        <f t="shared" si="5"/>
        <v/>
      </c>
      <c r="K60" t="str">
        <f t="shared" si="6"/>
        <v/>
      </c>
      <c r="L60">
        <f>IF($H60="Activo",COUNTIF($L$1:L59,"&gt;0")+1,"")</f>
      </c>
    </row>
    <row r="61" spans="1:11" ht="18" customHeight="1" x14ac:dyDescent="0.2">
      <c r="A61" s="31" t="str">
        <f t="shared" si="4"/>
        <v/>
      </c>
      <c r="B61" s="66"/>
      <c r="C61" s="62"/>
      <c r="D61" s="62"/>
      <c r="E61" s="62"/>
      <c r="F61" s="62"/>
      <c r="G61" s="62"/>
      <c r="H61" s="62"/>
      <c r="I61" t="str">
        <f>IF(H61="Activo",COUNTIFS($D$2:D61,D61,$H$2:H61,"Activo"),"")</f>
        <v/>
      </c>
      <c r="J61" t="str">
        <f t="shared" si="5"/>
        <v/>
      </c>
      <c r="K61" t="str">
        <f t="shared" si="6"/>
        <v/>
      </c>
      <c r="L61">
        <f>IF($H61="Activo",COUNTIF($L$1:L60,"&gt;0")+1,"")</f>
      </c>
    </row>
    <row r="62" spans="1:11" ht="18" customHeight="1" x14ac:dyDescent="0.2">
      <c r="A62" s="27" t="str">
        <f t="shared" si="4"/>
        <v/>
      </c>
      <c r="B62" s="63"/>
      <c r="C62" s="60"/>
      <c r="D62" s="60"/>
      <c r="E62" s="60"/>
      <c r="F62" s="60"/>
      <c r="G62" s="60"/>
      <c r="H62" s="60"/>
      <c r="I62" t="str">
        <f>IF(H62="Activo",COUNTIFS($D$2:D62,D62,$H$2:H62,"Activo"),"")</f>
        <v/>
      </c>
      <c r="J62" t="str">
        <f t="shared" si="5"/>
        <v/>
      </c>
      <c r="K62" t="str">
        <f t="shared" si="6"/>
        <v/>
      </c>
      <c r="L62">
        <f>IF($H62="Activo",COUNTIF($L$1:L61,"&gt;0")+1,"")</f>
      </c>
    </row>
    <row r="63" spans="1:11" ht="18" customHeight="1" x14ac:dyDescent="0.2">
      <c r="A63" s="31" t="str">
        <f t="shared" si="4"/>
        <v/>
      </c>
      <c r="B63" s="66"/>
      <c r="C63" s="62"/>
      <c r="D63" s="62"/>
      <c r="E63" s="62"/>
      <c r="F63" s="62"/>
      <c r="G63" s="62"/>
      <c r="H63" s="62"/>
      <c r="I63" t="str">
        <f>IF(H63="Activo",COUNTIFS($D$2:D63,D63,$H$2:H63,"Activo"),"")</f>
        <v/>
      </c>
      <c r="J63" t="str">
        <f t="shared" si="5"/>
        <v/>
      </c>
      <c r="K63" t="str">
        <f t="shared" si="6"/>
        <v/>
      </c>
      <c r="L63">
        <f>IF($H63="Activo",COUNTIF($L$1:L62,"&gt;0")+1,"")</f>
      </c>
    </row>
    <row r="64" spans="1:11" ht="18" customHeight="1" x14ac:dyDescent="0.2">
      <c r="A64" s="27" t="str">
        <f t="shared" si="4"/>
        <v/>
      </c>
      <c r="B64" s="63"/>
      <c r="C64" s="60"/>
      <c r="D64" s="60"/>
      <c r="E64" s="60"/>
      <c r="F64" s="60"/>
      <c r="G64" s="60"/>
      <c r="H64" s="60"/>
      <c r="I64" t="str">
        <f>IF(H64="Activo",COUNTIFS($D$2:D64,D64,$H$2:H64,"Activo"),"")</f>
        <v/>
      </c>
      <c r="J64" t="str">
        <f t="shared" si="5"/>
        <v/>
      </c>
      <c r="K64" t="str">
        <f t="shared" si="6"/>
        <v/>
      </c>
      <c r="L64">
        <f>IF($H64="Activo",COUNTIF($L$1:L63,"&gt;0")+1,"")</f>
      </c>
    </row>
    <row r="65" spans="1:11" ht="18" customHeight="1" x14ac:dyDescent="0.2">
      <c r="A65" s="31" t="str">
        <f t="shared" si="4"/>
        <v/>
      </c>
      <c r="B65" s="66"/>
      <c r="C65" s="62"/>
      <c r="D65" s="62"/>
      <c r="E65" s="62"/>
      <c r="F65" s="62"/>
      <c r="G65" s="62"/>
      <c r="H65" s="62"/>
      <c r="I65" t="str">
        <f>IF(H65="Activo",COUNTIFS($D$2:D65,D65,$H$2:H65,"Activo"),"")</f>
        <v/>
      </c>
      <c r="J65" t="str">
        <f t="shared" si="5"/>
        <v/>
      </c>
      <c r="K65" t="str">
        <f t="shared" si="6"/>
        <v/>
      </c>
      <c r="L65">
        <f>IF($H65="Activo",COUNTIF($L$1:L64,"&gt;0")+1,"")</f>
      </c>
    </row>
    <row r="66" spans="1:11" ht="18" customHeight="1" x14ac:dyDescent="0.2">
      <c r="A66" s="27" t="str">
        <f t="shared" ref="A66:A97" si="7">IF(D66&lt;&gt;"",ROW()-1,"")</f>
        <v/>
      </c>
      <c r="B66" s="63"/>
      <c r="C66" s="60"/>
      <c r="D66" s="60"/>
      <c r="E66" s="60"/>
      <c r="F66" s="60"/>
      <c r="G66" s="60"/>
      <c r="H66" s="60"/>
      <c r="I66" t="str">
        <f>IF(H66="Activo",COUNTIFS($D$2:D66,D66,$H$2:H66,"Activo"),"")</f>
        <v/>
      </c>
      <c r="J66" t="str">
        <f t="shared" ref="J66:J97" si="8">IF(I66&lt;&gt;"",D66&amp;"|"&amp;I66,"")</f>
        <v/>
      </c>
      <c r="K66" t="str">
        <f t="shared" ref="K66:K97" si="9">IF(J66&lt;&gt;"",IF(F66&lt;&gt;"",F66&amp;" ("&amp;G66&amp;")",G66),"")</f>
        <v/>
      </c>
      <c r="L66">
        <f>IF($H66="Activo",COUNTIF($L$1:L65,"&gt;0")+1,"")</f>
      </c>
    </row>
    <row r="67" spans="1:11" ht="18" customHeight="1" x14ac:dyDescent="0.2">
      <c r="A67" s="31" t="str">
        <f t="shared" si="7"/>
        <v/>
      </c>
      <c r="B67" s="66"/>
      <c r="C67" s="62"/>
      <c r="D67" s="62"/>
      <c r="E67" s="62"/>
      <c r="F67" s="62"/>
      <c r="G67" s="62"/>
      <c r="H67" s="62"/>
      <c r="I67" t="str">
        <f>IF(H67="Activo",COUNTIFS($D$2:D67,D67,$H$2:H67,"Activo"),"")</f>
        <v/>
      </c>
      <c r="J67" t="str">
        <f t="shared" si="8"/>
        <v/>
      </c>
      <c r="K67" t="str">
        <f t="shared" si="9"/>
        <v/>
      </c>
      <c r="L67">
        <f>IF($H67="Activo",COUNTIF($L$1:L66,"&gt;0")+1,"")</f>
      </c>
    </row>
    <row r="68" spans="1:11" ht="18" customHeight="1" x14ac:dyDescent="0.2">
      <c r="A68" s="27" t="str">
        <f t="shared" si="7"/>
        <v/>
      </c>
      <c r="B68" s="63"/>
      <c r="C68" s="60"/>
      <c r="D68" s="60"/>
      <c r="E68" s="60"/>
      <c r="F68" s="60"/>
      <c r="G68" s="60"/>
      <c r="H68" s="60"/>
      <c r="I68" t="str">
        <f>IF(H68="Activo",COUNTIFS($D$2:D68,D68,$H$2:H68,"Activo"),"")</f>
        <v/>
      </c>
      <c r="J68" t="str">
        <f t="shared" si="8"/>
        <v/>
      </c>
      <c r="K68" t="str">
        <f t="shared" si="9"/>
        <v/>
      </c>
      <c r="L68">
        <f>IF($H68="Activo",COUNTIF($L$1:L67,"&gt;0")+1,"")</f>
      </c>
    </row>
    <row r="69" spans="1:11" ht="18" customHeight="1" x14ac:dyDescent="0.2">
      <c r="A69" s="31" t="str">
        <f t="shared" si="7"/>
        <v/>
      </c>
      <c r="B69" s="66"/>
      <c r="C69" s="62"/>
      <c r="D69" s="62"/>
      <c r="E69" s="62"/>
      <c r="F69" s="62"/>
      <c r="G69" s="62"/>
      <c r="H69" s="62"/>
      <c r="I69" t="str">
        <f>IF(H69="Activo",COUNTIFS($D$2:D69,D69,$H$2:H69,"Activo"),"")</f>
        <v/>
      </c>
      <c r="J69" t="str">
        <f t="shared" si="8"/>
        <v/>
      </c>
      <c r="K69" t="str">
        <f t="shared" si="9"/>
        <v/>
      </c>
      <c r="L69">
        <f>IF($H69="Activo",COUNTIF($L$1:L68,"&gt;0")+1,"")</f>
      </c>
    </row>
    <row r="70" spans="1:11" ht="18" customHeight="1" x14ac:dyDescent="0.2">
      <c r="A70" s="27" t="str">
        <f t="shared" si="7"/>
        <v/>
      </c>
      <c r="B70" s="63"/>
      <c r="C70" s="60"/>
      <c r="D70" s="60"/>
      <c r="E70" s="60"/>
      <c r="F70" s="60"/>
      <c r="G70" s="60"/>
      <c r="H70" s="60"/>
      <c r="I70" t="str">
        <f>IF(H70="Activo",COUNTIFS($D$2:D70,D70,$H$2:H70,"Activo"),"")</f>
        <v/>
      </c>
      <c r="J70" t="str">
        <f t="shared" si="8"/>
        <v/>
      </c>
      <c r="K70" t="str">
        <f t="shared" si="9"/>
        <v/>
      </c>
      <c r="L70">
        <f>IF($H70="Activo",COUNTIF($L$1:L69,"&gt;0")+1,"")</f>
      </c>
    </row>
    <row r="71" spans="1:11" ht="18" customHeight="1" x14ac:dyDescent="0.2">
      <c r="A71" s="31" t="str">
        <f t="shared" si="7"/>
        <v/>
      </c>
      <c r="B71" s="66"/>
      <c r="C71" s="62"/>
      <c r="D71" s="62"/>
      <c r="E71" s="62"/>
      <c r="F71" s="62"/>
      <c r="G71" s="62"/>
      <c r="H71" s="62"/>
      <c r="I71" t="str">
        <f>IF(H71="Activo",COUNTIFS($D$2:D71,D71,$H$2:H71,"Activo"),"")</f>
        <v/>
      </c>
      <c r="J71" t="str">
        <f t="shared" si="8"/>
        <v/>
      </c>
      <c r="K71" t="str">
        <f t="shared" si="9"/>
        <v/>
      </c>
      <c r="L71">
        <f>IF($H71="Activo",COUNTIF($L$1:L70,"&gt;0")+1,"")</f>
      </c>
    </row>
    <row r="72" spans="1:11" ht="18" customHeight="1" x14ac:dyDescent="0.2">
      <c r="A72" s="27" t="str">
        <f t="shared" si="7"/>
        <v/>
      </c>
      <c r="B72" s="63"/>
      <c r="C72" s="60"/>
      <c r="D72" s="60"/>
      <c r="E72" s="60"/>
      <c r="F72" s="60"/>
      <c r="G72" s="60"/>
      <c r="H72" s="60"/>
      <c r="I72" t="str">
        <f>IF(H72="Activo",COUNTIFS($D$2:D72,D72,$H$2:H72,"Activo"),"")</f>
        <v/>
      </c>
      <c r="J72" t="str">
        <f t="shared" si="8"/>
        <v/>
      </c>
      <c r="K72" t="str">
        <f t="shared" si="9"/>
        <v/>
      </c>
      <c r="L72">
        <f>IF($H72="Activo",COUNTIF($L$1:L71,"&gt;0")+1,"")</f>
      </c>
    </row>
    <row r="73" spans="1:11" ht="18" customHeight="1" x14ac:dyDescent="0.2">
      <c r="A73" s="31" t="str">
        <f t="shared" si="7"/>
        <v/>
      </c>
      <c r="B73" s="66"/>
      <c r="C73" s="62"/>
      <c r="D73" s="62"/>
      <c r="E73" s="62"/>
      <c r="F73" s="62"/>
      <c r="G73" s="62"/>
      <c r="H73" s="62"/>
      <c r="I73" t="str">
        <f>IF(H73="Activo",COUNTIFS($D$2:D73,D73,$H$2:H73,"Activo"),"")</f>
        <v/>
      </c>
      <c r="J73" t="str">
        <f t="shared" si="8"/>
        <v/>
      </c>
      <c r="K73" t="str">
        <f t="shared" si="9"/>
        <v/>
      </c>
      <c r="L73">
        <f>IF($H73="Activo",COUNTIF($L$1:L72,"&gt;0")+1,"")</f>
      </c>
    </row>
    <row r="74" spans="1:11" ht="18" customHeight="1" x14ac:dyDescent="0.2">
      <c r="A74" s="27" t="str">
        <f t="shared" si="7"/>
        <v/>
      </c>
      <c r="B74" s="63"/>
      <c r="C74" s="60"/>
      <c r="D74" s="60"/>
      <c r="E74" s="60"/>
      <c r="F74" s="60"/>
      <c r="G74" s="60"/>
      <c r="H74" s="60"/>
      <c r="I74" t="str">
        <f>IF(H74="Activo",COUNTIFS($D$2:D74,D74,$H$2:H74,"Activo"),"")</f>
        <v/>
      </c>
      <c r="J74" t="str">
        <f t="shared" si="8"/>
        <v/>
      </c>
      <c r="K74" t="str">
        <f t="shared" si="9"/>
        <v/>
      </c>
      <c r="L74">
        <f>IF($H74="Activo",COUNTIF($L$1:L73,"&gt;0")+1,"")</f>
      </c>
    </row>
    <row r="75" spans="1:11" ht="18" customHeight="1" x14ac:dyDescent="0.2">
      <c r="A75" s="31" t="str">
        <f t="shared" si="7"/>
        <v/>
      </c>
      <c r="B75" s="66"/>
      <c r="C75" s="62"/>
      <c r="D75" s="62"/>
      <c r="E75" s="62"/>
      <c r="F75" s="62"/>
      <c r="G75" s="62"/>
      <c r="H75" s="62"/>
      <c r="I75" t="str">
        <f>IF(H75="Activo",COUNTIFS($D$2:D75,D75,$H$2:H75,"Activo"),"")</f>
        <v/>
      </c>
      <c r="J75" t="str">
        <f t="shared" si="8"/>
        <v/>
      </c>
      <c r="K75" t="str">
        <f t="shared" si="9"/>
        <v/>
      </c>
      <c r="L75">
        <f>IF($H75="Activo",COUNTIF($L$1:L74,"&gt;0")+1,"")</f>
      </c>
    </row>
    <row r="76" spans="1:11" ht="18" customHeight="1" x14ac:dyDescent="0.2">
      <c r="A76" s="27" t="str">
        <f t="shared" si="7"/>
        <v/>
      </c>
      <c r="B76" s="63"/>
      <c r="C76" s="60"/>
      <c r="D76" s="60"/>
      <c r="E76" s="60"/>
      <c r="F76" s="60"/>
      <c r="G76" s="60"/>
      <c r="H76" s="60"/>
      <c r="I76" t="str">
        <f>IF(H76="Activo",COUNTIFS($D$2:D76,D76,$H$2:H76,"Activo"),"")</f>
        <v/>
      </c>
      <c r="J76" t="str">
        <f t="shared" si="8"/>
        <v/>
      </c>
      <c r="K76" t="str">
        <f t="shared" si="9"/>
        <v/>
      </c>
      <c r="L76">
        <f>IF($H76="Activo",COUNTIF($L$1:L75,"&gt;0")+1,"")</f>
      </c>
    </row>
    <row r="77" spans="1:11" ht="18" customHeight="1" x14ac:dyDescent="0.2">
      <c r="A77" s="31" t="str">
        <f t="shared" si="7"/>
        <v/>
      </c>
      <c r="B77" s="66"/>
      <c r="C77" s="62"/>
      <c r="D77" s="62"/>
      <c r="E77" s="62"/>
      <c r="F77" s="62"/>
      <c r="G77" s="62"/>
      <c r="H77" s="62"/>
      <c r="I77" t="str">
        <f>IF(H77="Activo",COUNTIFS($D$2:D77,D77,$H$2:H77,"Activo"),"")</f>
        <v/>
      </c>
      <c r="J77" t="str">
        <f t="shared" si="8"/>
        <v/>
      </c>
      <c r="K77" t="str">
        <f t="shared" si="9"/>
        <v/>
      </c>
      <c r="L77">
        <f>IF($H77="Activo",COUNTIF($L$1:L76,"&gt;0")+1,"")</f>
      </c>
    </row>
    <row r="78" spans="1:11" ht="18" customHeight="1" x14ac:dyDescent="0.2">
      <c r="A78" s="27" t="str">
        <f t="shared" si="7"/>
        <v/>
      </c>
      <c r="B78" s="63"/>
      <c r="C78" s="60"/>
      <c r="D78" s="60"/>
      <c r="E78" s="60"/>
      <c r="F78" s="60"/>
      <c r="G78" s="60"/>
      <c r="H78" s="60"/>
      <c r="I78" t="str">
        <f>IF(H78="Activo",COUNTIFS($D$2:D78,D78,$H$2:H78,"Activo"),"")</f>
        <v/>
      </c>
      <c r="J78" t="str">
        <f t="shared" si="8"/>
        <v/>
      </c>
      <c r="K78" t="str">
        <f t="shared" si="9"/>
        <v/>
      </c>
      <c r="L78">
        <f>IF($H78="Activo",COUNTIF($L$1:L77,"&gt;0")+1,"")</f>
      </c>
    </row>
    <row r="79" spans="1:11" ht="18" customHeight="1" x14ac:dyDescent="0.2">
      <c r="A79" s="31" t="str">
        <f t="shared" si="7"/>
        <v/>
      </c>
      <c r="B79" s="66"/>
      <c r="C79" s="62"/>
      <c r="D79" s="62"/>
      <c r="E79" s="62"/>
      <c r="F79" s="62"/>
      <c r="G79" s="62"/>
      <c r="H79" s="62"/>
      <c r="I79" t="str">
        <f>IF(H79="Activo",COUNTIFS($D$2:D79,D79,$H$2:H79,"Activo"),"")</f>
        <v/>
      </c>
      <c r="J79" t="str">
        <f t="shared" si="8"/>
        <v/>
      </c>
      <c r="K79" t="str">
        <f t="shared" si="9"/>
        <v/>
      </c>
      <c r="L79">
        <f>IF($H79="Activo",COUNTIF($L$1:L78,"&gt;0")+1,"")</f>
      </c>
    </row>
    <row r="80" spans="1:11" ht="18" customHeight="1" x14ac:dyDescent="0.2">
      <c r="A80" s="27" t="str">
        <f t="shared" si="7"/>
        <v/>
      </c>
      <c r="B80" s="63"/>
      <c r="C80" s="60"/>
      <c r="D80" s="60"/>
      <c r="E80" s="60"/>
      <c r="F80" s="60"/>
      <c r="G80" s="60"/>
      <c r="H80" s="60"/>
      <c r="I80" t="str">
        <f>IF(H80="Activo",COUNTIFS($D$2:D80,D80,$H$2:H80,"Activo"),"")</f>
        <v/>
      </c>
      <c r="J80" t="str">
        <f t="shared" si="8"/>
        <v/>
      </c>
      <c r="K80" t="str">
        <f t="shared" si="9"/>
        <v/>
      </c>
      <c r="L80">
        <f>IF($H80="Activo",COUNTIF($L$1:L79,"&gt;0")+1,"")</f>
      </c>
    </row>
    <row r="81" spans="1:11" ht="18" customHeight="1" x14ac:dyDescent="0.2">
      <c r="A81" s="31" t="str">
        <f t="shared" si="7"/>
        <v/>
      </c>
      <c r="B81" s="66"/>
      <c r="C81" s="62"/>
      <c r="D81" s="62"/>
      <c r="E81" s="62"/>
      <c r="F81" s="62"/>
      <c r="G81" s="62"/>
      <c r="H81" s="62"/>
      <c r="I81" t="str">
        <f>IF(H81="Activo",COUNTIFS($D$2:D81,D81,$H$2:H81,"Activo"),"")</f>
        <v/>
      </c>
      <c r="J81" t="str">
        <f t="shared" si="8"/>
        <v/>
      </c>
      <c r="K81" t="str">
        <f t="shared" si="9"/>
        <v/>
      </c>
      <c r="L81">
        <f>IF($H81="Activo",COUNTIF($L$1:L80,"&gt;0")+1,"")</f>
      </c>
    </row>
    <row r="82" spans="1:11" ht="18" customHeight="1" x14ac:dyDescent="0.2">
      <c r="A82" s="27" t="str">
        <f t="shared" si="7"/>
        <v/>
      </c>
      <c r="B82" s="63"/>
      <c r="C82" s="60"/>
      <c r="D82" s="60"/>
      <c r="E82" s="60"/>
      <c r="F82" s="60"/>
      <c r="G82" s="60"/>
      <c r="H82" s="60"/>
      <c r="I82" t="str">
        <f>IF(H82="Activo",COUNTIFS($D$2:D82,D82,$H$2:H82,"Activo"),"")</f>
        <v/>
      </c>
      <c r="J82" t="str">
        <f t="shared" si="8"/>
        <v/>
      </c>
      <c r="K82" t="str">
        <f t="shared" si="9"/>
        <v/>
      </c>
      <c r="L82">
        <f>IF($H82="Activo",COUNTIF($L$1:L81,"&gt;0")+1,"")</f>
      </c>
    </row>
    <row r="83" spans="1:11" ht="18" customHeight="1" x14ac:dyDescent="0.2">
      <c r="A83" s="31" t="str">
        <f t="shared" si="7"/>
        <v/>
      </c>
      <c r="B83" s="66"/>
      <c r="C83" s="62"/>
      <c r="D83" s="62"/>
      <c r="E83" s="62"/>
      <c r="F83" s="62"/>
      <c r="G83" s="62"/>
      <c r="H83" s="62"/>
      <c r="I83" t="str">
        <f>IF(H83="Activo",COUNTIFS($D$2:D83,D83,$H$2:H83,"Activo"),"")</f>
        <v/>
      </c>
      <c r="J83" t="str">
        <f t="shared" si="8"/>
        <v/>
      </c>
      <c r="K83" t="str">
        <f t="shared" si="9"/>
        <v/>
      </c>
      <c r="L83">
        <f>IF($H83="Activo",COUNTIF($L$1:L82,"&gt;0")+1,"")</f>
      </c>
    </row>
    <row r="84" spans="1:11" ht="18" customHeight="1" x14ac:dyDescent="0.2">
      <c r="A84" s="27" t="str">
        <f t="shared" si="7"/>
        <v/>
      </c>
      <c r="B84" s="63"/>
      <c r="C84" s="60"/>
      <c r="D84" s="60"/>
      <c r="E84" s="60"/>
      <c r="F84" s="60"/>
      <c r="G84" s="60"/>
      <c r="H84" s="60"/>
      <c r="I84" t="str">
        <f>IF(H84="Activo",COUNTIFS($D$2:D84,D84,$H$2:H84,"Activo"),"")</f>
        <v/>
      </c>
      <c r="J84" t="str">
        <f t="shared" si="8"/>
        <v/>
      </c>
      <c r="K84" t="str">
        <f t="shared" si="9"/>
        <v/>
      </c>
      <c r="L84">
        <f>IF($H84="Activo",COUNTIF($L$1:L83,"&gt;0")+1,"")</f>
      </c>
    </row>
    <row r="85" spans="1:11" ht="18" customHeight="1" x14ac:dyDescent="0.2">
      <c r="A85" s="31" t="str">
        <f t="shared" si="7"/>
        <v/>
      </c>
      <c r="B85" s="66"/>
      <c r="C85" s="62"/>
      <c r="D85" s="62"/>
      <c r="E85" s="62"/>
      <c r="F85" s="62"/>
      <c r="G85" s="62"/>
      <c r="H85" s="62"/>
      <c r="I85" t="str">
        <f>IF(H85="Activo",COUNTIFS($D$2:D85,D85,$H$2:H85,"Activo"),"")</f>
        <v/>
      </c>
      <c r="J85" t="str">
        <f t="shared" si="8"/>
        <v/>
      </c>
      <c r="K85" t="str">
        <f t="shared" si="9"/>
        <v/>
      </c>
      <c r="L85">
        <f>IF($H85="Activo",COUNTIF($L$1:L84,"&gt;0")+1,"")</f>
      </c>
    </row>
    <row r="86" spans="1:11" ht="18" customHeight="1" x14ac:dyDescent="0.2">
      <c r="A86" s="27" t="str">
        <f t="shared" si="7"/>
        <v/>
      </c>
      <c r="B86" s="63"/>
      <c r="C86" s="60"/>
      <c r="D86" s="60"/>
      <c r="E86" s="60"/>
      <c r="F86" s="60"/>
      <c r="G86" s="60"/>
      <c r="H86" s="60"/>
      <c r="I86" t="str">
        <f>IF(H86="Activo",COUNTIFS($D$2:D86,D86,$H$2:H86,"Activo"),"")</f>
        <v/>
      </c>
      <c r="J86" t="str">
        <f t="shared" si="8"/>
        <v/>
      </c>
      <c r="K86" t="str">
        <f t="shared" si="9"/>
        <v/>
      </c>
      <c r="L86">
        <f>IF($H86="Activo",COUNTIF($L$1:L85,"&gt;0")+1,"")</f>
      </c>
    </row>
    <row r="87" spans="1:11" ht="18" customHeight="1" x14ac:dyDescent="0.2">
      <c r="A87" s="31" t="str">
        <f t="shared" si="7"/>
        <v/>
      </c>
      <c r="B87" s="66"/>
      <c r="C87" s="62"/>
      <c r="D87" s="62"/>
      <c r="E87" s="62"/>
      <c r="F87" s="62"/>
      <c r="G87" s="62"/>
      <c r="H87" s="62"/>
      <c r="I87" t="str">
        <f>IF(H87="Activo",COUNTIFS($D$2:D87,D87,$H$2:H87,"Activo"),"")</f>
        <v/>
      </c>
      <c r="J87" t="str">
        <f t="shared" si="8"/>
        <v/>
      </c>
      <c r="K87" t="str">
        <f t="shared" si="9"/>
        <v/>
      </c>
      <c r="L87">
        <f>IF($H87="Activo",COUNTIF($L$1:L86,"&gt;0")+1,"")</f>
      </c>
    </row>
    <row r="88" spans="1:11" ht="18" customHeight="1" x14ac:dyDescent="0.2">
      <c r="A88" s="27" t="str">
        <f t="shared" si="7"/>
        <v/>
      </c>
      <c r="B88" s="63"/>
      <c r="C88" s="60"/>
      <c r="D88" s="60"/>
      <c r="E88" s="60"/>
      <c r="F88" s="60"/>
      <c r="G88" s="60"/>
      <c r="H88" s="60"/>
      <c r="I88" t="str">
        <f>IF(H88="Activo",COUNTIFS($D$2:D88,D88,$H$2:H88,"Activo"),"")</f>
        <v/>
      </c>
      <c r="J88" t="str">
        <f t="shared" si="8"/>
        <v/>
      </c>
      <c r="K88" t="str">
        <f t="shared" si="9"/>
        <v/>
      </c>
      <c r="L88">
        <f>IF($H88="Activo",COUNTIF($L$1:L87,"&gt;0")+1,"")</f>
      </c>
    </row>
    <row r="89" spans="1:11" ht="18" customHeight="1" x14ac:dyDescent="0.2">
      <c r="A89" s="31" t="str">
        <f t="shared" si="7"/>
        <v/>
      </c>
      <c r="B89" s="66"/>
      <c r="C89" s="62"/>
      <c r="D89" s="62"/>
      <c r="E89" s="62"/>
      <c r="F89" s="62"/>
      <c r="G89" s="62"/>
      <c r="H89" s="62"/>
      <c r="I89" t="str">
        <f>IF(H89="Activo",COUNTIFS($D$2:D89,D89,$H$2:H89,"Activo"),"")</f>
        <v/>
      </c>
      <c r="J89" t="str">
        <f t="shared" si="8"/>
        <v/>
      </c>
      <c r="K89" t="str">
        <f t="shared" si="9"/>
        <v/>
      </c>
      <c r="L89">
        <f>IF($H89="Activo",COUNTIF($L$1:L88,"&gt;0")+1,"")</f>
      </c>
    </row>
    <row r="90" spans="1:11" ht="18" customHeight="1" x14ac:dyDescent="0.2">
      <c r="A90" s="27" t="str">
        <f t="shared" si="7"/>
        <v/>
      </c>
      <c r="B90" s="63"/>
      <c r="C90" s="60"/>
      <c r="D90" s="60"/>
      <c r="E90" s="60"/>
      <c r="F90" s="60"/>
      <c r="G90" s="60"/>
      <c r="H90" s="60"/>
      <c r="I90" t="str">
        <f>IF(H90="Activo",COUNTIFS($D$2:D90,D90,$H$2:H90,"Activo"),"")</f>
        <v/>
      </c>
      <c r="J90" t="str">
        <f t="shared" si="8"/>
        <v/>
      </c>
      <c r="K90" t="str">
        <f t="shared" si="9"/>
        <v/>
      </c>
      <c r="L90">
        <f>IF($H90="Activo",COUNTIF($L$1:L89,"&gt;0")+1,"")</f>
      </c>
    </row>
    <row r="91" spans="1:11" ht="18" customHeight="1" x14ac:dyDescent="0.2">
      <c r="A91" s="31" t="str">
        <f t="shared" si="7"/>
        <v/>
      </c>
      <c r="B91" s="66"/>
      <c r="C91" s="62"/>
      <c r="D91" s="62"/>
      <c r="E91" s="62"/>
      <c r="F91" s="62"/>
      <c r="G91" s="62"/>
      <c r="H91" s="62"/>
      <c r="I91" t="str">
        <f>IF(H91="Activo",COUNTIFS($D$2:D91,D91,$H$2:H91,"Activo"),"")</f>
        <v/>
      </c>
      <c r="J91" t="str">
        <f t="shared" si="8"/>
        <v/>
      </c>
      <c r="K91" t="str">
        <f t="shared" si="9"/>
        <v/>
      </c>
      <c r="L91">
        <f>IF($H91="Activo",COUNTIF($L$1:L90,"&gt;0")+1,"")</f>
      </c>
    </row>
    <row r="92" spans="1:11" ht="18" customHeight="1" x14ac:dyDescent="0.2">
      <c r="A92" s="27" t="str">
        <f t="shared" si="7"/>
        <v/>
      </c>
      <c r="B92" s="63"/>
      <c r="C92" s="60"/>
      <c r="D92" s="60"/>
      <c r="E92" s="60"/>
      <c r="F92" s="60"/>
      <c r="G92" s="60"/>
      <c r="H92" s="60"/>
      <c r="I92" t="str">
        <f>IF(H92="Activo",COUNTIFS($D$2:D92,D92,$H$2:H92,"Activo"),"")</f>
        <v/>
      </c>
      <c r="J92" t="str">
        <f t="shared" si="8"/>
        <v/>
      </c>
      <c r="K92" t="str">
        <f t="shared" si="9"/>
        <v/>
      </c>
      <c r="L92">
        <f>IF($H92="Activo",COUNTIF($L$1:L91,"&gt;0")+1,"")</f>
      </c>
    </row>
    <row r="93" spans="1:11" ht="18" customHeight="1" x14ac:dyDescent="0.2">
      <c r="A93" s="31" t="str">
        <f t="shared" si="7"/>
        <v/>
      </c>
      <c r="B93" s="66"/>
      <c r="C93" s="62"/>
      <c r="D93" s="62"/>
      <c r="E93" s="62"/>
      <c r="F93" s="62"/>
      <c r="G93" s="62"/>
      <c r="H93" s="62"/>
      <c r="I93" t="str">
        <f>IF(H93="Activo",COUNTIFS($D$2:D93,D93,$H$2:H93,"Activo"),"")</f>
        <v/>
      </c>
      <c r="J93" t="str">
        <f t="shared" si="8"/>
        <v/>
      </c>
      <c r="K93" t="str">
        <f t="shared" si="9"/>
        <v/>
      </c>
      <c r="L93">
        <f>IF($H93="Activo",COUNTIF($L$1:L92,"&gt;0")+1,"")</f>
      </c>
    </row>
    <row r="94" spans="1:11" ht="18" customHeight="1" x14ac:dyDescent="0.2">
      <c r="A94" s="27" t="str">
        <f t="shared" si="7"/>
        <v/>
      </c>
      <c r="B94" s="63"/>
      <c r="C94" s="60"/>
      <c r="D94" s="60"/>
      <c r="E94" s="60"/>
      <c r="F94" s="60"/>
      <c r="G94" s="60"/>
      <c r="H94" s="60"/>
      <c r="I94" t="str">
        <f>IF(H94="Activo",COUNTIFS($D$2:D94,D94,$H$2:H94,"Activo"),"")</f>
        <v/>
      </c>
      <c r="J94" t="str">
        <f t="shared" si="8"/>
        <v/>
      </c>
      <c r="K94" t="str">
        <f t="shared" si="9"/>
        <v/>
      </c>
      <c r="L94">
        <f>IF($H94="Activo",COUNTIF($L$1:L93,"&gt;0")+1,"")</f>
      </c>
    </row>
    <row r="95" spans="1:11" ht="18" customHeight="1" x14ac:dyDescent="0.2">
      <c r="A95" s="31" t="str">
        <f t="shared" si="7"/>
        <v/>
      </c>
      <c r="B95" s="66"/>
      <c r="C95" s="62"/>
      <c r="D95" s="62"/>
      <c r="E95" s="62"/>
      <c r="F95" s="62"/>
      <c r="G95" s="62"/>
      <c r="H95" s="62"/>
      <c r="I95" t="str">
        <f>IF(H95="Activo",COUNTIFS($D$2:D95,D95,$H$2:H95,"Activo"),"")</f>
        <v/>
      </c>
      <c r="J95" t="str">
        <f t="shared" si="8"/>
        <v/>
      </c>
      <c r="K95" t="str">
        <f t="shared" si="9"/>
        <v/>
      </c>
      <c r="L95">
        <f>IF($H95="Activo",COUNTIF($L$1:L94,"&gt;0")+1,"")</f>
      </c>
    </row>
    <row r="96" spans="1:11" ht="18" customHeight="1" x14ac:dyDescent="0.2">
      <c r="A96" s="27" t="str">
        <f t="shared" si="7"/>
        <v/>
      </c>
      <c r="B96" s="63"/>
      <c r="C96" s="60"/>
      <c r="D96" s="60"/>
      <c r="E96" s="60"/>
      <c r="F96" s="60"/>
      <c r="G96" s="60"/>
      <c r="H96" s="60"/>
      <c r="I96" t="str">
        <f>IF(H96="Activo",COUNTIFS($D$2:D96,D96,$H$2:H96,"Activo"),"")</f>
        <v/>
      </c>
      <c r="J96" t="str">
        <f t="shared" si="8"/>
        <v/>
      </c>
      <c r="K96" t="str">
        <f t="shared" si="9"/>
        <v/>
      </c>
      <c r="L96">
        <f>IF($H96="Activo",COUNTIF($L$1:L95,"&gt;0")+1,"")</f>
      </c>
    </row>
    <row r="97" spans="1:11" ht="18" customHeight="1" x14ac:dyDescent="0.2">
      <c r="A97" s="31" t="str">
        <f t="shared" si="7"/>
        <v/>
      </c>
      <c r="B97" s="66"/>
      <c r="C97" s="62"/>
      <c r="D97" s="62"/>
      <c r="E97" s="62"/>
      <c r="F97" s="62"/>
      <c r="G97" s="62"/>
      <c r="H97" s="62"/>
      <c r="I97" t="str">
        <f>IF(H97="Activo",COUNTIFS($D$2:D97,D97,$H$2:H97,"Activo"),"")</f>
        <v/>
      </c>
      <c r="J97" t="str">
        <f t="shared" si="8"/>
        <v/>
      </c>
      <c r="K97" t="str">
        <f t="shared" si="9"/>
        <v/>
      </c>
      <c r="L97">
        <f>IF($H97="Activo",COUNTIF($L$1:L96,"&gt;0")+1,"")</f>
      </c>
    </row>
    <row r="98" spans="1:11" ht="18" customHeight="1" x14ac:dyDescent="0.2">
      <c r="A98" s="27" t="str">
        <f t="shared" ref="A98:A129" si="10">IF(D98&lt;&gt;"",ROW()-1,"")</f>
        <v/>
      </c>
      <c r="B98" s="63"/>
      <c r="C98" s="60"/>
      <c r="D98" s="60"/>
      <c r="E98" s="60"/>
      <c r="F98" s="60"/>
      <c r="G98" s="60"/>
      <c r="H98" s="60"/>
      <c r="I98" t="str">
        <f>IF(H98="Activo",COUNTIFS($D$2:D98,D98,$H$2:H98,"Activo"),"")</f>
        <v/>
      </c>
      <c r="J98" t="str">
        <f t="shared" ref="J98:J129" si="11">IF(I98&lt;&gt;"",D98&amp;"|"&amp;I98,"")</f>
        <v/>
      </c>
      <c r="K98" t="str">
        <f t="shared" ref="K98:K129" si="12">IF(J98&lt;&gt;"",IF(F98&lt;&gt;"",F98&amp;" ("&amp;G98&amp;")",G98),"")</f>
        <v/>
      </c>
      <c r="L98">
        <f>IF($H98="Activo",COUNTIF($L$1:L97,"&gt;0")+1,"")</f>
      </c>
    </row>
    <row r="99" spans="1:11" ht="18" customHeight="1" x14ac:dyDescent="0.2">
      <c r="A99" s="31" t="str">
        <f t="shared" si="10"/>
        <v/>
      </c>
      <c r="B99" s="66"/>
      <c r="C99" s="62"/>
      <c r="D99" s="62"/>
      <c r="E99" s="62"/>
      <c r="F99" s="62"/>
      <c r="G99" s="62"/>
      <c r="H99" s="62"/>
      <c r="I99" t="str">
        <f>IF(H99="Activo",COUNTIFS($D$2:D99,D99,$H$2:H99,"Activo"),"")</f>
        <v/>
      </c>
      <c r="J99" t="str">
        <f t="shared" si="11"/>
        <v/>
      </c>
      <c r="K99" t="str">
        <f t="shared" si="12"/>
        <v/>
      </c>
      <c r="L99">
        <f>IF($H99="Activo",COUNTIF($L$1:L98,"&gt;0")+1,"")</f>
      </c>
    </row>
    <row r="100" spans="1:11" ht="18" customHeight="1" x14ac:dyDescent="0.2">
      <c r="A100" s="27" t="str">
        <f t="shared" si="10"/>
        <v/>
      </c>
      <c r="B100" s="63"/>
      <c r="C100" s="60"/>
      <c r="D100" s="60"/>
      <c r="E100" s="60"/>
      <c r="F100" s="60"/>
      <c r="G100" s="60"/>
      <c r="H100" s="60"/>
      <c r="I100" t="str">
        <f>IF(H100="Activo",COUNTIFS($D$2:D100,D100,$H$2:H100,"Activo"),"")</f>
        <v/>
      </c>
      <c r="J100" t="str">
        <f t="shared" si="11"/>
        <v/>
      </c>
      <c r="K100" t="str">
        <f t="shared" si="12"/>
        <v/>
      </c>
      <c r="L100">
        <f>IF($H100="Activo",COUNTIF($L$1:L99,"&gt;0")+1,"")</f>
      </c>
    </row>
    <row r="101" spans="1:11" ht="18" customHeight="1" x14ac:dyDescent="0.2">
      <c r="A101" s="31" t="str">
        <f t="shared" si="10"/>
        <v/>
      </c>
      <c r="B101" s="66"/>
      <c r="C101" s="62"/>
      <c r="D101" s="62"/>
      <c r="E101" s="62"/>
      <c r="F101" s="62"/>
      <c r="G101" s="62"/>
      <c r="H101" s="62"/>
      <c r="I101" t="str">
        <f>IF(H101="Activo",COUNTIFS($D$2:D101,D101,$H$2:H101,"Activo"),"")</f>
        <v/>
      </c>
      <c r="J101" t="str">
        <f t="shared" si="11"/>
        <v/>
      </c>
      <c r="K101" t="str">
        <f t="shared" si="12"/>
        <v/>
      </c>
      <c r="L101">
        <f>IF($H101="Activo",COUNTIF($L$1:L100,"&gt;0")+1,"")</f>
      </c>
    </row>
    <row r="102" spans="1:11" ht="18" customHeight="1" x14ac:dyDescent="0.2">
      <c r="A102" s="27" t="str">
        <f t="shared" si="10"/>
        <v/>
      </c>
      <c r="B102" s="63"/>
      <c r="C102" s="60"/>
      <c r="D102" s="60"/>
      <c r="E102" s="60"/>
      <c r="F102" s="60"/>
      <c r="G102" s="60"/>
      <c r="H102" s="60"/>
      <c r="I102" t="str">
        <f>IF(H102="Activo",COUNTIFS($D$2:D102,D102,$H$2:H102,"Activo"),"")</f>
        <v/>
      </c>
      <c r="J102" t="str">
        <f t="shared" si="11"/>
        <v/>
      </c>
      <c r="K102" t="str">
        <f t="shared" si="12"/>
        <v/>
      </c>
      <c r="L102">
        <f>IF($H102="Activo",COUNTIF($L$1:L101,"&gt;0")+1,"")</f>
      </c>
    </row>
    <row r="103" spans="1:11" ht="18" customHeight="1" x14ac:dyDescent="0.2">
      <c r="A103" s="31" t="str">
        <f t="shared" si="10"/>
        <v/>
      </c>
      <c r="B103" s="66"/>
      <c r="C103" s="62"/>
      <c r="D103" s="62"/>
      <c r="E103" s="62"/>
      <c r="F103" s="62"/>
      <c r="G103" s="62"/>
      <c r="H103" s="62"/>
      <c r="I103" t="str">
        <f>IF(H103="Activo",COUNTIFS($D$2:D103,D103,$H$2:H103,"Activo"),"")</f>
        <v/>
      </c>
      <c r="J103" t="str">
        <f t="shared" si="11"/>
        <v/>
      </c>
      <c r="K103" t="str">
        <f t="shared" si="12"/>
        <v/>
      </c>
      <c r="L103">
        <f>IF($H103="Activo",COUNTIF($L$1:L102,"&gt;0")+1,"")</f>
      </c>
    </row>
    <row r="104" spans="1:11" ht="18" customHeight="1" x14ac:dyDescent="0.2">
      <c r="A104" s="27" t="str">
        <f t="shared" si="10"/>
        <v/>
      </c>
      <c r="B104" s="63"/>
      <c r="C104" s="60"/>
      <c r="D104" s="60"/>
      <c r="E104" s="60"/>
      <c r="F104" s="60"/>
      <c r="G104" s="60"/>
      <c r="H104" s="60"/>
      <c r="I104" t="str">
        <f>IF(H104="Activo",COUNTIFS($D$2:D104,D104,$H$2:H104,"Activo"),"")</f>
        <v/>
      </c>
      <c r="J104" t="str">
        <f t="shared" si="11"/>
        <v/>
      </c>
      <c r="K104" t="str">
        <f t="shared" si="12"/>
        <v/>
      </c>
      <c r="L104">
        <f>IF($H104="Activo",COUNTIF($L$1:L103,"&gt;0")+1,"")</f>
      </c>
    </row>
    <row r="105" spans="1:11" ht="18" customHeight="1" x14ac:dyDescent="0.2">
      <c r="A105" s="31" t="str">
        <f t="shared" si="10"/>
        <v/>
      </c>
      <c r="B105" s="66"/>
      <c r="C105" s="62"/>
      <c r="D105" s="62"/>
      <c r="E105" s="62"/>
      <c r="F105" s="62"/>
      <c r="G105" s="62"/>
      <c r="H105" s="62"/>
      <c r="I105" t="str">
        <f>IF(H105="Activo",COUNTIFS($D$2:D105,D105,$H$2:H105,"Activo"),"")</f>
        <v/>
      </c>
      <c r="J105" t="str">
        <f t="shared" si="11"/>
        <v/>
      </c>
      <c r="K105" t="str">
        <f t="shared" si="12"/>
        <v/>
      </c>
      <c r="L105">
        <f>IF($H105="Activo",COUNTIF($L$1:L104,"&gt;0")+1,"")</f>
      </c>
    </row>
    <row r="106" spans="1:11" ht="18" customHeight="1" x14ac:dyDescent="0.2">
      <c r="A106" s="27" t="str">
        <f t="shared" si="10"/>
        <v/>
      </c>
      <c r="B106" s="63"/>
      <c r="C106" s="60"/>
      <c r="D106" s="60"/>
      <c r="E106" s="60"/>
      <c r="F106" s="60"/>
      <c r="G106" s="60"/>
      <c r="H106" s="60"/>
      <c r="I106" t="str">
        <f>IF(H106="Activo",COUNTIFS($D$2:D106,D106,$H$2:H106,"Activo"),"")</f>
        <v/>
      </c>
      <c r="J106" t="str">
        <f t="shared" si="11"/>
        <v/>
      </c>
      <c r="K106" t="str">
        <f t="shared" si="12"/>
        <v/>
      </c>
      <c r="L106">
        <f>IF($H106="Activo",COUNTIF($L$1:L105,"&gt;0")+1,"")</f>
      </c>
    </row>
    <row r="107" spans="1:11" ht="18" customHeight="1" x14ac:dyDescent="0.2">
      <c r="A107" s="31" t="str">
        <f t="shared" si="10"/>
        <v/>
      </c>
      <c r="B107" s="66"/>
      <c r="C107" s="62"/>
      <c r="D107" s="62"/>
      <c r="E107" s="62"/>
      <c r="F107" s="62"/>
      <c r="G107" s="62"/>
      <c r="H107" s="62"/>
      <c r="I107" t="str">
        <f>IF(H107="Activo",COUNTIFS($D$2:D107,D107,$H$2:H107,"Activo"),"")</f>
        <v/>
      </c>
      <c r="J107" t="str">
        <f t="shared" si="11"/>
        <v/>
      </c>
      <c r="K107" t="str">
        <f t="shared" si="12"/>
        <v/>
      </c>
      <c r="L107">
        <f>IF($H107="Activo",COUNTIF($L$1:L106,"&gt;0")+1,"")</f>
      </c>
    </row>
    <row r="108" spans="1:11" ht="18" customHeight="1" x14ac:dyDescent="0.2">
      <c r="A108" s="27" t="str">
        <f t="shared" si="10"/>
        <v/>
      </c>
      <c r="B108" s="63"/>
      <c r="C108" s="60"/>
      <c r="D108" s="60"/>
      <c r="E108" s="60"/>
      <c r="F108" s="60"/>
      <c r="G108" s="60"/>
      <c r="H108" s="60"/>
      <c r="I108" t="str">
        <f>IF(H108="Activo",COUNTIFS($D$2:D108,D108,$H$2:H108,"Activo"),"")</f>
        <v/>
      </c>
      <c r="J108" t="str">
        <f t="shared" si="11"/>
        <v/>
      </c>
      <c r="K108" t="str">
        <f t="shared" si="12"/>
        <v/>
      </c>
      <c r="L108">
        <f>IF($H108="Activo",COUNTIF($L$1:L107,"&gt;0")+1,"")</f>
      </c>
    </row>
    <row r="109" spans="1:11" ht="18" customHeight="1" x14ac:dyDescent="0.2">
      <c r="A109" s="31" t="str">
        <f t="shared" si="10"/>
        <v/>
      </c>
      <c r="B109" s="66"/>
      <c r="C109" s="62"/>
      <c r="D109" s="62"/>
      <c r="E109" s="62"/>
      <c r="F109" s="62"/>
      <c r="G109" s="62"/>
      <c r="H109" s="62"/>
      <c r="I109" t="str">
        <f>IF(H109="Activo",COUNTIFS($D$2:D109,D109,$H$2:H109,"Activo"),"")</f>
        <v/>
      </c>
      <c r="J109" t="str">
        <f t="shared" si="11"/>
        <v/>
      </c>
      <c r="K109" t="str">
        <f t="shared" si="12"/>
        <v/>
      </c>
      <c r="L109">
        <f>IF($H109="Activo",COUNTIF($L$1:L108,"&gt;0")+1,"")</f>
      </c>
    </row>
    <row r="110" spans="1:11" ht="18" customHeight="1" x14ac:dyDescent="0.2">
      <c r="A110" s="27" t="str">
        <f t="shared" si="10"/>
        <v/>
      </c>
      <c r="B110" s="63"/>
      <c r="C110" s="60"/>
      <c r="D110" s="60"/>
      <c r="E110" s="60"/>
      <c r="F110" s="60"/>
      <c r="G110" s="60"/>
      <c r="H110" s="60"/>
      <c r="I110" t="str">
        <f>IF(H110="Activo",COUNTIFS($D$2:D110,D110,$H$2:H110,"Activo"),"")</f>
        <v/>
      </c>
      <c r="J110" t="str">
        <f t="shared" si="11"/>
        <v/>
      </c>
      <c r="K110" t="str">
        <f t="shared" si="12"/>
        <v/>
      </c>
      <c r="L110">
        <f>IF($H110="Activo",COUNTIF($L$1:L109,"&gt;0")+1,"")</f>
      </c>
    </row>
    <row r="111" spans="1:11" ht="18" customHeight="1" x14ac:dyDescent="0.2">
      <c r="A111" s="31" t="str">
        <f t="shared" si="10"/>
        <v/>
      </c>
      <c r="B111" s="66"/>
      <c r="C111" s="62"/>
      <c r="D111" s="62"/>
      <c r="E111" s="62"/>
      <c r="F111" s="62"/>
      <c r="G111" s="62"/>
      <c r="H111" s="62"/>
      <c r="I111" t="str">
        <f>IF(H111="Activo",COUNTIFS($D$2:D111,D111,$H$2:H111,"Activo"),"")</f>
        <v/>
      </c>
      <c r="J111" t="str">
        <f t="shared" si="11"/>
        <v/>
      </c>
      <c r="K111" t="str">
        <f t="shared" si="12"/>
        <v/>
      </c>
      <c r="L111">
        <f>IF($H111="Activo",COUNTIF($L$1:L110,"&gt;0")+1,"")</f>
      </c>
    </row>
    <row r="112" spans="1:11" ht="18" customHeight="1" x14ac:dyDescent="0.2">
      <c r="A112" s="27" t="str">
        <f t="shared" si="10"/>
        <v/>
      </c>
      <c r="B112" s="63"/>
      <c r="C112" s="60"/>
      <c r="D112" s="60"/>
      <c r="E112" s="60"/>
      <c r="F112" s="60"/>
      <c r="G112" s="60"/>
      <c r="H112" s="60"/>
      <c r="I112" t="str">
        <f>IF(H112="Activo",COUNTIFS($D$2:D112,D112,$H$2:H112,"Activo"),"")</f>
        <v/>
      </c>
      <c r="J112" t="str">
        <f t="shared" si="11"/>
        <v/>
      </c>
      <c r="K112" t="str">
        <f t="shared" si="12"/>
        <v/>
      </c>
      <c r="L112">
        <f>IF($H112="Activo",COUNTIF($L$1:L111,"&gt;0")+1,"")</f>
      </c>
    </row>
    <row r="113" spans="1:11" ht="18" customHeight="1" x14ac:dyDescent="0.2">
      <c r="A113" s="31" t="str">
        <f t="shared" si="10"/>
        <v/>
      </c>
      <c r="B113" s="66"/>
      <c r="C113" s="62"/>
      <c r="D113" s="62"/>
      <c r="E113" s="62"/>
      <c r="F113" s="62"/>
      <c r="G113" s="62"/>
      <c r="H113" s="62"/>
      <c r="I113" t="str">
        <f>IF(H113="Activo",COUNTIFS($D$2:D113,D113,$H$2:H113,"Activo"),"")</f>
        <v/>
      </c>
      <c r="J113" t="str">
        <f t="shared" si="11"/>
        <v/>
      </c>
      <c r="K113" t="str">
        <f t="shared" si="12"/>
        <v/>
      </c>
      <c r="L113">
        <f>IF($H113="Activo",COUNTIF($L$1:L112,"&gt;0")+1,"")</f>
      </c>
    </row>
    <row r="114" spans="1:11" ht="18" customHeight="1" x14ac:dyDescent="0.2">
      <c r="A114" s="27" t="str">
        <f t="shared" si="10"/>
        <v/>
      </c>
      <c r="B114" s="63"/>
      <c r="C114" s="60"/>
      <c r="D114" s="60"/>
      <c r="E114" s="60"/>
      <c r="F114" s="60"/>
      <c r="G114" s="60"/>
      <c r="H114" s="60"/>
      <c r="I114" t="str">
        <f>IF(H114="Activo",COUNTIFS($D$2:D114,D114,$H$2:H114,"Activo"),"")</f>
        <v/>
      </c>
      <c r="J114" t="str">
        <f t="shared" si="11"/>
        <v/>
      </c>
      <c r="K114" t="str">
        <f t="shared" si="12"/>
        <v/>
      </c>
      <c r="L114">
        <f>IF($H114="Activo",COUNTIF($L$1:L113,"&gt;0")+1,"")</f>
      </c>
    </row>
    <row r="115" spans="1:11" ht="18" customHeight="1" x14ac:dyDescent="0.2">
      <c r="A115" s="31" t="str">
        <f t="shared" si="10"/>
        <v/>
      </c>
      <c r="B115" s="66"/>
      <c r="C115" s="62"/>
      <c r="D115" s="62"/>
      <c r="E115" s="62"/>
      <c r="F115" s="62"/>
      <c r="G115" s="62"/>
      <c r="H115" s="62"/>
      <c r="I115" t="str">
        <f>IF(H115="Activo",COUNTIFS($D$2:D115,D115,$H$2:H115,"Activo"),"")</f>
        <v/>
      </c>
      <c r="J115" t="str">
        <f t="shared" si="11"/>
        <v/>
      </c>
      <c r="K115" t="str">
        <f t="shared" si="12"/>
        <v/>
      </c>
      <c r="L115">
        <f>IF($H115="Activo",COUNTIF($L$1:L114,"&gt;0")+1,"")</f>
      </c>
    </row>
    <row r="116" spans="1:11" ht="18" customHeight="1" x14ac:dyDescent="0.2">
      <c r="A116" s="27" t="str">
        <f t="shared" si="10"/>
        <v/>
      </c>
      <c r="B116" s="63"/>
      <c r="C116" s="60"/>
      <c r="D116" s="60"/>
      <c r="E116" s="60"/>
      <c r="F116" s="60"/>
      <c r="G116" s="60"/>
      <c r="H116" s="60"/>
      <c r="I116" t="str">
        <f>IF(H116="Activo",COUNTIFS($D$2:D116,D116,$H$2:H116,"Activo"),"")</f>
        <v/>
      </c>
      <c r="J116" t="str">
        <f t="shared" si="11"/>
        <v/>
      </c>
      <c r="K116" t="str">
        <f t="shared" si="12"/>
        <v/>
      </c>
      <c r="L116">
        <f>IF($H116="Activo",COUNTIF($L$1:L115,"&gt;0")+1,"")</f>
      </c>
    </row>
    <row r="117" spans="1:11" ht="18" customHeight="1" x14ac:dyDescent="0.2">
      <c r="A117" s="31" t="str">
        <f t="shared" si="10"/>
        <v/>
      </c>
      <c r="B117" s="66"/>
      <c r="C117" s="62"/>
      <c r="D117" s="62"/>
      <c r="E117" s="62"/>
      <c r="F117" s="62"/>
      <c r="G117" s="62"/>
      <c r="H117" s="62"/>
      <c r="I117" t="str">
        <f>IF(H117="Activo",COUNTIFS($D$2:D117,D117,$H$2:H117,"Activo"),"")</f>
        <v/>
      </c>
      <c r="J117" t="str">
        <f t="shared" si="11"/>
        <v/>
      </c>
      <c r="K117" t="str">
        <f t="shared" si="12"/>
        <v/>
      </c>
      <c r="L117">
        <f>IF($H117="Activo",COUNTIF($L$1:L116,"&gt;0")+1,"")</f>
      </c>
    </row>
    <row r="118" spans="1:11" ht="18" customHeight="1" x14ac:dyDescent="0.2">
      <c r="A118" s="27" t="str">
        <f t="shared" si="10"/>
        <v/>
      </c>
      <c r="B118" s="63"/>
      <c r="C118" s="60"/>
      <c r="D118" s="60"/>
      <c r="E118" s="60"/>
      <c r="F118" s="60"/>
      <c r="G118" s="60"/>
      <c r="H118" s="60"/>
      <c r="I118" t="str">
        <f>IF(H118="Activo",COUNTIFS($D$2:D118,D118,$H$2:H118,"Activo"),"")</f>
        <v/>
      </c>
      <c r="J118" t="str">
        <f t="shared" si="11"/>
        <v/>
      </c>
      <c r="K118" t="str">
        <f t="shared" si="12"/>
        <v/>
      </c>
      <c r="L118">
        <f>IF($H118="Activo",COUNTIF($L$1:L117,"&gt;0")+1,"")</f>
      </c>
    </row>
    <row r="119" spans="1:11" ht="18" customHeight="1" x14ac:dyDescent="0.2">
      <c r="A119" s="31" t="str">
        <f t="shared" si="10"/>
        <v/>
      </c>
      <c r="B119" s="66"/>
      <c r="C119" s="62"/>
      <c r="D119" s="62"/>
      <c r="E119" s="62"/>
      <c r="F119" s="62"/>
      <c r="G119" s="62"/>
      <c r="H119" s="62"/>
      <c r="I119" t="str">
        <f>IF(H119="Activo",COUNTIFS($D$2:D119,D119,$H$2:H119,"Activo"),"")</f>
        <v/>
      </c>
      <c r="J119" t="str">
        <f t="shared" si="11"/>
        <v/>
      </c>
      <c r="K119" t="str">
        <f t="shared" si="12"/>
        <v/>
      </c>
      <c r="L119">
        <f>IF($H119="Activo",COUNTIF($L$1:L118,"&gt;0")+1,"")</f>
      </c>
    </row>
    <row r="120" spans="1:11" ht="18" customHeight="1" x14ac:dyDescent="0.2">
      <c r="A120" s="27" t="str">
        <f t="shared" si="10"/>
        <v/>
      </c>
      <c r="B120" s="63"/>
      <c r="C120" s="60"/>
      <c r="D120" s="60"/>
      <c r="E120" s="60"/>
      <c r="F120" s="60"/>
      <c r="G120" s="60"/>
      <c r="H120" s="60"/>
      <c r="I120" t="str">
        <f>IF(H120="Activo",COUNTIFS($D$2:D120,D120,$H$2:H120,"Activo"),"")</f>
        <v/>
      </c>
      <c r="J120" t="str">
        <f t="shared" si="11"/>
        <v/>
      </c>
      <c r="K120" t="str">
        <f t="shared" si="12"/>
        <v/>
      </c>
      <c r="L120">
        <f>IF($H120="Activo",COUNTIF($L$1:L119,"&gt;0")+1,"")</f>
      </c>
    </row>
    <row r="121" spans="1:11" ht="18" customHeight="1" x14ac:dyDescent="0.2">
      <c r="A121" s="31" t="str">
        <f t="shared" si="10"/>
        <v/>
      </c>
      <c r="B121" s="66"/>
      <c r="C121" s="62"/>
      <c r="D121" s="62"/>
      <c r="E121" s="62"/>
      <c r="F121" s="62"/>
      <c r="G121" s="62"/>
      <c r="H121" s="62"/>
      <c r="I121" t="str">
        <f>IF(H121="Activo",COUNTIFS($D$2:D121,D121,$H$2:H121,"Activo"),"")</f>
        <v/>
      </c>
      <c r="J121" t="str">
        <f t="shared" si="11"/>
        <v/>
      </c>
      <c r="K121" t="str">
        <f t="shared" si="12"/>
        <v/>
      </c>
      <c r="L121">
        <f>IF($H121="Activo",COUNTIF($L$1:L120,"&gt;0")+1,"")</f>
      </c>
    </row>
    <row r="122" spans="1:11" ht="18" customHeight="1" x14ac:dyDescent="0.2">
      <c r="A122" s="27" t="str">
        <f t="shared" si="10"/>
        <v/>
      </c>
      <c r="B122" s="63"/>
      <c r="C122" s="60"/>
      <c r="D122" s="60"/>
      <c r="E122" s="60"/>
      <c r="F122" s="60"/>
      <c r="G122" s="60"/>
      <c r="H122" s="60"/>
      <c r="I122" t="str">
        <f>IF(H122="Activo",COUNTIFS($D$2:D122,D122,$H$2:H122,"Activo"),"")</f>
        <v/>
      </c>
      <c r="J122" t="str">
        <f t="shared" si="11"/>
        <v/>
      </c>
      <c r="K122" t="str">
        <f t="shared" si="12"/>
        <v/>
      </c>
      <c r="L122">
        <f>IF($H122="Activo",COUNTIF($L$1:L121,"&gt;0")+1,"")</f>
      </c>
    </row>
    <row r="123" spans="1:11" ht="18" customHeight="1" x14ac:dyDescent="0.2">
      <c r="A123" s="31" t="str">
        <f t="shared" si="10"/>
        <v/>
      </c>
      <c r="B123" s="66"/>
      <c r="C123" s="62"/>
      <c r="D123" s="62"/>
      <c r="E123" s="62"/>
      <c r="F123" s="62"/>
      <c r="G123" s="62"/>
      <c r="H123" s="62"/>
      <c r="I123" t="str">
        <f>IF(H123="Activo",COUNTIFS($D$2:D123,D123,$H$2:H123,"Activo"),"")</f>
        <v/>
      </c>
      <c r="J123" t="str">
        <f t="shared" si="11"/>
        <v/>
      </c>
      <c r="K123" t="str">
        <f t="shared" si="12"/>
        <v/>
      </c>
      <c r="L123">
        <f>IF($H123="Activo",COUNTIF($L$1:L122,"&gt;0")+1,"")</f>
      </c>
    </row>
    <row r="124" spans="1:11" ht="18" customHeight="1" x14ac:dyDescent="0.2">
      <c r="A124" s="27" t="str">
        <f t="shared" si="10"/>
        <v/>
      </c>
      <c r="B124" s="63"/>
      <c r="C124" s="60"/>
      <c r="D124" s="60"/>
      <c r="E124" s="60"/>
      <c r="F124" s="60"/>
      <c r="G124" s="60"/>
      <c r="H124" s="60"/>
      <c r="I124" t="str">
        <f>IF(H124="Activo",COUNTIFS($D$2:D124,D124,$H$2:H124,"Activo"),"")</f>
        <v/>
      </c>
      <c r="J124" t="str">
        <f t="shared" si="11"/>
        <v/>
      </c>
      <c r="K124" t="str">
        <f t="shared" si="12"/>
        <v/>
      </c>
      <c r="L124">
        <f>IF($H124="Activo",COUNTIF($L$1:L123,"&gt;0")+1,"")</f>
      </c>
    </row>
    <row r="125" spans="1:11" ht="18" customHeight="1" x14ac:dyDescent="0.2">
      <c r="A125" s="31" t="str">
        <f t="shared" si="10"/>
        <v/>
      </c>
      <c r="B125" s="66"/>
      <c r="C125" s="62"/>
      <c r="D125" s="62"/>
      <c r="E125" s="62"/>
      <c r="F125" s="62"/>
      <c r="G125" s="62"/>
      <c r="H125" s="62"/>
      <c r="I125" t="str">
        <f>IF(H125="Activo",COUNTIFS($D$2:D125,D125,$H$2:H125,"Activo"),"")</f>
        <v/>
      </c>
      <c r="J125" t="str">
        <f t="shared" si="11"/>
        <v/>
      </c>
      <c r="K125" t="str">
        <f t="shared" si="12"/>
        <v/>
      </c>
      <c r="L125">
        <f>IF($H125="Activo",COUNTIF($L$1:L124,"&gt;0")+1,"")</f>
      </c>
    </row>
    <row r="126" spans="1:11" ht="18" customHeight="1" x14ac:dyDescent="0.2">
      <c r="A126" s="27" t="str">
        <f t="shared" si="10"/>
        <v/>
      </c>
      <c r="B126" s="63"/>
      <c r="C126" s="60"/>
      <c r="D126" s="60"/>
      <c r="E126" s="60"/>
      <c r="F126" s="60"/>
      <c r="G126" s="60"/>
      <c r="H126" s="60"/>
      <c r="I126" t="str">
        <f>IF(H126="Activo",COUNTIFS($D$2:D126,D126,$H$2:H126,"Activo"),"")</f>
        <v/>
      </c>
      <c r="J126" t="str">
        <f t="shared" si="11"/>
        <v/>
      </c>
      <c r="K126" t="str">
        <f t="shared" si="12"/>
        <v/>
      </c>
      <c r="L126">
        <f>IF($H126="Activo",COUNTIF($L$1:L125,"&gt;0")+1,"")</f>
      </c>
    </row>
    <row r="127" spans="1:11" ht="18" customHeight="1" x14ac:dyDescent="0.2">
      <c r="A127" s="31" t="str">
        <f t="shared" si="10"/>
        <v/>
      </c>
      <c r="B127" s="66"/>
      <c r="C127" s="62"/>
      <c r="D127" s="62"/>
      <c r="E127" s="62"/>
      <c r="F127" s="62"/>
      <c r="G127" s="62"/>
      <c r="H127" s="62"/>
      <c r="I127" t="str">
        <f>IF(H127="Activo",COUNTIFS($D$2:D127,D127,$H$2:H127,"Activo"),"")</f>
        <v/>
      </c>
      <c r="J127" t="str">
        <f t="shared" si="11"/>
        <v/>
      </c>
      <c r="K127" t="str">
        <f t="shared" si="12"/>
        <v/>
      </c>
      <c r="L127">
        <f>IF($H127="Activo",COUNTIF($L$1:L126,"&gt;0")+1,"")</f>
      </c>
    </row>
    <row r="128" spans="1:11" ht="18" customHeight="1" x14ac:dyDescent="0.2">
      <c r="A128" s="27" t="str">
        <f t="shared" si="10"/>
        <v/>
      </c>
      <c r="B128" s="63"/>
      <c r="C128" s="60"/>
      <c r="D128" s="60"/>
      <c r="E128" s="60"/>
      <c r="F128" s="60"/>
      <c r="G128" s="60"/>
      <c r="H128" s="60"/>
      <c r="I128" t="str">
        <f>IF(H128="Activo",COUNTIFS($D$2:D128,D128,$H$2:H128,"Activo"),"")</f>
        <v/>
      </c>
      <c r="J128" t="str">
        <f t="shared" si="11"/>
        <v/>
      </c>
      <c r="K128" t="str">
        <f t="shared" si="12"/>
        <v/>
      </c>
      <c r="L128">
        <f>IF($H128="Activo",COUNTIF($L$1:L127,"&gt;0")+1,"")</f>
      </c>
    </row>
    <row r="129" spans="1:11" ht="18" customHeight="1" x14ac:dyDescent="0.2">
      <c r="A129" s="31" t="str">
        <f t="shared" si="10"/>
        <v/>
      </c>
      <c r="B129" s="66"/>
      <c r="C129" s="62"/>
      <c r="D129" s="62"/>
      <c r="E129" s="62"/>
      <c r="F129" s="62"/>
      <c r="G129" s="62"/>
      <c r="H129" s="62"/>
      <c r="I129" t="str">
        <f>IF(H129="Activo",COUNTIFS($D$2:D129,D129,$H$2:H129,"Activo"),"")</f>
        <v/>
      </c>
      <c r="J129" t="str">
        <f t="shared" si="11"/>
        <v/>
      </c>
      <c r="K129" t="str">
        <f t="shared" si="12"/>
        <v/>
      </c>
      <c r="L129">
        <f>IF($H129="Activo",COUNTIF($L$1:L128,"&gt;0")+1,"")</f>
      </c>
    </row>
    <row r="130" spans="1:11" ht="18" customHeight="1" x14ac:dyDescent="0.2">
      <c r="A130" s="27" t="str">
        <f t="shared" ref="A130:A161" si="13">IF(D130&lt;&gt;"",ROW()-1,"")</f>
        <v/>
      </c>
      <c r="B130" s="63"/>
      <c r="C130" s="60"/>
      <c r="D130" s="60"/>
      <c r="E130" s="60"/>
      <c r="F130" s="60"/>
      <c r="G130" s="60"/>
      <c r="H130" s="60"/>
      <c r="I130" t="str">
        <f>IF(H130="Activo",COUNTIFS($D$2:D130,D130,$H$2:H130,"Activo"),"")</f>
        <v/>
      </c>
      <c r="J130" t="str">
        <f t="shared" ref="J130:J161" si="14">IF(I130&lt;&gt;"",D130&amp;"|"&amp;I130,"")</f>
        <v/>
      </c>
      <c r="K130" t="str">
        <f t="shared" ref="K130:K161" si="15">IF(J130&lt;&gt;"",IF(F130&lt;&gt;"",F130&amp;" ("&amp;G130&amp;")",G130),"")</f>
        <v/>
      </c>
      <c r="L130">
        <f>IF($H130="Activo",COUNTIF($L$1:L129,"&gt;0")+1,"")</f>
      </c>
    </row>
    <row r="131" spans="1:11" ht="18" customHeight="1" x14ac:dyDescent="0.2">
      <c r="A131" s="31" t="str">
        <f t="shared" si="13"/>
        <v/>
      </c>
      <c r="B131" s="66"/>
      <c r="C131" s="62"/>
      <c r="D131" s="62"/>
      <c r="E131" s="62"/>
      <c r="F131" s="62"/>
      <c r="G131" s="62"/>
      <c r="H131" s="62"/>
      <c r="I131" t="str">
        <f>IF(H131="Activo",COUNTIFS($D$2:D131,D131,$H$2:H131,"Activo"),"")</f>
        <v/>
      </c>
      <c r="J131" t="str">
        <f t="shared" si="14"/>
        <v/>
      </c>
      <c r="K131" t="str">
        <f t="shared" si="15"/>
        <v/>
      </c>
      <c r="L131">
        <f>IF($H131="Activo",COUNTIF($L$1:L130,"&gt;0")+1,"")</f>
      </c>
    </row>
    <row r="132" spans="1:11" ht="18" customHeight="1" x14ac:dyDescent="0.2">
      <c r="A132" s="27" t="str">
        <f t="shared" si="13"/>
        <v/>
      </c>
      <c r="B132" s="63"/>
      <c r="C132" s="60"/>
      <c r="D132" s="60"/>
      <c r="E132" s="60"/>
      <c r="F132" s="60"/>
      <c r="G132" s="60"/>
      <c r="H132" s="60"/>
      <c r="I132" t="str">
        <f>IF(H132="Activo",COUNTIFS($D$2:D132,D132,$H$2:H132,"Activo"),"")</f>
        <v/>
      </c>
      <c r="J132" t="str">
        <f t="shared" si="14"/>
        <v/>
      </c>
      <c r="K132" t="str">
        <f t="shared" si="15"/>
        <v/>
      </c>
      <c r="L132">
        <f>IF($H132="Activo",COUNTIF($L$1:L131,"&gt;0")+1,"")</f>
      </c>
    </row>
    <row r="133" spans="1:11" ht="18" customHeight="1" x14ac:dyDescent="0.2">
      <c r="A133" s="31" t="str">
        <f t="shared" si="13"/>
        <v/>
      </c>
      <c r="B133" s="66"/>
      <c r="C133" s="62"/>
      <c r="D133" s="62"/>
      <c r="E133" s="62"/>
      <c r="F133" s="62"/>
      <c r="G133" s="62"/>
      <c r="H133" s="62"/>
      <c r="I133" t="str">
        <f>IF(H133="Activo",COUNTIFS($D$2:D133,D133,$H$2:H133,"Activo"),"")</f>
        <v/>
      </c>
      <c r="J133" t="str">
        <f t="shared" si="14"/>
        <v/>
      </c>
      <c r="K133" t="str">
        <f t="shared" si="15"/>
        <v/>
      </c>
      <c r="L133">
        <f>IF($H133="Activo",COUNTIF($L$1:L132,"&gt;0")+1,"")</f>
      </c>
    </row>
    <row r="134" spans="1:11" ht="18" customHeight="1" x14ac:dyDescent="0.2">
      <c r="A134" s="27" t="str">
        <f t="shared" si="13"/>
        <v/>
      </c>
      <c r="B134" s="63"/>
      <c r="C134" s="60"/>
      <c r="D134" s="60"/>
      <c r="E134" s="60"/>
      <c r="F134" s="60"/>
      <c r="G134" s="60"/>
      <c r="H134" s="60"/>
      <c r="I134" t="str">
        <f>IF(H134="Activo",COUNTIFS($D$2:D134,D134,$H$2:H134,"Activo"),"")</f>
        <v/>
      </c>
      <c r="J134" t="str">
        <f t="shared" si="14"/>
        <v/>
      </c>
      <c r="K134" t="str">
        <f t="shared" si="15"/>
        <v/>
      </c>
      <c r="L134">
        <f>IF($H134="Activo",COUNTIF($L$1:L133,"&gt;0")+1,"")</f>
      </c>
    </row>
    <row r="135" spans="1:11" ht="18" customHeight="1" x14ac:dyDescent="0.2">
      <c r="A135" s="31" t="str">
        <f t="shared" si="13"/>
        <v/>
      </c>
      <c r="B135" s="66"/>
      <c r="C135" s="62"/>
      <c r="D135" s="62"/>
      <c r="E135" s="62"/>
      <c r="F135" s="62"/>
      <c r="G135" s="62"/>
      <c r="H135" s="62"/>
      <c r="I135" t="str">
        <f>IF(H135="Activo",COUNTIFS($D$2:D135,D135,$H$2:H135,"Activo"),"")</f>
        <v/>
      </c>
      <c r="J135" t="str">
        <f t="shared" si="14"/>
        <v/>
      </c>
      <c r="K135" t="str">
        <f t="shared" si="15"/>
        <v/>
      </c>
      <c r="L135">
        <f>IF($H135="Activo",COUNTIF($L$1:L134,"&gt;0")+1,"")</f>
      </c>
    </row>
    <row r="136" spans="1:11" ht="18" customHeight="1" x14ac:dyDescent="0.2">
      <c r="A136" s="27" t="str">
        <f t="shared" si="13"/>
        <v/>
      </c>
      <c r="B136" s="63"/>
      <c r="C136" s="60"/>
      <c r="D136" s="60"/>
      <c r="E136" s="60"/>
      <c r="F136" s="60"/>
      <c r="G136" s="60"/>
      <c r="H136" s="60"/>
      <c r="I136" t="str">
        <f>IF(H136="Activo",COUNTIFS($D$2:D136,D136,$H$2:H136,"Activo"),"")</f>
        <v/>
      </c>
      <c r="J136" t="str">
        <f t="shared" si="14"/>
        <v/>
      </c>
      <c r="K136" t="str">
        <f t="shared" si="15"/>
        <v/>
      </c>
      <c r="L136">
        <f>IF($H136="Activo",COUNTIF($L$1:L135,"&gt;0")+1,"")</f>
      </c>
    </row>
    <row r="137" spans="1:11" ht="18" customHeight="1" x14ac:dyDescent="0.2">
      <c r="A137" s="31" t="str">
        <f t="shared" si="13"/>
        <v/>
      </c>
      <c r="B137" s="66"/>
      <c r="C137" s="62"/>
      <c r="D137" s="62"/>
      <c r="E137" s="62"/>
      <c r="F137" s="62"/>
      <c r="G137" s="62"/>
      <c r="H137" s="62"/>
      <c r="I137" t="str">
        <f>IF(H137="Activo",COUNTIFS($D$2:D137,D137,$H$2:H137,"Activo"),"")</f>
        <v/>
      </c>
      <c r="J137" t="str">
        <f t="shared" si="14"/>
        <v/>
      </c>
      <c r="K137" t="str">
        <f t="shared" si="15"/>
        <v/>
      </c>
      <c r="L137">
        <f>IF($H137="Activo",COUNTIF($L$1:L136,"&gt;0")+1,"")</f>
      </c>
    </row>
    <row r="138" spans="1:11" ht="18" customHeight="1" x14ac:dyDescent="0.2">
      <c r="A138" s="27" t="str">
        <f t="shared" si="13"/>
        <v/>
      </c>
      <c r="B138" s="63"/>
      <c r="C138" s="60"/>
      <c r="D138" s="60"/>
      <c r="E138" s="60"/>
      <c r="F138" s="60"/>
      <c r="G138" s="60"/>
      <c r="H138" s="60"/>
      <c r="I138" t="str">
        <f>IF(H138="Activo",COUNTIFS($D$2:D138,D138,$H$2:H138,"Activo"),"")</f>
        <v/>
      </c>
      <c r="J138" t="str">
        <f t="shared" si="14"/>
        <v/>
      </c>
      <c r="K138" t="str">
        <f t="shared" si="15"/>
        <v/>
      </c>
      <c r="L138">
        <f>IF($H138="Activo",COUNTIF($L$1:L137,"&gt;0")+1,"")</f>
      </c>
    </row>
    <row r="139" spans="1:11" ht="18" customHeight="1" x14ac:dyDescent="0.2">
      <c r="A139" s="31" t="str">
        <f t="shared" si="13"/>
        <v/>
      </c>
      <c r="B139" s="66"/>
      <c r="C139" s="62"/>
      <c r="D139" s="62"/>
      <c r="E139" s="62"/>
      <c r="F139" s="62"/>
      <c r="G139" s="62"/>
      <c r="H139" s="62"/>
      <c r="I139" t="str">
        <f>IF(H139="Activo",COUNTIFS($D$2:D139,D139,$H$2:H139,"Activo"),"")</f>
        <v/>
      </c>
      <c r="J139" t="str">
        <f t="shared" si="14"/>
        <v/>
      </c>
      <c r="K139" t="str">
        <f t="shared" si="15"/>
        <v/>
      </c>
      <c r="L139">
        <f>IF($H139="Activo",COUNTIF($L$1:L138,"&gt;0")+1,"")</f>
      </c>
    </row>
    <row r="140" spans="1:11" ht="18" customHeight="1" x14ac:dyDescent="0.2">
      <c r="A140" s="27" t="str">
        <f t="shared" si="13"/>
        <v/>
      </c>
      <c r="B140" s="63"/>
      <c r="C140" s="60"/>
      <c r="D140" s="60"/>
      <c r="E140" s="60"/>
      <c r="F140" s="60"/>
      <c r="G140" s="60"/>
      <c r="H140" s="60"/>
      <c r="I140" t="str">
        <f>IF(H140="Activo",COUNTIFS($D$2:D140,D140,$H$2:H140,"Activo"),"")</f>
        <v/>
      </c>
      <c r="J140" t="str">
        <f t="shared" si="14"/>
        <v/>
      </c>
      <c r="K140" t="str">
        <f t="shared" si="15"/>
        <v/>
      </c>
      <c r="L140">
        <f>IF($H140="Activo",COUNTIF($L$1:L139,"&gt;0")+1,"")</f>
      </c>
    </row>
    <row r="141" spans="1:11" ht="18" customHeight="1" x14ac:dyDescent="0.2">
      <c r="A141" s="31" t="str">
        <f t="shared" si="13"/>
        <v/>
      </c>
      <c r="B141" s="66"/>
      <c r="C141" s="62"/>
      <c r="D141" s="62"/>
      <c r="E141" s="62"/>
      <c r="F141" s="62"/>
      <c r="G141" s="62"/>
      <c r="H141" s="62"/>
      <c r="I141" t="str">
        <f>IF(H141="Activo",COUNTIFS($D$2:D141,D141,$H$2:H141,"Activo"),"")</f>
        <v/>
      </c>
      <c r="J141" t="str">
        <f t="shared" si="14"/>
        <v/>
      </c>
      <c r="K141" t="str">
        <f t="shared" si="15"/>
        <v/>
      </c>
      <c r="L141">
        <f>IF($H141="Activo",COUNTIF($L$1:L140,"&gt;0")+1,"")</f>
      </c>
    </row>
    <row r="142" spans="1:11" ht="18" customHeight="1" x14ac:dyDescent="0.2">
      <c r="A142" s="27" t="str">
        <f t="shared" si="13"/>
        <v/>
      </c>
      <c r="B142" s="63"/>
      <c r="C142" s="60"/>
      <c r="D142" s="60"/>
      <c r="E142" s="60"/>
      <c r="F142" s="60"/>
      <c r="G142" s="60"/>
      <c r="H142" s="60"/>
      <c r="I142" t="str">
        <f>IF(H142="Activo",COUNTIFS($D$2:D142,D142,$H$2:H142,"Activo"),"")</f>
        <v/>
      </c>
      <c r="J142" t="str">
        <f t="shared" si="14"/>
        <v/>
      </c>
      <c r="K142" t="str">
        <f t="shared" si="15"/>
        <v/>
      </c>
      <c r="L142">
        <f>IF($H142="Activo",COUNTIF($L$1:L141,"&gt;0")+1,"")</f>
      </c>
    </row>
    <row r="143" spans="1:11" ht="18" customHeight="1" x14ac:dyDescent="0.2">
      <c r="A143" s="31" t="str">
        <f t="shared" si="13"/>
        <v/>
      </c>
      <c r="B143" s="66"/>
      <c r="C143" s="62"/>
      <c r="D143" s="62"/>
      <c r="E143" s="62"/>
      <c r="F143" s="62"/>
      <c r="G143" s="62"/>
      <c r="H143" s="62"/>
      <c r="I143" t="str">
        <f>IF(H143="Activo",COUNTIFS($D$2:D143,D143,$H$2:H143,"Activo"),"")</f>
        <v/>
      </c>
      <c r="J143" t="str">
        <f t="shared" si="14"/>
        <v/>
      </c>
      <c r="K143" t="str">
        <f t="shared" si="15"/>
        <v/>
      </c>
      <c r="L143">
        <f>IF($H143="Activo",COUNTIF($L$1:L142,"&gt;0")+1,"")</f>
      </c>
    </row>
    <row r="144" spans="1:11" ht="18" customHeight="1" x14ac:dyDescent="0.2">
      <c r="A144" s="27" t="str">
        <f t="shared" si="13"/>
        <v/>
      </c>
      <c r="B144" s="63"/>
      <c r="C144" s="60"/>
      <c r="D144" s="60"/>
      <c r="E144" s="60"/>
      <c r="F144" s="60"/>
      <c r="G144" s="60"/>
      <c r="H144" s="60"/>
      <c r="I144" t="str">
        <f>IF(H144="Activo",COUNTIFS($D$2:D144,D144,$H$2:H144,"Activo"),"")</f>
        <v/>
      </c>
      <c r="J144" t="str">
        <f t="shared" si="14"/>
        <v/>
      </c>
      <c r="K144" t="str">
        <f t="shared" si="15"/>
        <v/>
      </c>
      <c r="L144">
        <f>IF($H144="Activo",COUNTIF($L$1:L143,"&gt;0")+1,"")</f>
      </c>
    </row>
    <row r="145" spans="1:11" ht="18" customHeight="1" x14ac:dyDescent="0.2">
      <c r="A145" s="31" t="str">
        <f t="shared" si="13"/>
        <v/>
      </c>
      <c r="B145" s="66"/>
      <c r="C145" s="62"/>
      <c r="D145" s="62"/>
      <c r="E145" s="62"/>
      <c r="F145" s="62"/>
      <c r="G145" s="62"/>
      <c r="H145" s="62"/>
      <c r="I145" t="str">
        <f>IF(H145="Activo",COUNTIFS($D$2:D145,D145,$H$2:H145,"Activo"),"")</f>
        <v/>
      </c>
      <c r="J145" t="str">
        <f t="shared" si="14"/>
        <v/>
      </c>
      <c r="K145" t="str">
        <f t="shared" si="15"/>
        <v/>
      </c>
      <c r="L145">
        <f>IF($H145="Activo",COUNTIF($L$1:L144,"&gt;0")+1,"")</f>
      </c>
    </row>
    <row r="146" spans="1:11" ht="18" customHeight="1" x14ac:dyDescent="0.2">
      <c r="A146" s="27" t="str">
        <f t="shared" si="13"/>
        <v/>
      </c>
      <c r="B146" s="63"/>
      <c r="C146" s="60"/>
      <c r="D146" s="60"/>
      <c r="E146" s="60"/>
      <c r="F146" s="60"/>
      <c r="G146" s="60"/>
      <c r="H146" s="60"/>
      <c r="I146" t="str">
        <f>IF(H146="Activo",COUNTIFS($D$2:D146,D146,$H$2:H146,"Activo"),"")</f>
        <v/>
      </c>
      <c r="J146" t="str">
        <f t="shared" si="14"/>
        <v/>
      </c>
      <c r="K146" t="str">
        <f t="shared" si="15"/>
        <v/>
      </c>
      <c r="L146">
        <f>IF($H146="Activo",COUNTIF($L$1:L145,"&gt;0")+1,"")</f>
      </c>
    </row>
    <row r="147" spans="1:11" ht="18" customHeight="1" x14ac:dyDescent="0.2">
      <c r="A147" s="31" t="str">
        <f t="shared" si="13"/>
        <v/>
      </c>
      <c r="B147" s="66"/>
      <c r="C147" s="62"/>
      <c r="D147" s="62"/>
      <c r="E147" s="62"/>
      <c r="F147" s="62"/>
      <c r="G147" s="62"/>
      <c r="H147" s="62"/>
      <c r="I147" t="str">
        <f>IF(H147="Activo",COUNTIFS($D$2:D147,D147,$H$2:H147,"Activo"),"")</f>
        <v/>
      </c>
      <c r="J147" t="str">
        <f t="shared" si="14"/>
        <v/>
      </c>
      <c r="K147" t="str">
        <f t="shared" si="15"/>
        <v/>
      </c>
      <c r="L147">
        <f>IF($H147="Activo",COUNTIF($L$1:L146,"&gt;0")+1,"")</f>
      </c>
    </row>
    <row r="148" spans="1:11" ht="18" customHeight="1" x14ac:dyDescent="0.2">
      <c r="A148" s="27" t="str">
        <f t="shared" si="13"/>
        <v/>
      </c>
      <c r="B148" s="63"/>
      <c r="C148" s="60"/>
      <c r="D148" s="60"/>
      <c r="E148" s="60"/>
      <c r="F148" s="60"/>
      <c r="G148" s="60"/>
      <c r="H148" s="60"/>
      <c r="I148" t="str">
        <f>IF(H148="Activo",COUNTIFS($D$2:D148,D148,$H$2:H148,"Activo"),"")</f>
        <v/>
      </c>
      <c r="J148" t="str">
        <f t="shared" si="14"/>
        <v/>
      </c>
      <c r="K148" t="str">
        <f t="shared" si="15"/>
        <v/>
      </c>
      <c r="L148">
        <f>IF($H148="Activo",COUNTIF($L$1:L147,"&gt;0")+1,"")</f>
      </c>
    </row>
    <row r="149" spans="1:11" ht="18" customHeight="1" x14ac:dyDescent="0.2">
      <c r="A149" s="31" t="str">
        <f t="shared" si="13"/>
        <v/>
      </c>
      <c r="B149" s="66"/>
      <c r="C149" s="62"/>
      <c r="D149" s="62"/>
      <c r="E149" s="62"/>
      <c r="F149" s="62"/>
      <c r="G149" s="62"/>
      <c r="H149" s="62"/>
      <c r="I149" t="str">
        <f>IF(H149="Activo",COUNTIFS($D$2:D149,D149,$H$2:H149,"Activo"),"")</f>
        <v/>
      </c>
      <c r="J149" t="str">
        <f t="shared" si="14"/>
        <v/>
      </c>
      <c r="K149" t="str">
        <f t="shared" si="15"/>
        <v/>
      </c>
      <c r="L149">
        <f>IF($H149="Activo",COUNTIF($L$1:L148,"&gt;0")+1,"")</f>
      </c>
    </row>
    <row r="150" spans="1:11" ht="18" customHeight="1" x14ac:dyDescent="0.2">
      <c r="A150" s="27" t="str">
        <f t="shared" si="13"/>
        <v/>
      </c>
      <c r="B150" s="63"/>
      <c r="C150" s="60"/>
      <c r="D150" s="60"/>
      <c r="E150" s="60"/>
      <c r="F150" s="60"/>
      <c r="G150" s="60"/>
      <c r="H150" s="60"/>
      <c r="I150" t="str">
        <f>IF(H150="Activo",COUNTIFS($D$2:D150,D150,$H$2:H150,"Activo"),"")</f>
        <v/>
      </c>
      <c r="J150" t="str">
        <f t="shared" si="14"/>
        <v/>
      </c>
      <c r="K150" t="str">
        <f t="shared" si="15"/>
        <v/>
      </c>
      <c r="L150">
        <f>IF($H150="Activo",COUNTIF($L$1:L149,"&gt;0")+1,"")</f>
      </c>
    </row>
    <row r="151" spans="1:11" ht="18" customHeight="1" x14ac:dyDescent="0.2">
      <c r="A151" s="31" t="str">
        <f t="shared" si="13"/>
        <v/>
      </c>
      <c r="B151" s="66"/>
      <c r="C151" s="62"/>
      <c r="D151" s="62"/>
      <c r="E151" s="62"/>
      <c r="F151" s="62"/>
      <c r="G151" s="62"/>
      <c r="H151" s="62"/>
      <c r="I151" t="str">
        <f>IF(H151="Activo",COUNTIFS($D$2:D151,D151,$H$2:H151,"Activo"),"")</f>
        <v/>
      </c>
      <c r="J151" t="str">
        <f t="shared" si="14"/>
        <v/>
      </c>
      <c r="K151" t="str">
        <f t="shared" si="15"/>
        <v/>
      </c>
      <c r="L151">
        <f>IF($H151="Activo",COUNTIF($L$1:L150,"&gt;0")+1,"")</f>
      </c>
    </row>
    <row r="152" spans="1:11" ht="18" customHeight="1" x14ac:dyDescent="0.2">
      <c r="A152" s="27" t="str">
        <f t="shared" si="13"/>
        <v/>
      </c>
      <c r="B152" s="63"/>
      <c r="C152" s="60"/>
      <c r="D152" s="60"/>
      <c r="E152" s="60"/>
      <c r="F152" s="60"/>
      <c r="G152" s="60"/>
      <c r="H152" s="60"/>
      <c r="I152" t="str">
        <f>IF(H152="Activo",COUNTIFS($D$2:D152,D152,$H$2:H152,"Activo"),"")</f>
        <v/>
      </c>
      <c r="J152" t="str">
        <f t="shared" si="14"/>
        <v/>
      </c>
      <c r="K152" t="str">
        <f t="shared" si="15"/>
        <v/>
      </c>
      <c r="L152">
        <f>IF($H152="Activo",COUNTIF($L$1:L151,"&gt;0")+1,"")</f>
      </c>
    </row>
    <row r="153" spans="1:11" ht="18" customHeight="1" x14ac:dyDescent="0.2">
      <c r="A153" s="31" t="str">
        <f t="shared" si="13"/>
        <v/>
      </c>
      <c r="B153" s="66"/>
      <c r="C153" s="62"/>
      <c r="D153" s="62"/>
      <c r="E153" s="62"/>
      <c r="F153" s="62"/>
      <c r="G153" s="62"/>
      <c r="H153" s="62"/>
      <c r="I153" t="str">
        <f>IF(H153="Activo",COUNTIFS($D$2:D153,D153,$H$2:H153,"Activo"),"")</f>
        <v/>
      </c>
      <c r="J153" t="str">
        <f t="shared" si="14"/>
        <v/>
      </c>
      <c r="K153" t="str">
        <f t="shared" si="15"/>
        <v/>
      </c>
      <c r="L153">
        <f>IF($H153="Activo",COUNTIF($L$1:L152,"&gt;0")+1,"")</f>
      </c>
    </row>
    <row r="154" spans="1:11" ht="18" customHeight="1" x14ac:dyDescent="0.2">
      <c r="A154" s="27" t="str">
        <f t="shared" si="13"/>
        <v/>
      </c>
      <c r="B154" s="63"/>
      <c r="C154" s="60"/>
      <c r="D154" s="60"/>
      <c r="E154" s="60"/>
      <c r="F154" s="60"/>
      <c r="G154" s="60"/>
      <c r="H154" s="60"/>
      <c r="I154" t="str">
        <f>IF(H154="Activo",COUNTIFS($D$2:D154,D154,$H$2:H154,"Activo"),"")</f>
        <v/>
      </c>
      <c r="J154" t="str">
        <f t="shared" si="14"/>
        <v/>
      </c>
      <c r="K154" t="str">
        <f t="shared" si="15"/>
        <v/>
      </c>
      <c r="L154">
        <f>IF($H154="Activo",COUNTIF($L$1:L153,"&gt;0")+1,"")</f>
      </c>
    </row>
    <row r="155" spans="1:11" ht="18" customHeight="1" x14ac:dyDescent="0.2">
      <c r="A155" s="31" t="str">
        <f t="shared" si="13"/>
        <v/>
      </c>
      <c r="B155" s="66"/>
      <c r="C155" s="62"/>
      <c r="D155" s="62"/>
      <c r="E155" s="62"/>
      <c r="F155" s="62"/>
      <c r="G155" s="62"/>
      <c r="H155" s="62"/>
      <c r="I155" t="str">
        <f>IF(H155="Activo",COUNTIFS($D$2:D155,D155,$H$2:H155,"Activo"),"")</f>
        <v/>
      </c>
      <c r="J155" t="str">
        <f t="shared" si="14"/>
        <v/>
      </c>
      <c r="K155" t="str">
        <f t="shared" si="15"/>
        <v/>
      </c>
      <c r="L155">
        <f>IF($H155="Activo",COUNTIF($L$1:L154,"&gt;0")+1,"")</f>
      </c>
    </row>
    <row r="156" spans="1:11" ht="18" customHeight="1" x14ac:dyDescent="0.2">
      <c r="A156" s="27" t="str">
        <f t="shared" si="13"/>
        <v/>
      </c>
      <c r="B156" s="63"/>
      <c r="C156" s="60"/>
      <c r="D156" s="60"/>
      <c r="E156" s="60"/>
      <c r="F156" s="60"/>
      <c r="G156" s="60"/>
      <c r="H156" s="60"/>
      <c r="I156" t="str">
        <f>IF(H156="Activo",COUNTIFS($D$2:D156,D156,$H$2:H156,"Activo"),"")</f>
        <v/>
      </c>
      <c r="J156" t="str">
        <f t="shared" si="14"/>
        <v/>
      </c>
      <c r="K156" t="str">
        <f t="shared" si="15"/>
        <v/>
      </c>
      <c r="L156">
        <f>IF($H156="Activo",COUNTIF($L$1:L155,"&gt;0")+1,"")</f>
      </c>
    </row>
    <row r="157" spans="1:11" ht="18" customHeight="1" x14ac:dyDescent="0.2">
      <c r="A157" s="31" t="str">
        <f t="shared" si="13"/>
        <v/>
      </c>
      <c r="B157" s="66"/>
      <c r="C157" s="62"/>
      <c r="D157" s="62"/>
      <c r="E157" s="62"/>
      <c r="F157" s="62"/>
      <c r="G157" s="62"/>
      <c r="H157" s="62"/>
      <c r="I157" t="str">
        <f>IF(H157="Activo",COUNTIFS($D$2:D157,D157,$H$2:H157,"Activo"),"")</f>
        <v/>
      </c>
      <c r="J157" t="str">
        <f t="shared" si="14"/>
        <v/>
      </c>
      <c r="K157" t="str">
        <f t="shared" si="15"/>
        <v/>
      </c>
      <c r="L157">
        <f>IF($H157="Activo",COUNTIF($L$1:L156,"&gt;0")+1,"")</f>
      </c>
    </row>
    <row r="158" spans="1:11" ht="18" customHeight="1" x14ac:dyDescent="0.2">
      <c r="A158" s="27" t="str">
        <f t="shared" si="13"/>
        <v/>
      </c>
      <c r="B158" s="63"/>
      <c r="C158" s="60"/>
      <c r="D158" s="60"/>
      <c r="E158" s="60"/>
      <c r="F158" s="60"/>
      <c r="G158" s="60"/>
      <c r="H158" s="60"/>
      <c r="I158" t="str">
        <f>IF(H158="Activo",COUNTIFS($D$2:D158,D158,$H$2:H158,"Activo"),"")</f>
        <v/>
      </c>
      <c r="J158" t="str">
        <f t="shared" si="14"/>
        <v/>
      </c>
      <c r="K158" t="str">
        <f t="shared" si="15"/>
        <v/>
      </c>
      <c r="L158">
        <f>IF($H158="Activo",COUNTIF($L$1:L157,"&gt;0")+1,"")</f>
      </c>
    </row>
    <row r="159" spans="1:11" ht="18" customHeight="1" x14ac:dyDescent="0.2">
      <c r="A159" s="31" t="str">
        <f t="shared" si="13"/>
        <v/>
      </c>
      <c r="B159" s="66"/>
      <c r="C159" s="62"/>
      <c r="D159" s="62"/>
      <c r="E159" s="62"/>
      <c r="F159" s="62"/>
      <c r="G159" s="62"/>
      <c r="H159" s="62"/>
      <c r="I159" t="str">
        <f>IF(H159="Activo",COUNTIFS($D$2:D159,D159,$H$2:H159,"Activo"),"")</f>
        <v/>
      </c>
      <c r="J159" t="str">
        <f t="shared" si="14"/>
        <v/>
      </c>
      <c r="K159" t="str">
        <f t="shared" si="15"/>
        <v/>
      </c>
      <c r="L159">
        <f>IF($H159="Activo",COUNTIF($L$1:L158,"&gt;0")+1,"")</f>
      </c>
    </row>
    <row r="160" spans="1:11" ht="18" customHeight="1" x14ac:dyDescent="0.2">
      <c r="A160" s="27" t="str">
        <f t="shared" si="13"/>
        <v/>
      </c>
      <c r="B160" s="63"/>
      <c r="C160" s="60"/>
      <c r="D160" s="60"/>
      <c r="E160" s="60"/>
      <c r="F160" s="60"/>
      <c r="G160" s="60"/>
      <c r="H160" s="60"/>
      <c r="I160" t="str">
        <f>IF(H160="Activo",COUNTIFS($D$2:D160,D160,$H$2:H160,"Activo"),"")</f>
        <v/>
      </c>
      <c r="J160" t="str">
        <f t="shared" si="14"/>
        <v/>
      </c>
      <c r="K160" t="str">
        <f t="shared" si="15"/>
        <v/>
      </c>
      <c r="L160">
        <f>IF($H160="Activo",COUNTIF($L$1:L159,"&gt;0")+1,"")</f>
      </c>
    </row>
    <row r="161" spans="1:11" ht="18" customHeight="1" x14ac:dyDescent="0.2">
      <c r="A161" s="31" t="str">
        <f t="shared" si="13"/>
        <v/>
      </c>
      <c r="B161" s="66"/>
      <c r="C161" s="62"/>
      <c r="D161" s="62"/>
      <c r="E161" s="62"/>
      <c r="F161" s="62"/>
      <c r="G161" s="62"/>
      <c r="H161" s="62"/>
      <c r="I161" t="str">
        <f>IF(H161="Activo",COUNTIFS($D$2:D161,D161,$H$2:H161,"Activo"),"")</f>
        <v/>
      </c>
      <c r="J161" t="str">
        <f t="shared" si="14"/>
        <v/>
      </c>
      <c r="K161" t="str">
        <f t="shared" si="15"/>
        <v/>
      </c>
      <c r="L161">
        <f>IF($H161="Activo",COUNTIF($L$1:L160,"&gt;0")+1,"")</f>
      </c>
    </row>
    <row r="162" spans="1:11" ht="18" customHeight="1" x14ac:dyDescent="0.2">
      <c r="A162" s="27" t="str">
        <f t="shared" ref="A162:A193" si="16">IF(D162&lt;&gt;"",ROW()-1,"")</f>
        <v/>
      </c>
      <c r="B162" s="63"/>
      <c r="C162" s="60"/>
      <c r="D162" s="60"/>
      <c r="E162" s="60"/>
      <c r="F162" s="60"/>
      <c r="G162" s="60"/>
      <c r="H162" s="60"/>
      <c r="I162" t="str">
        <f>IF(H162="Activo",COUNTIFS($D$2:D162,D162,$H$2:H162,"Activo"),"")</f>
        <v/>
      </c>
      <c r="J162" t="str">
        <f t="shared" ref="J162:J193" si="17">IF(I162&lt;&gt;"",D162&amp;"|"&amp;I162,"")</f>
        <v/>
      </c>
      <c r="K162" t="str">
        <f t="shared" ref="K162:K193" si="18">IF(J162&lt;&gt;"",IF(F162&lt;&gt;"",F162&amp;" ("&amp;G162&amp;")",G162),"")</f>
        <v/>
      </c>
      <c r="L162">
        <f>IF($H162="Activo",COUNTIF($L$1:L161,"&gt;0")+1,"")</f>
      </c>
    </row>
    <row r="163" spans="1:11" ht="18" customHeight="1" x14ac:dyDescent="0.2">
      <c r="A163" s="31" t="str">
        <f t="shared" si="16"/>
        <v/>
      </c>
      <c r="B163" s="66"/>
      <c r="C163" s="62"/>
      <c r="D163" s="62"/>
      <c r="E163" s="62"/>
      <c r="F163" s="62"/>
      <c r="G163" s="62"/>
      <c r="H163" s="62"/>
      <c r="I163" t="str">
        <f>IF(H163="Activo",COUNTIFS($D$2:D163,D163,$H$2:H163,"Activo"),"")</f>
        <v/>
      </c>
      <c r="J163" t="str">
        <f t="shared" si="17"/>
        <v/>
      </c>
      <c r="K163" t="str">
        <f t="shared" si="18"/>
        <v/>
      </c>
      <c r="L163">
        <f>IF($H163="Activo",COUNTIF($L$1:L162,"&gt;0")+1,"")</f>
      </c>
    </row>
    <row r="164" spans="1:11" ht="18" customHeight="1" x14ac:dyDescent="0.2">
      <c r="A164" s="27" t="str">
        <f t="shared" si="16"/>
        <v/>
      </c>
      <c r="B164" s="63"/>
      <c r="C164" s="60"/>
      <c r="D164" s="60"/>
      <c r="E164" s="60"/>
      <c r="F164" s="60"/>
      <c r="G164" s="60"/>
      <c r="H164" s="60"/>
      <c r="I164" t="str">
        <f>IF(H164="Activo",COUNTIFS($D$2:D164,D164,$H$2:H164,"Activo"),"")</f>
        <v/>
      </c>
      <c r="J164" t="str">
        <f t="shared" si="17"/>
        <v/>
      </c>
      <c r="K164" t="str">
        <f t="shared" si="18"/>
        <v/>
      </c>
      <c r="L164">
        <f>IF($H164="Activo",COUNTIF($L$1:L163,"&gt;0")+1,"")</f>
      </c>
    </row>
    <row r="165" spans="1:11" ht="18" customHeight="1" x14ac:dyDescent="0.2">
      <c r="A165" s="31" t="str">
        <f t="shared" si="16"/>
        <v/>
      </c>
      <c r="B165" s="66"/>
      <c r="C165" s="62"/>
      <c r="D165" s="62"/>
      <c r="E165" s="62"/>
      <c r="F165" s="62"/>
      <c r="G165" s="62"/>
      <c r="H165" s="62"/>
      <c r="I165" t="str">
        <f>IF(H165="Activo",COUNTIFS($D$2:D165,D165,$H$2:H165,"Activo"),"")</f>
        <v/>
      </c>
      <c r="J165" t="str">
        <f t="shared" si="17"/>
        <v/>
      </c>
      <c r="K165" t="str">
        <f t="shared" si="18"/>
        <v/>
      </c>
      <c r="L165">
        <f>IF($H165="Activo",COUNTIF($L$1:L164,"&gt;0")+1,"")</f>
      </c>
    </row>
    <row r="166" spans="1:11" ht="18" customHeight="1" x14ac:dyDescent="0.2">
      <c r="A166" s="27" t="str">
        <f t="shared" si="16"/>
        <v/>
      </c>
      <c r="B166" s="63"/>
      <c r="C166" s="60"/>
      <c r="D166" s="60"/>
      <c r="E166" s="60"/>
      <c r="F166" s="60"/>
      <c r="G166" s="60"/>
      <c r="H166" s="60"/>
      <c r="I166" t="str">
        <f>IF(H166="Activo",COUNTIFS($D$2:D166,D166,$H$2:H166,"Activo"),"")</f>
        <v/>
      </c>
      <c r="J166" t="str">
        <f t="shared" si="17"/>
        <v/>
      </c>
      <c r="K166" t="str">
        <f t="shared" si="18"/>
        <v/>
      </c>
      <c r="L166">
        <f>IF($H166="Activo",COUNTIF($L$1:L165,"&gt;0")+1,"")</f>
      </c>
    </row>
    <row r="167" spans="1:11" ht="18" customHeight="1" x14ac:dyDescent="0.2">
      <c r="A167" s="31" t="str">
        <f t="shared" si="16"/>
        <v/>
      </c>
      <c r="B167" s="66"/>
      <c r="C167" s="62"/>
      <c r="D167" s="62"/>
      <c r="E167" s="62"/>
      <c r="F167" s="62"/>
      <c r="G167" s="62"/>
      <c r="H167" s="62"/>
      <c r="I167" t="str">
        <f>IF(H167="Activo",COUNTIFS($D$2:D167,D167,$H$2:H167,"Activo"),"")</f>
        <v/>
      </c>
      <c r="J167" t="str">
        <f t="shared" si="17"/>
        <v/>
      </c>
      <c r="K167" t="str">
        <f t="shared" si="18"/>
        <v/>
      </c>
      <c r="L167">
        <f>IF($H167="Activo",COUNTIF($L$1:L166,"&gt;0")+1,"")</f>
      </c>
    </row>
    <row r="168" spans="1:11" ht="18" customHeight="1" x14ac:dyDescent="0.2">
      <c r="A168" s="27" t="str">
        <f t="shared" si="16"/>
        <v/>
      </c>
      <c r="B168" s="63"/>
      <c r="C168" s="60"/>
      <c r="D168" s="60"/>
      <c r="E168" s="60"/>
      <c r="F168" s="60"/>
      <c r="G168" s="60"/>
      <c r="H168" s="60"/>
      <c r="I168" t="str">
        <f>IF(H168="Activo",COUNTIFS($D$2:D168,D168,$H$2:H168,"Activo"),"")</f>
        <v/>
      </c>
      <c r="J168" t="str">
        <f t="shared" si="17"/>
        <v/>
      </c>
      <c r="K168" t="str">
        <f t="shared" si="18"/>
        <v/>
      </c>
      <c r="L168">
        <f>IF($H168="Activo",COUNTIF($L$1:L167,"&gt;0")+1,"")</f>
      </c>
    </row>
    <row r="169" spans="1:11" ht="18" customHeight="1" x14ac:dyDescent="0.2">
      <c r="A169" s="31" t="str">
        <f t="shared" si="16"/>
        <v/>
      </c>
      <c r="B169" s="66"/>
      <c r="C169" s="62"/>
      <c r="D169" s="62"/>
      <c r="E169" s="62"/>
      <c r="F169" s="62"/>
      <c r="G169" s="62"/>
      <c r="H169" s="62"/>
      <c r="I169" t="str">
        <f>IF(H169="Activo",COUNTIFS($D$2:D169,D169,$H$2:H169,"Activo"),"")</f>
        <v/>
      </c>
      <c r="J169" t="str">
        <f t="shared" si="17"/>
        <v/>
      </c>
      <c r="K169" t="str">
        <f t="shared" si="18"/>
        <v/>
      </c>
      <c r="L169">
        <f>IF($H169="Activo",COUNTIF($L$1:L168,"&gt;0")+1,"")</f>
      </c>
    </row>
    <row r="170" spans="1:11" ht="18" customHeight="1" x14ac:dyDescent="0.2">
      <c r="A170" s="27" t="str">
        <f t="shared" si="16"/>
        <v/>
      </c>
      <c r="B170" s="63"/>
      <c r="C170" s="60"/>
      <c r="D170" s="60"/>
      <c r="E170" s="60"/>
      <c r="F170" s="60"/>
      <c r="G170" s="60"/>
      <c r="H170" s="60"/>
      <c r="I170" t="str">
        <f>IF(H170="Activo",COUNTIFS($D$2:D170,D170,$H$2:H170,"Activo"),"")</f>
        <v/>
      </c>
      <c r="J170" t="str">
        <f t="shared" si="17"/>
        <v/>
      </c>
      <c r="K170" t="str">
        <f t="shared" si="18"/>
        <v/>
      </c>
      <c r="L170">
        <f>IF($H170="Activo",COUNTIF($L$1:L169,"&gt;0")+1,"")</f>
      </c>
    </row>
    <row r="171" spans="1:11" ht="18" customHeight="1" x14ac:dyDescent="0.2">
      <c r="A171" s="31" t="str">
        <f t="shared" si="16"/>
        <v/>
      </c>
      <c r="B171" s="66"/>
      <c r="C171" s="62"/>
      <c r="D171" s="62"/>
      <c r="E171" s="62"/>
      <c r="F171" s="62"/>
      <c r="G171" s="62"/>
      <c r="H171" s="62"/>
      <c r="I171" t="str">
        <f>IF(H171="Activo",COUNTIFS($D$2:D171,D171,$H$2:H171,"Activo"),"")</f>
        <v/>
      </c>
      <c r="J171" t="str">
        <f t="shared" si="17"/>
        <v/>
      </c>
      <c r="K171" t="str">
        <f t="shared" si="18"/>
        <v/>
      </c>
      <c r="L171">
        <f>IF($H171="Activo",COUNTIF($L$1:L170,"&gt;0")+1,"")</f>
      </c>
    </row>
    <row r="172" spans="1:11" ht="18" customHeight="1" x14ac:dyDescent="0.2">
      <c r="A172" s="27" t="str">
        <f t="shared" si="16"/>
        <v/>
      </c>
      <c r="B172" s="63"/>
      <c r="C172" s="60"/>
      <c r="D172" s="60"/>
      <c r="E172" s="60"/>
      <c r="F172" s="60"/>
      <c r="G172" s="60"/>
      <c r="H172" s="60"/>
      <c r="I172" t="str">
        <f>IF(H172="Activo",COUNTIFS($D$2:D172,D172,$H$2:H172,"Activo"),"")</f>
        <v/>
      </c>
      <c r="J172" t="str">
        <f t="shared" si="17"/>
        <v/>
      </c>
      <c r="K172" t="str">
        <f t="shared" si="18"/>
        <v/>
      </c>
      <c r="L172">
        <f>IF($H172="Activo",COUNTIF($L$1:L171,"&gt;0")+1,"")</f>
      </c>
    </row>
    <row r="173" spans="1:11" ht="18" customHeight="1" x14ac:dyDescent="0.2">
      <c r="A173" s="31" t="str">
        <f t="shared" si="16"/>
        <v/>
      </c>
      <c r="B173" s="66"/>
      <c r="C173" s="62"/>
      <c r="D173" s="62"/>
      <c r="E173" s="62"/>
      <c r="F173" s="62"/>
      <c r="G173" s="62"/>
      <c r="H173" s="62"/>
      <c r="I173" t="str">
        <f>IF(H173="Activo",COUNTIFS($D$2:D173,D173,$H$2:H173,"Activo"),"")</f>
        <v/>
      </c>
      <c r="J173" t="str">
        <f t="shared" si="17"/>
        <v/>
      </c>
      <c r="K173" t="str">
        <f t="shared" si="18"/>
        <v/>
      </c>
      <c r="L173">
        <f>IF($H173="Activo",COUNTIF($L$1:L172,"&gt;0")+1,"")</f>
      </c>
    </row>
    <row r="174" spans="1:11" ht="18" customHeight="1" x14ac:dyDescent="0.2">
      <c r="A174" s="27" t="str">
        <f t="shared" si="16"/>
        <v/>
      </c>
      <c r="B174" s="63"/>
      <c r="C174" s="60"/>
      <c r="D174" s="60"/>
      <c r="E174" s="60"/>
      <c r="F174" s="60"/>
      <c r="G174" s="60"/>
      <c r="H174" s="60"/>
      <c r="I174" t="str">
        <f>IF(H174="Activo",COUNTIFS($D$2:D174,D174,$H$2:H174,"Activo"),"")</f>
        <v/>
      </c>
      <c r="J174" t="str">
        <f t="shared" si="17"/>
        <v/>
      </c>
      <c r="K174" t="str">
        <f t="shared" si="18"/>
        <v/>
      </c>
      <c r="L174">
        <f>IF($H174="Activo",COUNTIF($L$1:L173,"&gt;0")+1,"")</f>
      </c>
    </row>
    <row r="175" spans="1:11" ht="18" customHeight="1" x14ac:dyDescent="0.2">
      <c r="A175" s="31" t="str">
        <f t="shared" si="16"/>
        <v/>
      </c>
      <c r="B175" s="66"/>
      <c r="C175" s="62"/>
      <c r="D175" s="62"/>
      <c r="E175" s="62"/>
      <c r="F175" s="62"/>
      <c r="G175" s="62"/>
      <c r="H175" s="62"/>
      <c r="I175" t="str">
        <f>IF(H175="Activo",COUNTIFS($D$2:D175,D175,$H$2:H175,"Activo"),"")</f>
        <v/>
      </c>
      <c r="J175" t="str">
        <f t="shared" si="17"/>
        <v/>
      </c>
      <c r="K175" t="str">
        <f t="shared" si="18"/>
        <v/>
      </c>
      <c r="L175">
        <f>IF($H175="Activo",COUNTIF($L$1:L174,"&gt;0")+1,"")</f>
      </c>
    </row>
    <row r="176" spans="1:11" ht="18" customHeight="1" x14ac:dyDescent="0.2">
      <c r="A176" s="27" t="str">
        <f t="shared" si="16"/>
        <v/>
      </c>
      <c r="B176" s="63"/>
      <c r="C176" s="60"/>
      <c r="D176" s="60"/>
      <c r="E176" s="60"/>
      <c r="F176" s="60"/>
      <c r="G176" s="60"/>
      <c r="H176" s="60"/>
      <c r="I176" t="str">
        <f>IF(H176="Activo",COUNTIFS($D$2:D176,D176,$H$2:H176,"Activo"),"")</f>
        <v/>
      </c>
      <c r="J176" t="str">
        <f t="shared" si="17"/>
        <v/>
      </c>
      <c r="K176" t="str">
        <f t="shared" si="18"/>
        <v/>
      </c>
      <c r="L176">
        <f>IF($H176="Activo",COUNTIF($L$1:L175,"&gt;0")+1,"")</f>
      </c>
    </row>
    <row r="177" spans="1:11" ht="18" customHeight="1" x14ac:dyDescent="0.2">
      <c r="A177" s="31" t="str">
        <f t="shared" si="16"/>
        <v/>
      </c>
      <c r="B177" s="66"/>
      <c r="C177" s="62"/>
      <c r="D177" s="62"/>
      <c r="E177" s="62"/>
      <c r="F177" s="62"/>
      <c r="G177" s="62"/>
      <c r="H177" s="62"/>
      <c r="I177" t="str">
        <f>IF(H177="Activo",COUNTIFS($D$2:D177,D177,$H$2:H177,"Activo"),"")</f>
        <v/>
      </c>
      <c r="J177" t="str">
        <f t="shared" si="17"/>
        <v/>
      </c>
      <c r="K177" t="str">
        <f t="shared" si="18"/>
        <v/>
      </c>
      <c r="L177">
        <f>IF($H177="Activo",COUNTIF($L$1:L176,"&gt;0")+1,"")</f>
      </c>
    </row>
    <row r="178" spans="1:11" ht="18" customHeight="1" x14ac:dyDescent="0.2">
      <c r="A178" s="27" t="str">
        <f t="shared" si="16"/>
        <v/>
      </c>
      <c r="B178" s="63"/>
      <c r="C178" s="60"/>
      <c r="D178" s="60"/>
      <c r="E178" s="60"/>
      <c r="F178" s="60"/>
      <c r="G178" s="60"/>
      <c r="H178" s="60"/>
      <c r="I178" t="str">
        <f>IF(H178="Activo",COUNTIFS($D$2:D178,D178,$H$2:H178,"Activo"),"")</f>
        <v/>
      </c>
      <c r="J178" t="str">
        <f t="shared" si="17"/>
        <v/>
      </c>
      <c r="K178" t="str">
        <f t="shared" si="18"/>
        <v/>
      </c>
      <c r="L178">
        <f>IF($H178="Activo",COUNTIF($L$1:L177,"&gt;0")+1,"")</f>
      </c>
    </row>
    <row r="179" spans="1:11" ht="18" customHeight="1" x14ac:dyDescent="0.2">
      <c r="A179" s="31" t="str">
        <f t="shared" si="16"/>
        <v/>
      </c>
      <c r="B179" s="66"/>
      <c r="C179" s="62"/>
      <c r="D179" s="62"/>
      <c r="E179" s="62"/>
      <c r="F179" s="62"/>
      <c r="G179" s="62"/>
      <c r="H179" s="62"/>
      <c r="I179" t="str">
        <f>IF(H179="Activo",COUNTIFS($D$2:D179,D179,$H$2:H179,"Activo"),"")</f>
        <v/>
      </c>
      <c r="J179" t="str">
        <f t="shared" si="17"/>
        <v/>
      </c>
      <c r="K179" t="str">
        <f t="shared" si="18"/>
        <v/>
      </c>
      <c r="L179">
        <f>IF($H179="Activo",COUNTIF($L$1:L178,"&gt;0")+1,"")</f>
      </c>
    </row>
    <row r="180" spans="1:11" ht="18" customHeight="1" x14ac:dyDescent="0.2">
      <c r="A180" s="27" t="str">
        <f t="shared" si="16"/>
        <v/>
      </c>
      <c r="B180" s="63"/>
      <c r="C180" s="60"/>
      <c r="D180" s="60"/>
      <c r="E180" s="60"/>
      <c r="F180" s="60"/>
      <c r="G180" s="60"/>
      <c r="H180" s="60"/>
      <c r="I180" t="str">
        <f>IF(H180="Activo",COUNTIFS($D$2:D180,D180,$H$2:H180,"Activo"),"")</f>
        <v/>
      </c>
      <c r="J180" t="str">
        <f t="shared" si="17"/>
        <v/>
      </c>
      <c r="K180" t="str">
        <f t="shared" si="18"/>
        <v/>
      </c>
      <c r="L180">
        <f>IF($H180="Activo",COUNTIF($L$1:L179,"&gt;0")+1,"")</f>
      </c>
    </row>
    <row r="181" spans="1:11" ht="18" customHeight="1" x14ac:dyDescent="0.2">
      <c r="A181" s="31" t="str">
        <f t="shared" si="16"/>
        <v/>
      </c>
      <c r="B181" s="66"/>
      <c r="C181" s="62"/>
      <c r="D181" s="62"/>
      <c r="E181" s="62"/>
      <c r="F181" s="62"/>
      <c r="G181" s="62"/>
      <c r="H181" s="62"/>
      <c r="I181" t="str">
        <f>IF(H181="Activo",COUNTIFS($D$2:D181,D181,$H$2:H181,"Activo"),"")</f>
        <v/>
      </c>
      <c r="J181" t="str">
        <f t="shared" si="17"/>
        <v/>
      </c>
      <c r="K181" t="str">
        <f t="shared" si="18"/>
        <v/>
      </c>
      <c r="L181">
        <f>IF($H181="Activo",COUNTIF($L$1:L180,"&gt;0")+1,"")</f>
      </c>
    </row>
    <row r="182" spans="1:11" ht="18" customHeight="1" x14ac:dyDescent="0.2">
      <c r="A182" s="27" t="str">
        <f t="shared" si="16"/>
        <v/>
      </c>
      <c r="B182" s="63"/>
      <c r="C182" s="60"/>
      <c r="D182" s="60"/>
      <c r="E182" s="60"/>
      <c r="F182" s="60"/>
      <c r="G182" s="60"/>
      <c r="H182" s="60"/>
      <c r="I182" t="str">
        <f>IF(H182="Activo",COUNTIFS($D$2:D182,D182,$H$2:H182,"Activo"),"")</f>
        <v/>
      </c>
      <c r="J182" t="str">
        <f t="shared" si="17"/>
        <v/>
      </c>
      <c r="K182" t="str">
        <f t="shared" si="18"/>
        <v/>
      </c>
      <c r="L182">
        <f>IF($H182="Activo",COUNTIF($L$1:L181,"&gt;0")+1,"")</f>
      </c>
    </row>
    <row r="183" spans="1:11" ht="18" customHeight="1" x14ac:dyDescent="0.2">
      <c r="A183" s="31" t="str">
        <f t="shared" si="16"/>
        <v/>
      </c>
      <c r="B183" s="66"/>
      <c r="C183" s="62"/>
      <c r="D183" s="62"/>
      <c r="E183" s="62"/>
      <c r="F183" s="62"/>
      <c r="G183" s="62"/>
      <c r="H183" s="62"/>
      <c r="I183" t="str">
        <f>IF(H183="Activo",COUNTIFS($D$2:D183,D183,$H$2:H183,"Activo"),"")</f>
        <v/>
      </c>
      <c r="J183" t="str">
        <f t="shared" si="17"/>
        <v/>
      </c>
      <c r="K183" t="str">
        <f t="shared" si="18"/>
        <v/>
      </c>
      <c r="L183">
        <f>IF($H183="Activo",COUNTIF($L$1:L182,"&gt;0")+1,"")</f>
      </c>
    </row>
    <row r="184" spans="1:11" ht="18" customHeight="1" x14ac:dyDescent="0.2">
      <c r="A184" s="27" t="str">
        <f t="shared" si="16"/>
        <v/>
      </c>
      <c r="B184" s="63"/>
      <c r="C184" s="60"/>
      <c r="D184" s="60"/>
      <c r="E184" s="60"/>
      <c r="F184" s="60"/>
      <c r="G184" s="60"/>
      <c r="H184" s="60"/>
      <c r="I184" t="str">
        <f>IF(H184="Activo",COUNTIFS($D$2:D184,D184,$H$2:H184,"Activo"),"")</f>
        <v/>
      </c>
      <c r="J184" t="str">
        <f t="shared" si="17"/>
        <v/>
      </c>
      <c r="K184" t="str">
        <f t="shared" si="18"/>
        <v/>
      </c>
      <c r="L184">
        <f>IF($H184="Activo",COUNTIF($L$1:L183,"&gt;0")+1,"")</f>
      </c>
    </row>
    <row r="185" spans="1:11" ht="18" customHeight="1" x14ac:dyDescent="0.2">
      <c r="A185" s="31" t="str">
        <f t="shared" si="16"/>
        <v/>
      </c>
      <c r="B185" s="66"/>
      <c r="C185" s="62"/>
      <c r="D185" s="62"/>
      <c r="E185" s="62"/>
      <c r="F185" s="62"/>
      <c r="G185" s="62"/>
      <c r="H185" s="62"/>
      <c r="I185" t="str">
        <f>IF(H185="Activo",COUNTIFS($D$2:D185,D185,$H$2:H185,"Activo"),"")</f>
        <v/>
      </c>
      <c r="J185" t="str">
        <f t="shared" si="17"/>
        <v/>
      </c>
      <c r="K185" t="str">
        <f t="shared" si="18"/>
        <v/>
      </c>
      <c r="L185">
        <f>IF($H185="Activo",COUNTIF($L$1:L184,"&gt;0")+1,"")</f>
      </c>
    </row>
    <row r="186" spans="1:11" ht="18" customHeight="1" x14ac:dyDescent="0.2">
      <c r="A186" s="27" t="str">
        <f t="shared" si="16"/>
        <v/>
      </c>
      <c r="B186" s="63"/>
      <c r="C186" s="60"/>
      <c r="D186" s="60"/>
      <c r="E186" s="60"/>
      <c r="F186" s="60"/>
      <c r="G186" s="60"/>
      <c r="H186" s="60"/>
      <c r="I186" t="str">
        <f>IF(H186="Activo",COUNTIFS($D$2:D186,D186,$H$2:H186,"Activo"),"")</f>
        <v/>
      </c>
      <c r="J186" t="str">
        <f t="shared" si="17"/>
        <v/>
      </c>
      <c r="K186" t="str">
        <f t="shared" si="18"/>
        <v/>
      </c>
      <c r="L186">
        <f>IF($H186="Activo",COUNTIF($L$1:L185,"&gt;0")+1,"")</f>
      </c>
    </row>
    <row r="187" spans="1:11" ht="18" customHeight="1" x14ac:dyDescent="0.2">
      <c r="A187" s="31" t="str">
        <f t="shared" si="16"/>
        <v/>
      </c>
      <c r="B187" s="66"/>
      <c r="C187" s="62"/>
      <c r="D187" s="62"/>
      <c r="E187" s="62"/>
      <c r="F187" s="62"/>
      <c r="G187" s="62"/>
      <c r="H187" s="62"/>
      <c r="I187" t="str">
        <f>IF(H187="Activo",COUNTIFS($D$2:D187,D187,$H$2:H187,"Activo"),"")</f>
        <v/>
      </c>
      <c r="J187" t="str">
        <f t="shared" si="17"/>
        <v/>
      </c>
      <c r="K187" t="str">
        <f t="shared" si="18"/>
        <v/>
      </c>
      <c r="L187">
        <f>IF($H187="Activo",COUNTIF($L$1:L186,"&gt;0")+1,"")</f>
      </c>
    </row>
    <row r="188" spans="1:11" ht="18" customHeight="1" x14ac:dyDescent="0.2">
      <c r="A188" s="27" t="str">
        <f t="shared" si="16"/>
        <v/>
      </c>
      <c r="B188" s="63"/>
      <c r="C188" s="60"/>
      <c r="D188" s="60"/>
      <c r="E188" s="60"/>
      <c r="F188" s="60"/>
      <c r="G188" s="60"/>
      <c r="H188" s="60"/>
      <c r="I188" t="str">
        <f>IF(H188="Activo",COUNTIFS($D$2:D188,D188,$H$2:H188,"Activo"),"")</f>
        <v/>
      </c>
      <c r="J188" t="str">
        <f t="shared" si="17"/>
        <v/>
      </c>
      <c r="K188" t="str">
        <f t="shared" si="18"/>
        <v/>
      </c>
      <c r="L188">
        <f>IF($H188="Activo",COUNTIF($L$1:L187,"&gt;0")+1,"")</f>
      </c>
    </row>
    <row r="189" spans="1:11" ht="18" customHeight="1" x14ac:dyDescent="0.2">
      <c r="A189" s="31" t="str">
        <f t="shared" si="16"/>
        <v/>
      </c>
      <c r="B189" s="66"/>
      <c r="C189" s="62"/>
      <c r="D189" s="62"/>
      <c r="E189" s="62"/>
      <c r="F189" s="62"/>
      <c r="G189" s="62"/>
      <c r="H189" s="62"/>
      <c r="I189" t="str">
        <f>IF(H189="Activo",COUNTIFS($D$2:D189,D189,$H$2:H189,"Activo"),"")</f>
        <v/>
      </c>
      <c r="J189" t="str">
        <f t="shared" si="17"/>
        <v/>
      </c>
      <c r="K189" t="str">
        <f t="shared" si="18"/>
        <v/>
      </c>
      <c r="L189">
        <f>IF($H189="Activo",COUNTIF($L$1:L188,"&gt;0")+1,"")</f>
      </c>
    </row>
    <row r="190" spans="1:11" ht="18" customHeight="1" x14ac:dyDescent="0.2">
      <c r="A190" s="27" t="str">
        <f t="shared" si="16"/>
        <v/>
      </c>
      <c r="B190" s="63"/>
      <c r="C190" s="60"/>
      <c r="D190" s="60"/>
      <c r="E190" s="60"/>
      <c r="F190" s="60"/>
      <c r="G190" s="60"/>
      <c r="H190" s="60"/>
      <c r="I190" t="str">
        <f>IF(H190="Activo",COUNTIFS($D$2:D190,D190,$H$2:H190,"Activo"),"")</f>
        <v/>
      </c>
      <c r="J190" t="str">
        <f t="shared" si="17"/>
        <v/>
      </c>
      <c r="K190" t="str">
        <f t="shared" si="18"/>
        <v/>
      </c>
      <c r="L190">
        <f>IF($H190="Activo",COUNTIF($L$1:L189,"&gt;0")+1,"")</f>
      </c>
    </row>
    <row r="191" spans="1:11" ht="18" customHeight="1" x14ac:dyDescent="0.2">
      <c r="A191" s="31" t="str">
        <f t="shared" si="16"/>
        <v/>
      </c>
      <c r="B191" s="66"/>
      <c r="C191" s="62"/>
      <c r="D191" s="62"/>
      <c r="E191" s="62"/>
      <c r="F191" s="62"/>
      <c r="G191" s="62"/>
      <c r="H191" s="62"/>
      <c r="I191" t="str">
        <f>IF(H191="Activo",COUNTIFS($D$2:D191,D191,$H$2:H191,"Activo"),"")</f>
        <v/>
      </c>
      <c r="J191" t="str">
        <f t="shared" si="17"/>
        <v/>
      </c>
      <c r="K191" t="str">
        <f t="shared" si="18"/>
        <v/>
      </c>
      <c r="L191">
        <f>IF($H191="Activo",COUNTIF($L$1:L190,"&gt;0")+1,"")</f>
      </c>
    </row>
    <row r="192" spans="1:11" ht="18" customHeight="1" x14ac:dyDescent="0.2">
      <c r="A192" s="27" t="str">
        <f t="shared" si="16"/>
        <v/>
      </c>
      <c r="B192" s="63"/>
      <c r="C192" s="60"/>
      <c r="D192" s="60"/>
      <c r="E192" s="60"/>
      <c r="F192" s="60"/>
      <c r="G192" s="60"/>
      <c r="H192" s="60"/>
      <c r="I192" t="str">
        <f>IF(H192="Activo",COUNTIFS($D$2:D192,D192,$H$2:H192,"Activo"),"")</f>
        <v/>
      </c>
      <c r="J192" t="str">
        <f t="shared" si="17"/>
        <v/>
      </c>
      <c r="K192" t="str">
        <f t="shared" si="18"/>
        <v/>
      </c>
      <c r="L192">
        <f>IF($H192="Activo",COUNTIF($L$1:L191,"&gt;0")+1,"")</f>
      </c>
    </row>
    <row r="193" spans="1:11" ht="18" customHeight="1" x14ac:dyDescent="0.2">
      <c r="A193" s="31" t="str">
        <f t="shared" si="16"/>
        <v/>
      </c>
      <c r="B193" s="66"/>
      <c r="C193" s="62"/>
      <c r="D193" s="62"/>
      <c r="E193" s="62"/>
      <c r="F193" s="62"/>
      <c r="G193" s="62"/>
      <c r="H193" s="62"/>
      <c r="I193" t="str">
        <f>IF(H193="Activo",COUNTIFS($D$2:D193,D193,$H$2:H193,"Activo"),"")</f>
        <v/>
      </c>
      <c r="J193" t="str">
        <f t="shared" si="17"/>
        <v/>
      </c>
      <c r="K193" t="str">
        <f t="shared" si="18"/>
        <v/>
      </c>
      <c r="L193">
        <f>IF($H193="Activo",COUNTIF($L$1:L192,"&gt;0")+1,"")</f>
      </c>
    </row>
    <row r="194" spans="1:11" ht="18" customHeight="1" x14ac:dyDescent="0.2">
      <c r="A194" s="27" t="str">
        <f t="shared" ref="A194:A201" si="19">IF(D194&lt;&gt;"",ROW()-1,"")</f>
        <v/>
      </c>
      <c r="B194" s="63"/>
      <c r="C194" s="60"/>
      <c r="D194" s="60"/>
      <c r="E194" s="60"/>
      <c r="F194" s="60"/>
      <c r="G194" s="60"/>
      <c r="H194" s="60"/>
      <c r="I194" t="str">
        <f>IF(H194="Activo",COUNTIFS($D$2:D194,D194,$H$2:H194,"Activo"),"")</f>
        <v/>
      </c>
      <c r="J194" t="str">
        <f t="shared" ref="J194:J201" si="20">IF(I194&lt;&gt;"",D194&amp;"|"&amp;I194,"")</f>
        <v/>
      </c>
      <c r="K194" t="str">
        <f t="shared" ref="K194:K201" si="21">IF(J194&lt;&gt;"",IF(F194&lt;&gt;"",F194&amp;" ("&amp;G194&amp;")",G194),"")</f>
        <v/>
      </c>
      <c r="L194">
        <f>IF($H194="Activo",COUNTIF($L$1:L193,"&gt;0")+1,"")</f>
      </c>
    </row>
    <row r="195" spans="1:11" ht="18" customHeight="1" x14ac:dyDescent="0.2">
      <c r="A195" s="31" t="str">
        <f t="shared" si="19"/>
        <v/>
      </c>
      <c r="B195" s="66"/>
      <c r="C195" s="62"/>
      <c r="D195" s="62"/>
      <c r="E195" s="62"/>
      <c r="F195" s="62"/>
      <c r="G195" s="62"/>
      <c r="H195" s="62"/>
      <c r="I195" t="str">
        <f>IF(H195="Activo",COUNTIFS($D$2:D195,D195,$H$2:H195,"Activo"),"")</f>
        <v/>
      </c>
      <c r="J195" t="str">
        <f t="shared" si="20"/>
        <v/>
      </c>
      <c r="K195" t="str">
        <f t="shared" si="21"/>
        <v/>
      </c>
      <c r="L195">
        <f>IF($H195="Activo",COUNTIF($L$1:L194,"&gt;0")+1,"")</f>
      </c>
    </row>
    <row r="196" spans="1:11" ht="18" customHeight="1" x14ac:dyDescent="0.2">
      <c r="A196" s="27" t="str">
        <f t="shared" si="19"/>
        <v/>
      </c>
      <c r="B196" s="63"/>
      <c r="C196" s="60"/>
      <c r="D196" s="60"/>
      <c r="E196" s="60"/>
      <c r="F196" s="60"/>
      <c r="G196" s="60"/>
      <c r="H196" s="60"/>
      <c r="I196" t="str">
        <f>IF(H196="Activo",COUNTIFS($D$2:D196,D196,$H$2:H196,"Activo"),"")</f>
        <v/>
      </c>
      <c r="J196" t="str">
        <f t="shared" si="20"/>
        <v/>
      </c>
      <c r="K196" t="str">
        <f t="shared" si="21"/>
        <v/>
      </c>
      <c r="L196">
        <f>IF($H196="Activo",COUNTIF($L$1:L195,"&gt;0")+1,"")</f>
      </c>
    </row>
    <row r="197" spans="1:11" ht="18" customHeight="1" x14ac:dyDescent="0.2">
      <c r="A197" s="31" t="str">
        <f t="shared" si="19"/>
        <v/>
      </c>
      <c r="B197" s="66"/>
      <c r="C197" s="62"/>
      <c r="D197" s="62"/>
      <c r="E197" s="62"/>
      <c r="F197" s="62"/>
      <c r="G197" s="62"/>
      <c r="H197" s="62"/>
      <c r="I197" t="str">
        <f>IF(H197="Activo",COUNTIFS($D$2:D197,D197,$H$2:H197,"Activo"),"")</f>
        <v/>
      </c>
      <c r="J197" t="str">
        <f t="shared" si="20"/>
        <v/>
      </c>
      <c r="K197" t="str">
        <f t="shared" si="21"/>
        <v/>
      </c>
      <c r="L197">
        <f>IF($H197="Activo",COUNTIF($L$1:L196,"&gt;0")+1,"")</f>
      </c>
    </row>
    <row r="198" spans="1:11" ht="18" customHeight="1" x14ac:dyDescent="0.2">
      <c r="A198" s="27" t="str">
        <f t="shared" si="19"/>
        <v/>
      </c>
      <c r="B198" s="63"/>
      <c r="C198" s="60"/>
      <c r="D198" s="60"/>
      <c r="E198" s="60"/>
      <c r="F198" s="60"/>
      <c r="G198" s="60"/>
      <c r="H198" s="60"/>
      <c r="I198" t="str">
        <f>IF(H198="Activo",COUNTIFS($D$2:D198,D198,$H$2:H198,"Activo"),"")</f>
        <v/>
      </c>
      <c r="J198" t="str">
        <f t="shared" si="20"/>
        <v/>
      </c>
      <c r="K198" t="str">
        <f t="shared" si="21"/>
        <v/>
      </c>
      <c r="L198">
        <f>IF($H198="Activo",COUNTIF($L$1:L197,"&gt;0")+1,"")</f>
      </c>
    </row>
    <row r="199" spans="1:11" ht="18" customHeight="1" x14ac:dyDescent="0.2">
      <c r="A199" s="31" t="str">
        <f t="shared" si="19"/>
        <v/>
      </c>
      <c r="B199" s="66"/>
      <c r="C199" s="62"/>
      <c r="D199" s="62"/>
      <c r="E199" s="62"/>
      <c r="F199" s="62"/>
      <c r="G199" s="62"/>
      <c r="H199" s="62"/>
      <c r="I199" t="str">
        <f>IF(H199="Activo",COUNTIFS($D$2:D199,D199,$H$2:H199,"Activo"),"")</f>
        <v/>
      </c>
      <c r="J199" t="str">
        <f t="shared" si="20"/>
        <v/>
      </c>
      <c r="K199" t="str">
        <f t="shared" si="21"/>
        <v/>
      </c>
      <c r="L199">
        <f>IF($H199="Activo",COUNTIF($L$1:L198,"&gt;0")+1,"")</f>
      </c>
    </row>
    <row r="200" spans="1:11" ht="18" customHeight="1" x14ac:dyDescent="0.2">
      <c r="A200" s="27" t="str">
        <f t="shared" si="19"/>
        <v/>
      </c>
      <c r="B200" s="63"/>
      <c r="C200" s="60"/>
      <c r="D200" s="60"/>
      <c r="E200" s="60"/>
      <c r="F200" s="60"/>
      <c r="G200" s="60"/>
      <c r="H200" s="60"/>
      <c r="I200" t="str">
        <f>IF(H200="Activo",COUNTIFS($D$2:D200,D200,$H$2:H200,"Activo"),"")</f>
        <v/>
      </c>
      <c r="J200" t="str">
        <f t="shared" si="20"/>
        <v/>
      </c>
      <c r="K200" t="str">
        <f t="shared" si="21"/>
        <v/>
      </c>
      <c r="L200">
        <f>IF($H200="Activo",COUNTIF($L$1:L199,"&gt;0")+1,"")</f>
      </c>
    </row>
    <row r="201" spans="1:11" ht="18" customHeight="1" x14ac:dyDescent="0.2">
      <c r="A201" s="31" t="str">
        <f t="shared" si="19"/>
        <v/>
      </c>
      <c r="B201" s="66"/>
      <c r="C201" s="62"/>
      <c r="D201" s="62"/>
      <c r="E201" s="62"/>
      <c r="F201" s="62"/>
      <c r="G201" s="62"/>
      <c r="H201" s="62"/>
      <c r="I201" t="str">
        <f>IF(H201="Activo",COUNTIFS($D$2:D201,D201,$H$2:H201,"Activo"),"")</f>
        <v/>
      </c>
      <c r="J201" t="str">
        <f t="shared" si="20"/>
        <v/>
      </c>
      <c r="K201" t="str">
        <f t="shared" si="21"/>
        <v/>
      </c>
      <c r="L201">
        <f>IF($H201="Activo",COUNTIF($L$1:L200,"&gt;0")+1,"")</f>
      </c>
    </row>
  </sheetData>
  <sheetProtection sheet="1" objects="1" scenarios="1" formatCells="1" formatColumns="1" formatRows="1" insertColumns="1" insertRows="1" insertHyperlinks="1" deleteColumns="1" deleteRows="1" sort="1" autoFilter="0" pivotTables="1" selectLockedCells="0" selectUnlockedCells="0"/>
  <autoFilter ref="A1:L201"/>
  <dataValidations count="1">
    <dataValidation type="date" operator="greaterThanOrEqual" allowBlank="1" showInputMessage="1" showErrorMessage="1" errorTitle="Fecha no válida" error="Introduce una fecha válida en formato DD/MM/AAAA." promptTitle="Fecha de introducción" prompt="Escribe la fecha en formato DD/MM/AAAA._x000a_Ejemplo: 25/02/2026" sqref="B2:B201" xr:uid="{00000000-0002-0000-0400-000000000000}">
      <formula1>DATE(2000,1,1)</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errorStyle="stop" errorTitle="Especialidad no válida" error="Solo asignaturas no de especialidad: Lenguaje Musical, Armonía/Análisis o Historia. El refuerzo instrumental va en la hoja Registro, marcado «No disponible»." xr:uid="{00000000-0002-0000-0400-000001000000}">
          <x14:formula1>
            <xm:f>Validaciones!$G$2:$G$4</xm:f>
          </x14:formula1>
          <xm:sqref>D2:D201</xm:sqref>
        </x14:dataValidation>
        <x14:dataValidation type="list" allowBlank="1" showInputMessage="1" showErrorMessage="1" errorStyle="stop" errorTitle="Estado no válido" error="Elige Activo o No activo." xr:uid="{00000000-0002-0000-0400-000002000000}">
          <x14:formula1>
            <xm:f>Validaciones!$H$2:$H$3</xm:f>
          </x14:formula1>
          <xm:sqref>H2:H201</xm:sqref>
        </x14:dataValidation>
        <x14:dataValidation type="list" allowBlank="1" showInputMessage="1" showErrorMessage="1" errorStyle="stop" errorTitle="Persona no válida" error="Elige de la lista. Si falta alguien, añádelo en el Dashboard, bajo QUIÉN PUEDE ESCRIBIR EN EL LIBRO." xr:uid="{00000000-0002-0000-0400-000003000000}">
          <x14:formula1>
            <xm:f>Dashboard!$A$46:$A$50</xm:f>
          </x14:formula1>
          <xm:sqref>C2:C201</xm:sqref>
        </x14:dataValidation>
        <x14:dataValidation type="list" allowBlank="1" showInputMessage="1" showErrorMessage="1" errorStyle="warning" errorTitle="Docente no listado" error="Ese docente no está en la hoja Docentes. Puedes continuar, pero conviene añadirlo allí para que el nombre se escriba siempre igual." promptTitle="Nombre del docente" prompt="Elígelo de la lista. Se rellena en la hoja Docentes." xr:uid="{00000000-0002-0000-0400-000004000000}">
          <x14:formula1>
            <xm:f>ListaDocentes</xm:f>
          </x14:formula1>
          <xm:sqref>F2:F201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3"/>
  <sheetViews>
    <sheetView zoomScaleNormal="100" workbookViewId="0"/>
  </sheetViews>
  <sheetFormatPr baseColWidth="10" defaultColWidth="8.6640625" defaultRowHeight="15" customHeight="1" x14ac:dyDescent="0.2"/>
  <sheetData>
    <row r="1" spans="1:26" ht="15" customHeight="1" x14ac:dyDescent="0.2">
      <c r="A1" t="s">
        <v>65</v>
      </c>
      <c r="B1" t="s">
        <v>103</v>
      </c>
      <c r="C1" t="s">
        <v>104</v>
      </c>
      <c r="D1" t="s">
        <v>105</v>
      </c>
      <c r="E1" t="s">
        <v>106</v>
      </c>
      <c r="F1" t="s">
        <v>107</v>
      </c>
      <c r="H1" t="s">
        <v>108</v>
      </c>
      <c r="I1" t="s">
        <v>109</v>
      </c>
      <c r="J1" t="s">
        <v>110</v>
      </c>
      <c r="K1" t="s">
        <v>111</v>
      </c>
      <c r="L1" t="s">
        <v>112</v>
      </c>
      <c r="M1" t="inlineStr">
        <is>
          <t>Vac-Slot6</t>
        </is>
      </c>
      <c r="N1" t="inlineStr">
        <is>
          <t>Vac-Slot7</t>
        </is>
      </c>
      <c r="O1" t="inlineStr">
        <is>
          <t>Vac-Slot8</t>
        </is>
      </c>
      <c r="P1" t="inlineStr">
        <is>
          <t>Vac-Slot9</t>
        </is>
      </c>
      <c r="Q1" t="inlineStr">
        <is>
          <t>Vac-Slot10</t>
        </is>
      </c>
      <c r="R1" t="inlineStr">
        <is>
          <t>Vac-Slot11</t>
        </is>
      </c>
      <c r="S1" t="inlineStr">
        <is>
          <t>Vac-Slot12</t>
        </is>
      </c>
      <c r="T1" t="inlineStr">
        <is>
          <t>Dir-Slot6</t>
        </is>
      </c>
      <c r="U1" t="inlineStr">
        <is>
          <t>Dir-Slot7</t>
        </is>
      </c>
      <c r="V1" t="inlineStr">
        <is>
          <t>Dir-Slot8</t>
        </is>
      </c>
      <c r="W1" t="inlineStr">
        <is>
          <t>Dir-Slot9</t>
        </is>
      </c>
      <c r="X1" t="inlineStr">
        <is>
          <t>Dir-Slot10</t>
        </is>
      </c>
      <c r="Y1" t="inlineStr">
        <is>
          <t>Dir-Slot11</t>
        </is>
      </c>
      <c r="Z1" t="inlineStr">
        <is>
          <t>Dir-Slot12</t>
        </is>
      </c>
    </row>
    <row r="2" spans="1:26" ht="15" customHeight="1" x14ac:dyDescent="0.2">
      <c r="A2" t="s">
        <v>14</v>
      </c>
      <c r="B2" t="str">
        <f>IFERROR(INDEX(Registro!$AB$2:$AB$501,MATCH($A2&amp;"|"&amp;1,Registro!$AA$2:$AA$501,0)),"")</f>
        <v/>
      </c>
      <c r="C2" t="str">
        <f>IFERROR(INDEX(Registro!$AB$2:$AB$501,MATCH($A2&amp;"|"&amp;2,Registro!$AA$2:$AA$501,0)),"")</f>
        <v/>
      </c>
      <c r="D2" t="str">
        <f>IFERROR(INDEX(Registro!$AB$2:$AB$501,MATCH($A2&amp;"|"&amp;3,Registro!$AA$2:$AA$501,0)),"")</f>
        <v/>
      </c>
      <c r="E2" t="str">
        <f>IFERROR(INDEX(Registro!$AB$2:$AB$501,MATCH($A2&amp;"|"&amp;4,Registro!$AA$2:$AA$501,0)),"")</f>
        <v/>
      </c>
      <c r="F2" t="str">
        <f>IFERROR(INDEX(Registro!$AB$2:$AB$501,MATCH($A2&amp;"|"&amp;5,Registro!$AA$2:$AA$501,0)),"")</f>
        <v/>
      </c>
      <c r="H2" t="str">
        <f>IFERROR(INDEX('Registro Refuerzo'!$K$2:$K$201,MATCH($A2&amp;"|"&amp;1,'Registro Refuerzo'!$J$2:$J$201,0)),"")</f>
        <v/>
      </c>
      <c r="I2" t="str">
        <f>IFERROR(INDEX('Registro Refuerzo'!$K$2:$K$201,MATCH($A2&amp;"|"&amp;2,'Registro Refuerzo'!$J$2:$J$201,0)),"")</f>
        <v/>
      </c>
      <c r="J2" t="str">
        <f>IFERROR(INDEX('Registro Refuerzo'!$K$2:$K$201,MATCH($A2&amp;"|"&amp;3,'Registro Refuerzo'!$J$2:$J$201,0)),"")</f>
        <v/>
      </c>
      <c r="K2" t="str">
        <f>IFERROR(INDEX('Registro Refuerzo'!$K$2:$K$201,MATCH($A2&amp;"|"&amp;4,'Registro Refuerzo'!$J$2:$J$201,0)),"")</f>
        <v/>
      </c>
      <c r="L2" t="str">
        <f>IFERROR(INDEX('Registro Refuerzo'!$K$2:$K$201,MATCH($A2&amp;"|"&amp;5,'Registro Refuerzo'!$J$2:$J$201,0)),"")</f>
        <v/>
      </c>
      <c r="M2">
        <f>IFERROR(INDEX(Registro!$AB$2:$AB$501,MATCH($A2&amp;"|"&amp;6,Registro!$AA$2:$AA$501,0)),"")</f>
      </c>
      <c r="N2">
        <f>IFERROR(INDEX(Registro!$AB$2:$AB$501,MATCH($A2&amp;"|"&amp;7,Registro!$AA$2:$AA$501,0)),"")</f>
      </c>
      <c r="O2">
        <f>IFERROR(INDEX(Registro!$AB$2:$AB$501,MATCH($A2&amp;"|"&amp;8,Registro!$AA$2:$AA$501,0)),"")</f>
      </c>
      <c r="P2">
        <f>IFERROR(INDEX(Registro!$AB$2:$AB$501,MATCH($A2&amp;"|"&amp;9,Registro!$AA$2:$AA$501,0)),"")</f>
      </c>
      <c r="Q2">
        <f>IFERROR(INDEX(Registro!$AB$2:$AB$501,MATCH($A2&amp;"|"&amp;10,Registro!$AA$2:$AA$501,0)),"")</f>
      </c>
      <c r="R2">
        <f>IFERROR(INDEX(Registro!$AB$2:$AB$501,MATCH($A2&amp;"|"&amp;11,Registro!$AA$2:$AA$501,0)),"")</f>
      </c>
      <c r="S2">
        <f>IFERROR(INDEX(Registro!$AB$2:$AB$501,MATCH($A2&amp;"|"&amp;12,Registro!$AA$2:$AA$501,0)),"")</f>
      </c>
      <c r="T2">
        <f>IFERROR(INDEX('Registro Refuerzo'!$K$2:$K$201,MATCH($A2&amp;"|"&amp;6,'Registro Refuerzo'!$J$2:$J$201,0)),"")</f>
      </c>
      <c r="U2">
        <f>IFERROR(INDEX('Registro Refuerzo'!$K$2:$K$201,MATCH($A2&amp;"|"&amp;7,'Registro Refuerzo'!$J$2:$J$201,0)),"")</f>
      </c>
      <c r="V2">
        <f>IFERROR(INDEX('Registro Refuerzo'!$K$2:$K$201,MATCH($A2&amp;"|"&amp;8,'Registro Refuerzo'!$J$2:$J$201,0)),"")</f>
      </c>
      <c r="W2">
        <f>IFERROR(INDEX('Registro Refuerzo'!$K$2:$K$201,MATCH($A2&amp;"|"&amp;9,'Registro Refuerzo'!$J$2:$J$201,0)),"")</f>
      </c>
      <c r="X2">
        <f>IFERROR(INDEX('Registro Refuerzo'!$K$2:$K$201,MATCH($A2&amp;"|"&amp;10,'Registro Refuerzo'!$J$2:$J$201,0)),"")</f>
      </c>
      <c r="Y2">
        <f>IFERROR(INDEX('Registro Refuerzo'!$K$2:$K$201,MATCH($A2&amp;"|"&amp;11,'Registro Refuerzo'!$J$2:$J$201,0)),"")</f>
      </c>
      <c r="Z2">
        <f>IFERROR(INDEX('Registro Refuerzo'!$K$2:$K$201,MATCH($A2&amp;"|"&amp;12,'Registro Refuerzo'!$J$2:$J$201,0)),"")</f>
      </c>
    </row>
    <row r="3" spans="1:26" ht="15" customHeight="1" x14ac:dyDescent="0.2">
      <c r="A3" t="s">
        <v>22</v>
      </c>
      <c r="B3" t="str">
        <f>IFERROR(INDEX(Registro!$AB$2:$AB$501,MATCH($A3&amp;"|"&amp;1,Registro!$AA$2:$AA$501,0)),"")</f>
        <v/>
      </c>
      <c r="C3" t="str">
        <f>IFERROR(INDEX(Registro!$AB$2:$AB$501,MATCH($A3&amp;"|"&amp;2,Registro!$AA$2:$AA$501,0)),"")</f>
        <v/>
      </c>
      <c r="D3" t="str">
        <f>IFERROR(INDEX(Registro!$AB$2:$AB$501,MATCH($A3&amp;"|"&amp;3,Registro!$AA$2:$AA$501,0)),"")</f>
        <v/>
      </c>
      <c r="E3" t="str">
        <f>IFERROR(INDEX(Registro!$AB$2:$AB$501,MATCH($A3&amp;"|"&amp;4,Registro!$AA$2:$AA$501,0)),"")</f>
        <v/>
      </c>
      <c r="F3" t="str">
        <f>IFERROR(INDEX(Registro!$AB$2:$AB$501,MATCH($A3&amp;"|"&amp;5,Registro!$AA$2:$AA$501,0)),"")</f>
        <v/>
      </c>
      <c r="H3" t="str">
        <f>IFERROR(INDEX('Registro Refuerzo'!$K$2:$K$201,MATCH($A3&amp;"|"&amp;1,'Registro Refuerzo'!$J$2:$J$201,0)),"")</f>
        <v/>
      </c>
      <c r="I3" t="str">
        <f>IFERROR(INDEX('Registro Refuerzo'!$K$2:$K$201,MATCH($A3&amp;"|"&amp;2,'Registro Refuerzo'!$J$2:$J$201,0)),"")</f>
        <v/>
      </c>
      <c r="J3" t="str">
        <f>IFERROR(INDEX('Registro Refuerzo'!$K$2:$K$201,MATCH($A3&amp;"|"&amp;3,'Registro Refuerzo'!$J$2:$J$201,0)),"")</f>
        <v/>
      </c>
      <c r="K3" t="str">
        <f>IFERROR(INDEX('Registro Refuerzo'!$K$2:$K$201,MATCH($A3&amp;"|"&amp;4,'Registro Refuerzo'!$J$2:$J$201,0)),"")</f>
        <v/>
      </c>
      <c r="L3" t="str">
        <f>IFERROR(INDEX('Registro Refuerzo'!$K$2:$K$201,MATCH($A3&amp;"|"&amp;5,'Registro Refuerzo'!$J$2:$J$201,0)),"")</f>
        <v/>
      </c>
      <c r="M3">
        <f>IFERROR(INDEX(Registro!$AB$2:$AB$501,MATCH($A3&amp;"|"&amp;6,Registro!$AA$2:$AA$501,0)),"")</f>
      </c>
      <c r="N3">
        <f>IFERROR(INDEX(Registro!$AB$2:$AB$501,MATCH($A3&amp;"|"&amp;7,Registro!$AA$2:$AA$501,0)),"")</f>
      </c>
      <c r="O3">
        <f>IFERROR(INDEX(Registro!$AB$2:$AB$501,MATCH($A3&amp;"|"&amp;8,Registro!$AA$2:$AA$501,0)),"")</f>
      </c>
      <c r="P3">
        <f>IFERROR(INDEX(Registro!$AB$2:$AB$501,MATCH($A3&amp;"|"&amp;9,Registro!$AA$2:$AA$501,0)),"")</f>
      </c>
      <c r="Q3">
        <f>IFERROR(INDEX(Registro!$AB$2:$AB$501,MATCH($A3&amp;"|"&amp;10,Registro!$AA$2:$AA$501,0)),"")</f>
      </c>
      <c r="R3">
        <f>IFERROR(INDEX(Registro!$AB$2:$AB$501,MATCH($A3&amp;"|"&amp;11,Registro!$AA$2:$AA$501,0)),"")</f>
      </c>
      <c r="S3">
        <f>IFERROR(INDEX(Registro!$AB$2:$AB$501,MATCH($A3&amp;"|"&amp;12,Registro!$AA$2:$AA$501,0)),"")</f>
      </c>
      <c r="T3">
        <f>IFERROR(INDEX('Registro Refuerzo'!$K$2:$K$201,MATCH($A3&amp;"|"&amp;6,'Registro Refuerzo'!$J$2:$J$201,0)),"")</f>
      </c>
      <c r="U3">
        <f>IFERROR(INDEX('Registro Refuerzo'!$K$2:$K$201,MATCH($A3&amp;"|"&amp;7,'Registro Refuerzo'!$J$2:$J$201,0)),"")</f>
      </c>
      <c r="V3">
        <f>IFERROR(INDEX('Registro Refuerzo'!$K$2:$K$201,MATCH($A3&amp;"|"&amp;8,'Registro Refuerzo'!$J$2:$J$201,0)),"")</f>
      </c>
      <c r="W3">
        <f>IFERROR(INDEX('Registro Refuerzo'!$K$2:$K$201,MATCH($A3&amp;"|"&amp;9,'Registro Refuerzo'!$J$2:$J$201,0)),"")</f>
      </c>
      <c r="X3">
        <f>IFERROR(INDEX('Registro Refuerzo'!$K$2:$K$201,MATCH($A3&amp;"|"&amp;10,'Registro Refuerzo'!$J$2:$J$201,0)),"")</f>
      </c>
      <c r="Y3">
        <f>IFERROR(INDEX('Registro Refuerzo'!$K$2:$K$201,MATCH($A3&amp;"|"&amp;11,'Registro Refuerzo'!$J$2:$J$201,0)),"")</f>
      </c>
      <c r="Z3">
        <f>IFERROR(INDEX('Registro Refuerzo'!$K$2:$K$201,MATCH($A3&amp;"|"&amp;12,'Registro Refuerzo'!$J$2:$J$201,0)),"")</f>
      </c>
    </row>
    <row r="4" spans="1:26" ht="15" customHeight="1" x14ac:dyDescent="0.2">
      <c r="A4" t="s">
        <v>28</v>
      </c>
      <c r="B4" t="str">
        <f>IFERROR(INDEX(Registro!$AB$2:$AB$501,MATCH($A4&amp;"|"&amp;1,Registro!$AA$2:$AA$501,0)),"")</f>
        <v/>
      </c>
      <c r="C4" t="str">
        <f>IFERROR(INDEX(Registro!$AB$2:$AB$501,MATCH($A4&amp;"|"&amp;2,Registro!$AA$2:$AA$501,0)),"")</f>
        <v/>
      </c>
      <c r="D4" t="str">
        <f>IFERROR(INDEX(Registro!$AB$2:$AB$501,MATCH($A4&amp;"|"&amp;3,Registro!$AA$2:$AA$501,0)),"")</f>
        <v/>
      </c>
      <c r="E4" t="str">
        <f>IFERROR(INDEX(Registro!$AB$2:$AB$501,MATCH($A4&amp;"|"&amp;4,Registro!$AA$2:$AA$501,0)),"")</f>
        <v/>
      </c>
      <c r="F4" t="str">
        <f>IFERROR(INDEX(Registro!$AB$2:$AB$501,MATCH($A4&amp;"|"&amp;5,Registro!$AA$2:$AA$501,0)),"")</f>
        <v/>
      </c>
      <c r="H4" t="str">
        <f>IFERROR(INDEX('Registro Refuerzo'!$K$2:$K$201,MATCH($A4&amp;"|"&amp;1,'Registro Refuerzo'!$J$2:$J$201,0)),"")</f>
        <v/>
      </c>
      <c r="I4" t="str">
        <f>IFERROR(INDEX('Registro Refuerzo'!$K$2:$K$201,MATCH($A4&amp;"|"&amp;2,'Registro Refuerzo'!$J$2:$J$201,0)),"")</f>
        <v/>
      </c>
      <c r="J4" t="str">
        <f>IFERROR(INDEX('Registro Refuerzo'!$K$2:$K$201,MATCH($A4&amp;"|"&amp;3,'Registro Refuerzo'!$J$2:$J$201,0)),"")</f>
        <v/>
      </c>
      <c r="K4" t="str">
        <f>IFERROR(INDEX('Registro Refuerzo'!$K$2:$K$201,MATCH($A4&amp;"|"&amp;4,'Registro Refuerzo'!$J$2:$J$201,0)),"")</f>
        <v/>
      </c>
      <c r="L4" t="str">
        <f>IFERROR(INDEX('Registro Refuerzo'!$K$2:$K$201,MATCH($A4&amp;"|"&amp;5,'Registro Refuerzo'!$J$2:$J$201,0)),"")</f>
        <v/>
      </c>
      <c r="M4">
        <f>IFERROR(INDEX(Registro!$AB$2:$AB$501,MATCH($A4&amp;"|"&amp;6,Registro!$AA$2:$AA$501,0)),"")</f>
      </c>
      <c r="N4">
        <f>IFERROR(INDEX(Registro!$AB$2:$AB$501,MATCH($A4&amp;"|"&amp;7,Registro!$AA$2:$AA$501,0)),"")</f>
      </c>
      <c r="O4">
        <f>IFERROR(INDEX(Registro!$AB$2:$AB$501,MATCH($A4&amp;"|"&amp;8,Registro!$AA$2:$AA$501,0)),"")</f>
      </c>
      <c r="P4">
        <f>IFERROR(INDEX(Registro!$AB$2:$AB$501,MATCH($A4&amp;"|"&amp;9,Registro!$AA$2:$AA$501,0)),"")</f>
      </c>
      <c r="Q4">
        <f>IFERROR(INDEX(Registro!$AB$2:$AB$501,MATCH($A4&amp;"|"&amp;10,Registro!$AA$2:$AA$501,0)),"")</f>
      </c>
      <c r="R4">
        <f>IFERROR(INDEX(Registro!$AB$2:$AB$501,MATCH($A4&amp;"|"&amp;11,Registro!$AA$2:$AA$501,0)),"")</f>
      </c>
      <c r="S4">
        <f>IFERROR(INDEX(Registro!$AB$2:$AB$501,MATCH($A4&amp;"|"&amp;12,Registro!$AA$2:$AA$501,0)),"")</f>
      </c>
      <c r="T4">
        <f>IFERROR(INDEX('Registro Refuerzo'!$K$2:$K$201,MATCH($A4&amp;"|"&amp;6,'Registro Refuerzo'!$J$2:$J$201,0)),"")</f>
      </c>
      <c r="U4">
        <f>IFERROR(INDEX('Registro Refuerzo'!$K$2:$K$201,MATCH($A4&amp;"|"&amp;7,'Registro Refuerzo'!$J$2:$J$201,0)),"")</f>
      </c>
      <c r="V4">
        <f>IFERROR(INDEX('Registro Refuerzo'!$K$2:$K$201,MATCH($A4&amp;"|"&amp;8,'Registro Refuerzo'!$J$2:$J$201,0)),"")</f>
      </c>
      <c r="W4">
        <f>IFERROR(INDEX('Registro Refuerzo'!$K$2:$K$201,MATCH($A4&amp;"|"&amp;9,'Registro Refuerzo'!$J$2:$J$201,0)),"")</f>
      </c>
      <c r="X4">
        <f>IFERROR(INDEX('Registro Refuerzo'!$K$2:$K$201,MATCH($A4&amp;"|"&amp;10,'Registro Refuerzo'!$J$2:$J$201,0)),"")</f>
      </c>
      <c r="Y4">
        <f>IFERROR(INDEX('Registro Refuerzo'!$K$2:$K$201,MATCH($A4&amp;"|"&amp;11,'Registro Refuerzo'!$J$2:$J$201,0)),"")</f>
      </c>
      <c r="Z4">
        <f>IFERROR(INDEX('Registro Refuerzo'!$K$2:$K$201,MATCH($A4&amp;"|"&amp;12,'Registro Refuerzo'!$J$2:$J$201,0)),"")</f>
      </c>
    </row>
    <row r="5" spans="1:26" ht="15" customHeight="1" x14ac:dyDescent="0.2">
      <c r="A5" t="s">
        <v>8</v>
      </c>
      <c r="B5" t="str">
        <f>IFERROR(INDEX(Registro!$AB$2:$AB$501,MATCH($A5&amp;"|"&amp;1,Registro!$AA$2:$AA$501,0)),"")</f>
        <v/>
      </c>
      <c r="C5" t="str">
        <f>IFERROR(INDEX(Registro!$AB$2:$AB$501,MATCH($A5&amp;"|"&amp;2,Registro!$AA$2:$AA$501,0)),"")</f>
        <v/>
      </c>
      <c r="D5" t="str">
        <f>IFERROR(INDEX(Registro!$AB$2:$AB$501,MATCH($A5&amp;"|"&amp;3,Registro!$AA$2:$AA$501,0)),"")</f>
        <v/>
      </c>
      <c r="E5" t="str">
        <f>IFERROR(INDEX(Registro!$AB$2:$AB$501,MATCH($A5&amp;"|"&amp;4,Registro!$AA$2:$AA$501,0)),"")</f>
        <v/>
      </c>
      <c r="F5" t="str">
        <f>IFERROR(INDEX(Registro!$AB$2:$AB$501,MATCH($A5&amp;"|"&amp;5,Registro!$AA$2:$AA$501,0)),"")</f>
        <v/>
      </c>
      <c r="H5" t="str">
        <f>IFERROR(INDEX('Registro Refuerzo'!$K$2:$K$201,MATCH($A5&amp;"|"&amp;1,'Registro Refuerzo'!$J$2:$J$201,0)),"")</f>
        <v/>
      </c>
      <c r="I5" t="str">
        <f>IFERROR(INDEX('Registro Refuerzo'!$K$2:$K$201,MATCH($A5&amp;"|"&amp;2,'Registro Refuerzo'!$J$2:$J$201,0)),"")</f>
        <v/>
      </c>
      <c r="J5" t="str">
        <f>IFERROR(INDEX('Registro Refuerzo'!$K$2:$K$201,MATCH($A5&amp;"|"&amp;3,'Registro Refuerzo'!$J$2:$J$201,0)),"")</f>
        <v/>
      </c>
      <c r="K5" t="str">
        <f>IFERROR(INDEX('Registro Refuerzo'!$K$2:$K$201,MATCH($A5&amp;"|"&amp;4,'Registro Refuerzo'!$J$2:$J$201,0)),"")</f>
        <v/>
      </c>
      <c r="L5" t="str">
        <f>IFERROR(INDEX('Registro Refuerzo'!$K$2:$K$201,MATCH($A5&amp;"|"&amp;5,'Registro Refuerzo'!$J$2:$J$201,0)),"")</f>
        <v/>
      </c>
      <c r="M5">
        <f>IFERROR(INDEX(Registro!$AB$2:$AB$501,MATCH($A5&amp;"|"&amp;6,Registro!$AA$2:$AA$501,0)),"")</f>
      </c>
      <c r="N5">
        <f>IFERROR(INDEX(Registro!$AB$2:$AB$501,MATCH($A5&amp;"|"&amp;7,Registro!$AA$2:$AA$501,0)),"")</f>
      </c>
      <c r="O5">
        <f>IFERROR(INDEX(Registro!$AB$2:$AB$501,MATCH($A5&amp;"|"&amp;8,Registro!$AA$2:$AA$501,0)),"")</f>
      </c>
      <c r="P5">
        <f>IFERROR(INDEX(Registro!$AB$2:$AB$501,MATCH($A5&amp;"|"&amp;9,Registro!$AA$2:$AA$501,0)),"")</f>
      </c>
      <c r="Q5">
        <f>IFERROR(INDEX(Registro!$AB$2:$AB$501,MATCH($A5&amp;"|"&amp;10,Registro!$AA$2:$AA$501,0)),"")</f>
      </c>
      <c r="R5">
        <f>IFERROR(INDEX(Registro!$AB$2:$AB$501,MATCH($A5&amp;"|"&amp;11,Registro!$AA$2:$AA$501,0)),"")</f>
      </c>
      <c r="S5">
        <f>IFERROR(INDEX(Registro!$AB$2:$AB$501,MATCH($A5&amp;"|"&amp;12,Registro!$AA$2:$AA$501,0)),"")</f>
      </c>
      <c r="T5">
        <f>IFERROR(INDEX('Registro Refuerzo'!$K$2:$K$201,MATCH($A5&amp;"|"&amp;6,'Registro Refuerzo'!$J$2:$J$201,0)),"")</f>
      </c>
      <c r="U5">
        <f>IFERROR(INDEX('Registro Refuerzo'!$K$2:$K$201,MATCH($A5&amp;"|"&amp;7,'Registro Refuerzo'!$J$2:$J$201,0)),"")</f>
      </c>
      <c r="V5">
        <f>IFERROR(INDEX('Registro Refuerzo'!$K$2:$K$201,MATCH($A5&amp;"|"&amp;8,'Registro Refuerzo'!$J$2:$J$201,0)),"")</f>
      </c>
      <c r="W5">
        <f>IFERROR(INDEX('Registro Refuerzo'!$K$2:$K$201,MATCH($A5&amp;"|"&amp;9,'Registro Refuerzo'!$J$2:$J$201,0)),"")</f>
      </c>
      <c r="X5">
        <f>IFERROR(INDEX('Registro Refuerzo'!$K$2:$K$201,MATCH($A5&amp;"|"&amp;10,'Registro Refuerzo'!$J$2:$J$201,0)),"")</f>
      </c>
      <c r="Y5">
        <f>IFERROR(INDEX('Registro Refuerzo'!$K$2:$K$201,MATCH($A5&amp;"|"&amp;11,'Registro Refuerzo'!$J$2:$J$201,0)),"")</f>
      </c>
      <c r="Z5">
        <f>IFERROR(INDEX('Registro Refuerzo'!$K$2:$K$201,MATCH($A5&amp;"|"&amp;12,'Registro Refuerzo'!$J$2:$J$201,0)),"")</f>
      </c>
    </row>
    <row r="6" spans="1:26" ht="15" customHeight="1" x14ac:dyDescent="0.2">
      <c r="A6" t="s">
        <v>16</v>
      </c>
      <c r="B6" t="str">
        <f>IFERROR(INDEX(Registro!$AB$2:$AB$501,MATCH($A6&amp;"|"&amp;1,Registro!$AA$2:$AA$501,0)),"")</f>
        <v/>
      </c>
      <c r="C6" t="str">
        <f>IFERROR(INDEX(Registro!$AB$2:$AB$501,MATCH($A6&amp;"|"&amp;2,Registro!$AA$2:$AA$501,0)),"")</f>
        <v/>
      </c>
      <c r="D6" t="str">
        <f>IFERROR(INDEX(Registro!$AB$2:$AB$501,MATCH($A6&amp;"|"&amp;3,Registro!$AA$2:$AA$501,0)),"")</f>
        <v/>
      </c>
      <c r="E6" t="str">
        <f>IFERROR(INDEX(Registro!$AB$2:$AB$501,MATCH($A6&amp;"|"&amp;4,Registro!$AA$2:$AA$501,0)),"")</f>
        <v/>
      </c>
      <c r="F6" t="str">
        <f>IFERROR(INDEX(Registro!$AB$2:$AB$501,MATCH($A6&amp;"|"&amp;5,Registro!$AA$2:$AA$501,0)),"")</f>
        <v/>
      </c>
      <c r="H6" t="str">
        <f>IFERROR(INDEX('Registro Refuerzo'!$K$2:$K$201,MATCH($A6&amp;"|"&amp;1,'Registro Refuerzo'!$J$2:$J$201,0)),"")</f>
        <v/>
      </c>
      <c r="I6" t="str">
        <f>IFERROR(INDEX('Registro Refuerzo'!$K$2:$K$201,MATCH($A6&amp;"|"&amp;2,'Registro Refuerzo'!$J$2:$J$201,0)),"")</f>
        <v/>
      </c>
      <c r="J6" t="str">
        <f>IFERROR(INDEX('Registro Refuerzo'!$K$2:$K$201,MATCH($A6&amp;"|"&amp;3,'Registro Refuerzo'!$J$2:$J$201,0)),"")</f>
        <v/>
      </c>
      <c r="K6" t="str">
        <f>IFERROR(INDEX('Registro Refuerzo'!$K$2:$K$201,MATCH($A6&amp;"|"&amp;4,'Registro Refuerzo'!$J$2:$J$201,0)),"")</f>
        <v/>
      </c>
      <c r="L6" t="str">
        <f>IFERROR(INDEX('Registro Refuerzo'!$K$2:$K$201,MATCH($A6&amp;"|"&amp;5,'Registro Refuerzo'!$J$2:$J$201,0)),"")</f>
        <v/>
      </c>
      <c r="M6">
        <f>IFERROR(INDEX(Registro!$AB$2:$AB$501,MATCH($A6&amp;"|"&amp;6,Registro!$AA$2:$AA$501,0)),"")</f>
      </c>
      <c r="N6">
        <f>IFERROR(INDEX(Registro!$AB$2:$AB$501,MATCH($A6&amp;"|"&amp;7,Registro!$AA$2:$AA$501,0)),"")</f>
      </c>
      <c r="O6">
        <f>IFERROR(INDEX(Registro!$AB$2:$AB$501,MATCH($A6&amp;"|"&amp;8,Registro!$AA$2:$AA$501,0)),"")</f>
      </c>
      <c r="P6">
        <f>IFERROR(INDEX(Registro!$AB$2:$AB$501,MATCH($A6&amp;"|"&amp;9,Registro!$AA$2:$AA$501,0)),"")</f>
      </c>
      <c r="Q6">
        <f>IFERROR(INDEX(Registro!$AB$2:$AB$501,MATCH($A6&amp;"|"&amp;10,Registro!$AA$2:$AA$501,0)),"")</f>
      </c>
      <c r="R6">
        <f>IFERROR(INDEX(Registro!$AB$2:$AB$501,MATCH($A6&amp;"|"&amp;11,Registro!$AA$2:$AA$501,0)),"")</f>
      </c>
      <c r="S6">
        <f>IFERROR(INDEX(Registro!$AB$2:$AB$501,MATCH($A6&amp;"|"&amp;12,Registro!$AA$2:$AA$501,0)),"")</f>
      </c>
      <c r="T6">
        <f>IFERROR(INDEX('Registro Refuerzo'!$K$2:$K$201,MATCH($A6&amp;"|"&amp;6,'Registro Refuerzo'!$J$2:$J$201,0)),"")</f>
      </c>
      <c r="U6">
        <f>IFERROR(INDEX('Registro Refuerzo'!$K$2:$K$201,MATCH($A6&amp;"|"&amp;7,'Registro Refuerzo'!$J$2:$J$201,0)),"")</f>
      </c>
      <c r="V6">
        <f>IFERROR(INDEX('Registro Refuerzo'!$K$2:$K$201,MATCH($A6&amp;"|"&amp;8,'Registro Refuerzo'!$J$2:$J$201,0)),"")</f>
      </c>
      <c r="W6">
        <f>IFERROR(INDEX('Registro Refuerzo'!$K$2:$K$201,MATCH($A6&amp;"|"&amp;9,'Registro Refuerzo'!$J$2:$J$201,0)),"")</f>
      </c>
      <c r="X6">
        <f>IFERROR(INDEX('Registro Refuerzo'!$K$2:$K$201,MATCH($A6&amp;"|"&amp;10,'Registro Refuerzo'!$J$2:$J$201,0)),"")</f>
      </c>
      <c r="Y6">
        <f>IFERROR(INDEX('Registro Refuerzo'!$K$2:$K$201,MATCH($A6&amp;"|"&amp;11,'Registro Refuerzo'!$J$2:$J$201,0)),"")</f>
      </c>
      <c r="Z6">
        <f>IFERROR(INDEX('Registro Refuerzo'!$K$2:$K$201,MATCH($A6&amp;"|"&amp;12,'Registro Refuerzo'!$J$2:$J$201,0)),"")</f>
      </c>
    </row>
    <row r="7" spans="1:26" ht="15" customHeight="1" x14ac:dyDescent="0.2">
      <c r="A7" t="s">
        <v>24</v>
      </c>
      <c r="B7" t="str">
        <f>IFERROR(INDEX(Registro!$AB$2:$AB$501,MATCH($A7&amp;"|"&amp;1,Registro!$AA$2:$AA$501,0)),"")</f>
        <v/>
      </c>
      <c r="C7" t="str">
        <f>IFERROR(INDEX(Registro!$AB$2:$AB$501,MATCH($A7&amp;"|"&amp;2,Registro!$AA$2:$AA$501,0)),"")</f>
        <v/>
      </c>
      <c r="D7" t="str">
        <f>IFERROR(INDEX(Registro!$AB$2:$AB$501,MATCH($A7&amp;"|"&amp;3,Registro!$AA$2:$AA$501,0)),"")</f>
        <v/>
      </c>
      <c r="E7" t="str">
        <f>IFERROR(INDEX(Registro!$AB$2:$AB$501,MATCH($A7&amp;"|"&amp;4,Registro!$AA$2:$AA$501,0)),"")</f>
        <v/>
      </c>
      <c r="F7" t="str">
        <f>IFERROR(INDEX(Registro!$AB$2:$AB$501,MATCH($A7&amp;"|"&amp;5,Registro!$AA$2:$AA$501,0)),"")</f>
        <v/>
      </c>
      <c r="H7" t="str">
        <f>IFERROR(INDEX('Registro Refuerzo'!$K$2:$K$201,MATCH($A7&amp;"|"&amp;1,'Registro Refuerzo'!$J$2:$J$201,0)),"")</f>
        <v/>
      </c>
      <c r="I7" t="str">
        <f>IFERROR(INDEX('Registro Refuerzo'!$K$2:$K$201,MATCH($A7&amp;"|"&amp;2,'Registro Refuerzo'!$J$2:$J$201,0)),"")</f>
        <v/>
      </c>
      <c r="J7" t="str">
        <f>IFERROR(INDEX('Registro Refuerzo'!$K$2:$K$201,MATCH($A7&amp;"|"&amp;3,'Registro Refuerzo'!$J$2:$J$201,0)),"")</f>
        <v/>
      </c>
      <c r="K7" t="str">
        <f>IFERROR(INDEX('Registro Refuerzo'!$K$2:$K$201,MATCH($A7&amp;"|"&amp;4,'Registro Refuerzo'!$J$2:$J$201,0)),"")</f>
        <v/>
      </c>
      <c r="L7" t="str">
        <f>IFERROR(INDEX('Registro Refuerzo'!$K$2:$K$201,MATCH($A7&amp;"|"&amp;5,'Registro Refuerzo'!$J$2:$J$201,0)),"")</f>
        <v/>
      </c>
      <c r="M7">
        <f>IFERROR(INDEX(Registro!$AB$2:$AB$501,MATCH($A7&amp;"|"&amp;6,Registro!$AA$2:$AA$501,0)),"")</f>
      </c>
      <c r="N7">
        <f>IFERROR(INDEX(Registro!$AB$2:$AB$501,MATCH($A7&amp;"|"&amp;7,Registro!$AA$2:$AA$501,0)),"")</f>
      </c>
      <c r="O7">
        <f>IFERROR(INDEX(Registro!$AB$2:$AB$501,MATCH($A7&amp;"|"&amp;8,Registro!$AA$2:$AA$501,0)),"")</f>
      </c>
      <c r="P7">
        <f>IFERROR(INDEX(Registro!$AB$2:$AB$501,MATCH($A7&amp;"|"&amp;9,Registro!$AA$2:$AA$501,0)),"")</f>
      </c>
      <c r="Q7">
        <f>IFERROR(INDEX(Registro!$AB$2:$AB$501,MATCH($A7&amp;"|"&amp;10,Registro!$AA$2:$AA$501,0)),"")</f>
      </c>
      <c r="R7">
        <f>IFERROR(INDEX(Registro!$AB$2:$AB$501,MATCH($A7&amp;"|"&amp;11,Registro!$AA$2:$AA$501,0)),"")</f>
      </c>
      <c r="S7">
        <f>IFERROR(INDEX(Registro!$AB$2:$AB$501,MATCH($A7&amp;"|"&amp;12,Registro!$AA$2:$AA$501,0)),"")</f>
      </c>
      <c r="T7">
        <f>IFERROR(INDEX('Registro Refuerzo'!$K$2:$K$201,MATCH($A7&amp;"|"&amp;6,'Registro Refuerzo'!$J$2:$J$201,0)),"")</f>
      </c>
      <c r="U7">
        <f>IFERROR(INDEX('Registro Refuerzo'!$K$2:$K$201,MATCH($A7&amp;"|"&amp;7,'Registro Refuerzo'!$J$2:$J$201,0)),"")</f>
      </c>
      <c r="V7">
        <f>IFERROR(INDEX('Registro Refuerzo'!$K$2:$K$201,MATCH($A7&amp;"|"&amp;8,'Registro Refuerzo'!$J$2:$J$201,0)),"")</f>
      </c>
      <c r="W7">
        <f>IFERROR(INDEX('Registro Refuerzo'!$K$2:$K$201,MATCH($A7&amp;"|"&amp;9,'Registro Refuerzo'!$J$2:$J$201,0)),"")</f>
      </c>
      <c r="X7">
        <f>IFERROR(INDEX('Registro Refuerzo'!$K$2:$K$201,MATCH($A7&amp;"|"&amp;10,'Registro Refuerzo'!$J$2:$J$201,0)),"")</f>
      </c>
      <c r="Y7">
        <f>IFERROR(INDEX('Registro Refuerzo'!$K$2:$K$201,MATCH($A7&amp;"|"&amp;11,'Registro Refuerzo'!$J$2:$J$201,0)),"")</f>
      </c>
      <c r="Z7">
        <f>IFERROR(INDEX('Registro Refuerzo'!$K$2:$K$201,MATCH($A7&amp;"|"&amp;12,'Registro Refuerzo'!$J$2:$J$201,0)),"")</f>
      </c>
    </row>
    <row r="8" spans="1:26" ht="15" customHeight="1" x14ac:dyDescent="0.2">
      <c r="A8" t="s">
        <v>29</v>
      </c>
      <c r="B8" t="str">
        <f>IFERROR(INDEX(Registro!$AB$2:$AB$501,MATCH($A8&amp;"|"&amp;1,Registro!$AA$2:$AA$501,0)),"")</f>
        <v/>
      </c>
      <c r="C8" t="str">
        <f>IFERROR(INDEX(Registro!$AB$2:$AB$501,MATCH($A8&amp;"|"&amp;2,Registro!$AA$2:$AA$501,0)),"")</f>
        <v/>
      </c>
      <c r="D8" t="str">
        <f>IFERROR(INDEX(Registro!$AB$2:$AB$501,MATCH($A8&amp;"|"&amp;3,Registro!$AA$2:$AA$501,0)),"")</f>
        <v/>
      </c>
      <c r="E8" t="str">
        <f>IFERROR(INDEX(Registro!$AB$2:$AB$501,MATCH($A8&amp;"|"&amp;4,Registro!$AA$2:$AA$501,0)),"")</f>
        <v/>
      </c>
      <c r="F8" t="str">
        <f>IFERROR(INDEX(Registro!$AB$2:$AB$501,MATCH($A8&amp;"|"&amp;5,Registro!$AA$2:$AA$501,0)),"")</f>
        <v/>
      </c>
      <c r="H8" t="str">
        <f>IFERROR(INDEX('Registro Refuerzo'!$K$2:$K$201,MATCH($A8&amp;"|"&amp;1,'Registro Refuerzo'!$J$2:$J$201,0)),"")</f>
        <v/>
      </c>
      <c r="I8" t="str">
        <f>IFERROR(INDEX('Registro Refuerzo'!$K$2:$K$201,MATCH($A8&amp;"|"&amp;2,'Registro Refuerzo'!$J$2:$J$201,0)),"")</f>
        <v/>
      </c>
      <c r="J8" t="str">
        <f>IFERROR(INDEX('Registro Refuerzo'!$K$2:$K$201,MATCH($A8&amp;"|"&amp;3,'Registro Refuerzo'!$J$2:$J$201,0)),"")</f>
        <v/>
      </c>
      <c r="K8" t="str">
        <f>IFERROR(INDEX('Registro Refuerzo'!$K$2:$K$201,MATCH($A8&amp;"|"&amp;4,'Registro Refuerzo'!$J$2:$J$201,0)),"")</f>
        <v/>
      </c>
      <c r="L8" t="str">
        <f>IFERROR(INDEX('Registro Refuerzo'!$K$2:$K$201,MATCH($A8&amp;"|"&amp;5,'Registro Refuerzo'!$J$2:$J$201,0)),"")</f>
        <v/>
      </c>
      <c r="M8">
        <f>IFERROR(INDEX(Registro!$AB$2:$AB$501,MATCH($A8&amp;"|"&amp;6,Registro!$AA$2:$AA$501,0)),"")</f>
      </c>
      <c r="N8">
        <f>IFERROR(INDEX(Registro!$AB$2:$AB$501,MATCH($A8&amp;"|"&amp;7,Registro!$AA$2:$AA$501,0)),"")</f>
      </c>
      <c r="O8">
        <f>IFERROR(INDEX(Registro!$AB$2:$AB$501,MATCH($A8&amp;"|"&amp;8,Registro!$AA$2:$AA$501,0)),"")</f>
      </c>
      <c r="P8">
        <f>IFERROR(INDEX(Registro!$AB$2:$AB$501,MATCH($A8&amp;"|"&amp;9,Registro!$AA$2:$AA$501,0)),"")</f>
      </c>
      <c r="Q8">
        <f>IFERROR(INDEX(Registro!$AB$2:$AB$501,MATCH($A8&amp;"|"&amp;10,Registro!$AA$2:$AA$501,0)),"")</f>
      </c>
      <c r="R8">
        <f>IFERROR(INDEX(Registro!$AB$2:$AB$501,MATCH($A8&amp;"|"&amp;11,Registro!$AA$2:$AA$501,0)),"")</f>
      </c>
      <c r="S8">
        <f>IFERROR(INDEX(Registro!$AB$2:$AB$501,MATCH($A8&amp;"|"&amp;12,Registro!$AA$2:$AA$501,0)),"")</f>
      </c>
      <c r="T8">
        <f>IFERROR(INDEX('Registro Refuerzo'!$K$2:$K$201,MATCH($A8&amp;"|"&amp;6,'Registro Refuerzo'!$J$2:$J$201,0)),"")</f>
      </c>
      <c r="U8">
        <f>IFERROR(INDEX('Registro Refuerzo'!$K$2:$K$201,MATCH($A8&amp;"|"&amp;7,'Registro Refuerzo'!$J$2:$J$201,0)),"")</f>
      </c>
      <c r="V8">
        <f>IFERROR(INDEX('Registro Refuerzo'!$K$2:$K$201,MATCH($A8&amp;"|"&amp;8,'Registro Refuerzo'!$J$2:$J$201,0)),"")</f>
      </c>
      <c r="W8">
        <f>IFERROR(INDEX('Registro Refuerzo'!$K$2:$K$201,MATCH($A8&amp;"|"&amp;9,'Registro Refuerzo'!$J$2:$J$201,0)),"")</f>
      </c>
      <c r="X8">
        <f>IFERROR(INDEX('Registro Refuerzo'!$K$2:$K$201,MATCH($A8&amp;"|"&amp;10,'Registro Refuerzo'!$J$2:$J$201,0)),"")</f>
      </c>
      <c r="Y8">
        <f>IFERROR(INDEX('Registro Refuerzo'!$K$2:$K$201,MATCH($A8&amp;"|"&amp;11,'Registro Refuerzo'!$J$2:$J$201,0)),"")</f>
      </c>
      <c r="Z8">
        <f>IFERROR(INDEX('Registro Refuerzo'!$K$2:$K$201,MATCH($A8&amp;"|"&amp;12,'Registro Refuerzo'!$J$2:$J$201,0)),"")</f>
      </c>
    </row>
    <row r="9" spans="1:26" ht="15" customHeight="1" x14ac:dyDescent="0.2">
      <c r="A9" t="s">
        <v>32</v>
      </c>
      <c r="B9" t="str">
        <f>IFERROR(INDEX(Registro!$AB$2:$AB$501,MATCH($A9&amp;"|"&amp;1,Registro!$AA$2:$AA$501,0)),"")</f>
        <v/>
      </c>
      <c r="C9" t="str">
        <f>IFERROR(INDEX(Registro!$AB$2:$AB$501,MATCH($A9&amp;"|"&amp;2,Registro!$AA$2:$AA$501,0)),"")</f>
        <v/>
      </c>
      <c r="D9" t="str">
        <f>IFERROR(INDEX(Registro!$AB$2:$AB$501,MATCH($A9&amp;"|"&amp;3,Registro!$AA$2:$AA$501,0)),"")</f>
        <v/>
      </c>
      <c r="E9" t="str">
        <f>IFERROR(INDEX(Registro!$AB$2:$AB$501,MATCH($A9&amp;"|"&amp;4,Registro!$AA$2:$AA$501,0)),"")</f>
        <v/>
      </c>
      <c r="F9" t="str">
        <f>IFERROR(INDEX(Registro!$AB$2:$AB$501,MATCH($A9&amp;"|"&amp;5,Registro!$AA$2:$AA$501,0)),"")</f>
        <v/>
      </c>
      <c r="H9" t="str">
        <f>IFERROR(INDEX('Registro Refuerzo'!$K$2:$K$201,MATCH($A9&amp;"|"&amp;1,'Registro Refuerzo'!$J$2:$J$201,0)),"")</f>
        <v/>
      </c>
      <c r="I9" t="str">
        <f>IFERROR(INDEX('Registro Refuerzo'!$K$2:$K$201,MATCH($A9&amp;"|"&amp;2,'Registro Refuerzo'!$J$2:$J$201,0)),"")</f>
        <v/>
      </c>
      <c r="J9" t="str">
        <f>IFERROR(INDEX('Registro Refuerzo'!$K$2:$K$201,MATCH($A9&amp;"|"&amp;3,'Registro Refuerzo'!$J$2:$J$201,0)),"")</f>
        <v/>
      </c>
      <c r="K9" t="str">
        <f>IFERROR(INDEX('Registro Refuerzo'!$K$2:$K$201,MATCH($A9&amp;"|"&amp;4,'Registro Refuerzo'!$J$2:$J$201,0)),"")</f>
        <v/>
      </c>
      <c r="L9" t="str">
        <f>IFERROR(INDEX('Registro Refuerzo'!$K$2:$K$201,MATCH($A9&amp;"|"&amp;5,'Registro Refuerzo'!$J$2:$J$201,0)),"")</f>
        <v/>
      </c>
      <c r="M9">
        <f>IFERROR(INDEX(Registro!$AB$2:$AB$501,MATCH($A9&amp;"|"&amp;6,Registro!$AA$2:$AA$501,0)),"")</f>
      </c>
      <c r="N9">
        <f>IFERROR(INDEX(Registro!$AB$2:$AB$501,MATCH($A9&amp;"|"&amp;7,Registro!$AA$2:$AA$501,0)),"")</f>
      </c>
      <c r="O9">
        <f>IFERROR(INDEX(Registro!$AB$2:$AB$501,MATCH($A9&amp;"|"&amp;8,Registro!$AA$2:$AA$501,0)),"")</f>
      </c>
      <c r="P9">
        <f>IFERROR(INDEX(Registro!$AB$2:$AB$501,MATCH($A9&amp;"|"&amp;9,Registro!$AA$2:$AA$501,0)),"")</f>
      </c>
      <c r="Q9">
        <f>IFERROR(INDEX(Registro!$AB$2:$AB$501,MATCH($A9&amp;"|"&amp;10,Registro!$AA$2:$AA$501,0)),"")</f>
      </c>
      <c r="R9">
        <f>IFERROR(INDEX(Registro!$AB$2:$AB$501,MATCH($A9&amp;"|"&amp;11,Registro!$AA$2:$AA$501,0)),"")</f>
      </c>
      <c r="S9">
        <f>IFERROR(INDEX(Registro!$AB$2:$AB$501,MATCH($A9&amp;"|"&amp;12,Registro!$AA$2:$AA$501,0)),"")</f>
      </c>
      <c r="T9">
        <f>IFERROR(INDEX('Registro Refuerzo'!$K$2:$K$201,MATCH($A9&amp;"|"&amp;6,'Registro Refuerzo'!$J$2:$J$201,0)),"")</f>
      </c>
      <c r="U9">
        <f>IFERROR(INDEX('Registro Refuerzo'!$K$2:$K$201,MATCH($A9&amp;"|"&amp;7,'Registro Refuerzo'!$J$2:$J$201,0)),"")</f>
      </c>
      <c r="V9">
        <f>IFERROR(INDEX('Registro Refuerzo'!$K$2:$K$201,MATCH($A9&amp;"|"&amp;8,'Registro Refuerzo'!$J$2:$J$201,0)),"")</f>
      </c>
      <c r="W9">
        <f>IFERROR(INDEX('Registro Refuerzo'!$K$2:$K$201,MATCH($A9&amp;"|"&amp;9,'Registro Refuerzo'!$J$2:$J$201,0)),"")</f>
      </c>
      <c r="X9">
        <f>IFERROR(INDEX('Registro Refuerzo'!$K$2:$K$201,MATCH($A9&amp;"|"&amp;10,'Registro Refuerzo'!$J$2:$J$201,0)),"")</f>
      </c>
      <c r="Y9">
        <f>IFERROR(INDEX('Registro Refuerzo'!$K$2:$K$201,MATCH($A9&amp;"|"&amp;11,'Registro Refuerzo'!$J$2:$J$201,0)),"")</f>
      </c>
      <c r="Z9">
        <f>IFERROR(INDEX('Registro Refuerzo'!$K$2:$K$201,MATCH($A9&amp;"|"&amp;12,'Registro Refuerzo'!$J$2:$J$201,0)),"")</f>
      </c>
    </row>
    <row r="10" spans="1:26" ht="15" customHeight="1" x14ac:dyDescent="0.2">
      <c r="A10" t="s">
        <v>34</v>
      </c>
      <c r="B10" t="str">
        <f>IFERROR(INDEX(Registro!$AB$2:$AB$501,MATCH($A10&amp;"|"&amp;1,Registro!$AA$2:$AA$501,0)),"")</f>
        <v/>
      </c>
      <c r="C10" t="str">
        <f>IFERROR(INDEX(Registro!$AB$2:$AB$501,MATCH($A10&amp;"|"&amp;2,Registro!$AA$2:$AA$501,0)),"")</f>
        <v/>
      </c>
      <c r="D10" t="str">
        <f>IFERROR(INDEX(Registro!$AB$2:$AB$501,MATCH($A10&amp;"|"&amp;3,Registro!$AA$2:$AA$501,0)),"")</f>
        <v/>
      </c>
      <c r="E10" t="str">
        <f>IFERROR(INDEX(Registro!$AB$2:$AB$501,MATCH($A10&amp;"|"&amp;4,Registro!$AA$2:$AA$501,0)),"")</f>
        <v/>
      </c>
      <c r="F10" t="str">
        <f>IFERROR(INDEX(Registro!$AB$2:$AB$501,MATCH($A10&amp;"|"&amp;5,Registro!$AA$2:$AA$501,0)),"")</f>
        <v/>
      </c>
      <c r="H10" t="str">
        <f>IFERROR(INDEX('Registro Refuerzo'!$K$2:$K$201,MATCH($A10&amp;"|"&amp;1,'Registro Refuerzo'!$J$2:$J$201,0)),"")</f>
        <v/>
      </c>
      <c r="I10" t="str">
        <f>IFERROR(INDEX('Registro Refuerzo'!$K$2:$K$201,MATCH($A10&amp;"|"&amp;2,'Registro Refuerzo'!$J$2:$J$201,0)),"")</f>
        <v/>
      </c>
      <c r="J10" t="str">
        <f>IFERROR(INDEX('Registro Refuerzo'!$K$2:$K$201,MATCH($A10&amp;"|"&amp;3,'Registro Refuerzo'!$J$2:$J$201,0)),"")</f>
        <v/>
      </c>
      <c r="K10" t="str">
        <f>IFERROR(INDEX('Registro Refuerzo'!$K$2:$K$201,MATCH($A10&amp;"|"&amp;4,'Registro Refuerzo'!$J$2:$J$201,0)),"")</f>
        <v/>
      </c>
      <c r="L10" t="str">
        <f>IFERROR(INDEX('Registro Refuerzo'!$K$2:$K$201,MATCH($A10&amp;"|"&amp;5,'Registro Refuerzo'!$J$2:$J$201,0)),"")</f>
        <v/>
      </c>
      <c r="M10">
        <f>IFERROR(INDEX(Registro!$AB$2:$AB$501,MATCH($A10&amp;"|"&amp;6,Registro!$AA$2:$AA$501,0)),"")</f>
      </c>
      <c r="N10">
        <f>IFERROR(INDEX(Registro!$AB$2:$AB$501,MATCH($A10&amp;"|"&amp;7,Registro!$AA$2:$AA$501,0)),"")</f>
      </c>
      <c r="O10">
        <f>IFERROR(INDEX(Registro!$AB$2:$AB$501,MATCH($A10&amp;"|"&amp;8,Registro!$AA$2:$AA$501,0)),"")</f>
      </c>
      <c r="P10">
        <f>IFERROR(INDEX(Registro!$AB$2:$AB$501,MATCH($A10&amp;"|"&amp;9,Registro!$AA$2:$AA$501,0)),"")</f>
      </c>
      <c r="Q10">
        <f>IFERROR(INDEX(Registro!$AB$2:$AB$501,MATCH($A10&amp;"|"&amp;10,Registro!$AA$2:$AA$501,0)),"")</f>
      </c>
      <c r="R10">
        <f>IFERROR(INDEX(Registro!$AB$2:$AB$501,MATCH($A10&amp;"|"&amp;11,Registro!$AA$2:$AA$501,0)),"")</f>
      </c>
      <c r="S10">
        <f>IFERROR(INDEX(Registro!$AB$2:$AB$501,MATCH($A10&amp;"|"&amp;12,Registro!$AA$2:$AA$501,0)),"")</f>
      </c>
      <c r="T10">
        <f>IFERROR(INDEX('Registro Refuerzo'!$K$2:$K$201,MATCH($A10&amp;"|"&amp;6,'Registro Refuerzo'!$J$2:$J$201,0)),"")</f>
      </c>
      <c r="U10">
        <f>IFERROR(INDEX('Registro Refuerzo'!$K$2:$K$201,MATCH($A10&amp;"|"&amp;7,'Registro Refuerzo'!$J$2:$J$201,0)),"")</f>
      </c>
      <c r="V10">
        <f>IFERROR(INDEX('Registro Refuerzo'!$K$2:$K$201,MATCH($A10&amp;"|"&amp;8,'Registro Refuerzo'!$J$2:$J$201,0)),"")</f>
      </c>
      <c r="W10">
        <f>IFERROR(INDEX('Registro Refuerzo'!$K$2:$K$201,MATCH($A10&amp;"|"&amp;9,'Registro Refuerzo'!$J$2:$J$201,0)),"")</f>
      </c>
      <c r="X10">
        <f>IFERROR(INDEX('Registro Refuerzo'!$K$2:$K$201,MATCH($A10&amp;"|"&amp;10,'Registro Refuerzo'!$J$2:$J$201,0)),"")</f>
      </c>
      <c r="Y10">
        <f>IFERROR(INDEX('Registro Refuerzo'!$K$2:$K$201,MATCH($A10&amp;"|"&amp;11,'Registro Refuerzo'!$J$2:$J$201,0)),"")</f>
      </c>
      <c r="Z10">
        <f>IFERROR(INDEX('Registro Refuerzo'!$K$2:$K$201,MATCH($A10&amp;"|"&amp;12,'Registro Refuerzo'!$J$2:$J$201,0)),"")</f>
      </c>
    </row>
    <row r="11" spans="1:26" ht="15" customHeight="1" x14ac:dyDescent="0.2">
      <c r="A11" t="s">
        <v>36</v>
      </c>
      <c r="B11" t="str">
        <f>IFERROR(INDEX(Registro!$AB$2:$AB$501,MATCH($A11&amp;"|"&amp;1,Registro!$AA$2:$AA$501,0)),"")</f>
        <v/>
      </c>
      <c r="C11" t="str">
        <f>IFERROR(INDEX(Registro!$AB$2:$AB$501,MATCH($A11&amp;"|"&amp;2,Registro!$AA$2:$AA$501,0)),"")</f>
        <v/>
      </c>
      <c r="D11" t="str">
        <f>IFERROR(INDEX(Registro!$AB$2:$AB$501,MATCH($A11&amp;"|"&amp;3,Registro!$AA$2:$AA$501,0)),"")</f>
        <v/>
      </c>
      <c r="E11" t="str">
        <f>IFERROR(INDEX(Registro!$AB$2:$AB$501,MATCH($A11&amp;"|"&amp;4,Registro!$AA$2:$AA$501,0)),"")</f>
        <v/>
      </c>
      <c r="F11" t="str">
        <f>IFERROR(INDEX(Registro!$AB$2:$AB$501,MATCH($A11&amp;"|"&amp;5,Registro!$AA$2:$AA$501,0)),"")</f>
        <v/>
      </c>
      <c r="H11" t="str">
        <f>IFERROR(INDEX('Registro Refuerzo'!$K$2:$K$201,MATCH($A11&amp;"|"&amp;1,'Registro Refuerzo'!$J$2:$J$201,0)),"")</f>
        <v/>
      </c>
      <c r="I11" t="str">
        <f>IFERROR(INDEX('Registro Refuerzo'!$K$2:$K$201,MATCH($A11&amp;"|"&amp;2,'Registro Refuerzo'!$J$2:$J$201,0)),"")</f>
        <v/>
      </c>
      <c r="J11" t="str">
        <f>IFERROR(INDEX('Registro Refuerzo'!$K$2:$K$201,MATCH($A11&amp;"|"&amp;3,'Registro Refuerzo'!$J$2:$J$201,0)),"")</f>
        <v/>
      </c>
      <c r="K11" t="str">
        <f>IFERROR(INDEX('Registro Refuerzo'!$K$2:$K$201,MATCH($A11&amp;"|"&amp;4,'Registro Refuerzo'!$J$2:$J$201,0)),"")</f>
        <v/>
      </c>
      <c r="L11" t="str">
        <f>IFERROR(INDEX('Registro Refuerzo'!$K$2:$K$201,MATCH($A11&amp;"|"&amp;5,'Registro Refuerzo'!$J$2:$J$201,0)),"")</f>
        <v/>
      </c>
      <c r="M11">
        <f>IFERROR(INDEX(Registro!$AB$2:$AB$501,MATCH($A11&amp;"|"&amp;6,Registro!$AA$2:$AA$501,0)),"")</f>
      </c>
      <c r="N11">
        <f>IFERROR(INDEX(Registro!$AB$2:$AB$501,MATCH($A11&amp;"|"&amp;7,Registro!$AA$2:$AA$501,0)),"")</f>
      </c>
      <c r="O11">
        <f>IFERROR(INDEX(Registro!$AB$2:$AB$501,MATCH($A11&amp;"|"&amp;8,Registro!$AA$2:$AA$501,0)),"")</f>
      </c>
      <c r="P11">
        <f>IFERROR(INDEX(Registro!$AB$2:$AB$501,MATCH($A11&amp;"|"&amp;9,Registro!$AA$2:$AA$501,0)),"")</f>
      </c>
      <c r="Q11">
        <f>IFERROR(INDEX(Registro!$AB$2:$AB$501,MATCH($A11&amp;"|"&amp;10,Registro!$AA$2:$AA$501,0)),"")</f>
      </c>
      <c r="R11">
        <f>IFERROR(INDEX(Registro!$AB$2:$AB$501,MATCH($A11&amp;"|"&amp;11,Registro!$AA$2:$AA$501,0)),"")</f>
      </c>
      <c r="S11">
        <f>IFERROR(INDEX(Registro!$AB$2:$AB$501,MATCH($A11&amp;"|"&amp;12,Registro!$AA$2:$AA$501,0)),"")</f>
      </c>
      <c r="T11">
        <f>IFERROR(INDEX('Registro Refuerzo'!$K$2:$K$201,MATCH($A11&amp;"|"&amp;6,'Registro Refuerzo'!$J$2:$J$201,0)),"")</f>
      </c>
      <c r="U11">
        <f>IFERROR(INDEX('Registro Refuerzo'!$K$2:$K$201,MATCH($A11&amp;"|"&amp;7,'Registro Refuerzo'!$J$2:$J$201,0)),"")</f>
      </c>
      <c r="V11">
        <f>IFERROR(INDEX('Registro Refuerzo'!$K$2:$K$201,MATCH($A11&amp;"|"&amp;8,'Registro Refuerzo'!$J$2:$J$201,0)),"")</f>
      </c>
      <c r="W11">
        <f>IFERROR(INDEX('Registro Refuerzo'!$K$2:$K$201,MATCH($A11&amp;"|"&amp;9,'Registro Refuerzo'!$J$2:$J$201,0)),"")</f>
      </c>
      <c r="X11">
        <f>IFERROR(INDEX('Registro Refuerzo'!$K$2:$K$201,MATCH($A11&amp;"|"&amp;10,'Registro Refuerzo'!$J$2:$J$201,0)),"")</f>
      </c>
      <c r="Y11">
        <f>IFERROR(INDEX('Registro Refuerzo'!$K$2:$K$201,MATCH($A11&amp;"|"&amp;11,'Registro Refuerzo'!$J$2:$J$201,0)),"")</f>
      </c>
      <c r="Z11">
        <f>IFERROR(INDEX('Registro Refuerzo'!$K$2:$K$201,MATCH($A11&amp;"|"&amp;12,'Registro Refuerzo'!$J$2:$J$201,0)),"")</f>
      </c>
    </row>
    <row r="12" spans="1:26" ht="15" customHeight="1" x14ac:dyDescent="0.2">
      <c r="A12" t="s">
        <v>38</v>
      </c>
      <c r="B12" t="str">
        <f>IFERROR(INDEX(Registro!$AB$2:$AB$501,MATCH($A12&amp;"|"&amp;1,Registro!$AA$2:$AA$501,0)),"")</f>
        <v/>
      </c>
      <c r="C12" t="str">
        <f>IFERROR(INDEX(Registro!$AB$2:$AB$501,MATCH($A12&amp;"|"&amp;2,Registro!$AA$2:$AA$501,0)),"")</f>
        <v/>
      </c>
      <c r="D12" t="str">
        <f>IFERROR(INDEX(Registro!$AB$2:$AB$501,MATCH($A12&amp;"|"&amp;3,Registro!$AA$2:$AA$501,0)),"")</f>
        <v/>
      </c>
      <c r="E12" t="str">
        <f>IFERROR(INDEX(Registro!$AB$2:$AB$501,MATCH($A12&amp;"|"&amp;4,Registro!$AA$2:$AA$501,0)),"")</f>
        <v/>
      </c>
      <c r="F12" t="str">
        <f>IFERROR(INDEX(Registro!$AB$2:$AB$501,MATCH($A12&amp;"|"&amp;5,Registro!$AA$2:$AA$501,0)),"")</f>
        <v/>
      </c>
      <c r="H12" t="str">
        <f>IFERROR(INDEX('Registro Refuerzo'!$K$2:$K$201,MATCH($A12&amp;"|"&amp;1,'Registro Refuerzo'!$J$2:$J$201,0)),"")</f>
        <v/>
      </c>
      <c r="I12" t="str">
        <f>IFERROR(INDEX('Registro Refuerzo'!$K$2:$K$201,MATCH($A12&amp;"|"&amp;2,'Registro Refuerzo'!$J$2:$J$201,0)),"")</f>
        <v/>
      </c>
      <c r="J12" t="str">
        <f>IFERROR(INDEX('Registro Refuerzo'!$K$2:$K$201,MATCH($A12&amp;"|"&amp;3,'Registro Refuerzo'!$J$2:$J$201,0)),"")</f>
        <v/>
      </c>
      <c r="K12" t="str">
        <f>IFERROR(INDEX('Registro Refuerzo'!$K$2:$K$201,MATCH($A12&amp;"|"&amp;4,'Registro Refuerzo'!$J$2:$J$201,0)),"")</f>
        <v/>
      </c>
      <c r="L12" t="str">
        <f>IFERROR(INDEX('Registro Refuerzo'!$K$2:$K$201,MATCH($A12&amp;"|"&amp;5,'Registro Refuerzo'!$J$2:$J$201,0)),"")</f>
        <v/>
      </c>
      <c r="M12">
        <f>IFERROR(INDEX(Registro!$AB$2:$AB$501,MATCH($A12&amp;"|"&amp;6,Registro!$AA$2:$AA$501,0)),"")</f>
      </c>
      <c r="N12">
        <f>IFERROR(INDEX(Registro!$AB$2:$AB$501,MATCH($A12&amp;"|"&amp;7,Registro!$AA$2:$AA$501,0)),"")</f>
      </c>
      <c r="O12">
        <f>IFERROR(INDEX(Registro!$AB$2:$AB$501,MATCH($A12&amp;"|"&amp;8,Registro!$AA$2:$AA$501,0)),"")</f>
      </c>
      <c r="P12">
        <f>IFERROR(INDEX(Registro!$AB$2:$AB$501,MATCH($A12&amp;"|"&amp;9,Registro!$AA$2:$AA$501,0)),"")</f>
      </c>
      <c r="Q12">
        <f>IFERROR(INDEX(Registro!$AB$2:$AB$501,MATCH($A12&amp;"|"&amp;10,Registro!$AA$2:$AA$501,0)),"")</f>
      </c>
      <c r="R12">
        <f>IFERROR(INDEX(Registro!$AB$2:$AB$501,MATCH($A12&amp;"|"&amp;11,Registro!$AA$2:$AA$501,0)),"")</f>
      </c>
      <c r="S12">
        <f>IFERROR(INDEX(Registro!$AB$2:$AB$501,MATCH($A12&amp;"|"&amp;12,Registro!$AA$2:$AA$501,0)),"")</f>
      </c>
      <c r="T12">
        <f>IFERROR(INDEX('Registro Refuerzo'!$K$2:$K$201,MATCH($A12&amp;"|"&amp;6,'Registro Refuerzo'!$J$2:$J$201,0)),"")</f>
      </c>
      <c r="U12">
        <f>IFERROR(INDEX('Registro Refuerzo'!$K$2:$K$201,MATCH($A12&amp;"|"&amp;7,'Registro Refuerzo'!$J$2:$J$201,0)),"")</f>
      </c>
      <c r="V12">
        <f>IFERROR(INDEX('Registro Refuerzo'!$K$2:$K$201,MATCH($A12&amp;"|"&amp;8,'Registro Refuerzo'!$J$2:$J$201,0)),"")</f>
      </c>
      <c r="W12">
        <f>IFERROR(INDEX('Registro Refuerzo'!$K$2:$K$201,MATCH($A12&amp;"|"&amp;9,'Registro Refuerzo'!$J$2:$J$201,0)),"")</f>
      </c>
      <c r="X12">
        <f>IFERROR(INDEX('Registro Refuerzo'!$K$2:$K$201,MATCH($A12&amp;"|"&amp;10,'Registro Refuerzo'!$J$2:$J$201,0)),"")</f>
      </c>
      <c r="Y12">
        <f>IFERROR(INDEX('Registro Refuerzo'!$K$2:$K$201,MATCH($A12&amp;"|"&amp;11,'Registro Refuerzo'!$J$2:$J$201,0)),"")</f>
      </c>
      <c r="Z12">
        <f>IFERROR(INDEX('Registro Refuerzo'!$K$2:$K$201,MATCH($A12&amp;"|"&amp;12,'Registro Refuerzo'!$J$2:$J$201,0)),"")</f>
      </c>
    </row>
    <row r="13" spans="1:26" ht="15" customHeight="1" x14ac:dyDescent="0.2">
      <c r="A13" t="s">
        <v>40</v>
      </c>
      <c r="B13" t="str">
        <f>IFERROR(INDEX(Registro!$AB$2:$AB$501,MATCH($A13&amp;"|"&amp;1,Registro!$AA$2:$AA$501,0)),"")</f>
        <v/>
      </c>
      <c r="C13" t="str">
        <f>IFERROR(INDEX(Registro!$AB$2:$AB$501,MATCH($A13&amp;"|"&amp;2,Registro!$AA$2:$AA$501,0)),"")</f>
        <v/>
      </c>
      <c r="D13" t="str">
        <f>IFERROR(INDEX(Registro!$AB$2:$AB$501,MATCH($A13&amp;"|"&amp;3,Registro!$AA$2:$AA$501,0)),"")</f>
        <v/>
      </c>
      <c r="E13" t="str">
        <f>IFERROR(INDEX(Registro!$AB$2:$AB$501,MATCH($A13&amp;"|"&amp;4,Registro!$AA$2:$AA$501,0)),"")</f>
        <v/>
      </c>
      <c r="F13" t="str">
        <f>IFERROR(INDEX(Registro!$AB$2:$AB$501,MATCH($A13&amp;"|"&amp;5,Registro!$AA$2:$AA$501,0)),"")</f>
        <v/>
      </c>
      <c r="H13" t="str">
        <f>IFERROR(INDEX('Registro Refuerzo'!$K$2:$K$201,MATCH($A13&amp;"|"&amp;1,'Registro Refuerzo'!$J$2:$J$201,0)),"")</f>
        <v/>
      </c>
      <c r="I13" t="str">
        <f>IFERROR(INDEX('Registro Refuerzo'!$K$2:$K$201,MATCH($A13&amp;"|"&amp;2,'Registro Refuerzo'!$J$2:$J$201,0)),"")</f>
        <v/>
      </c>
      <c r="J13" t="str">
        <f>IFERROR(INDEX('Registro Refuerzo'!$K$2:$K$201,MATCH($A13&amp;"|"&amp;3,'Registro Refuerzo'!$J$2:$J$201,0)),"")</f>
        <v/>
      </c>
      <c r="K13" t="str">
        <f>IFERROR(INDEX('Registro Refuerzo'!$K$2:$K$201,MATCH($A13&amp;"|"&amp;4,'Registro Refuerzo'!$J$2:$J$201,0)),"")</f>
        <v/>
      </c>
      <c r="L13" t="str">
        <f>IFERROR(INDEX('Registro Refuerzo'!$K$2:$K$201,MATCH($A13&amp;"|"&amp;5,'Registro Refuerzo'!$J$2:$J$201,0)),"")</f>
        <v/>
      </c>
      <c r="M13">
        <f>IFERROR(INDEX(Registro!$AB$2:$AB$501,MATCH($A13&amp;"|"&amp;6,Registro!$AA$2:$AA$501,0)),"")</f>
      </c>
      <c r="N13">
        <f>IFERROR(INDEX(Registro!$AB$2:$AB$501,MATCH($A13&amp;"|"&amp;7,Registro!$AA$2:$AA$501,0)),"")</f>
      </c>
      <c r="O13">
        <f>IFERROR(INDEX(Registro!$AB$2:$AB$501,MATCH($A13&amp;"|"&amp;8,Registro!$AA$2:$AA$501,0)),"")</f>
      </c>
      <c r="P13">
        <f>IFERROR(INDEX(Registro!$AB$2:$AB$501,MATCH($A13&amp;"|"&amp;9,Registro!$AA$2:$AA$501,0)),"")</f>
      </c>
      <c r="Q13">
        <f>IFERROR(INDEX(Registro!$AB$2:$AB$501,MATCH($A13&amp;"|"&amp;10,Registro!$AA$2:$AA$501,0)),"")</f>
      </c>
      <c r="R13">
        <f>IFERROR(INDEX(Registro!$AB$2:$AB$501,MATCH($A13&amp;"|"&amp;11,Registro!$AA$2:$AA$501,0)),"")</f>
      </c>
      <c r="S13">
        <f>IFERROR(INDEX(Registro!$AB$2:$AB$501,MATCH($A13&amp;"|"&amp;12,Registro!$AA$2:$AA$501,0)),"")</f>
      </c>
      <c r="T13">
        <f>IFERROR(INDEX('Registro Refuerzo'!$K$2:$K$201,MATCH($A13&amp;"|"&amp;6,'Registro Refuerzo'!$J$2:$J$201,0)),"")</f>
      </c>
      <c r="U13">
        <f>IFERROR(INDEX('Registro Refuerzo'!$K$2:$K$201,MATCH($A13&amp;"|"&amp;7,'Registro Refuerzo'!$J$2:$J$201,0)),"")</f>
      </c>
      <c r="V13">
        <f>IFERROR(INDEX('Registro Refuerzo'!$K$2:$K$201,MATCH($A13&amp;"|"&amp;8,'Registro Refuerzo'!$J$2:$J$201,0)),"")</f>
      </c>
      <c r="W13">
        <f>IFERROR(INDEX('Registro Refuerzo'!$K$2:$K$201,MATCH($A13&amp;"|"&amp;9,'Registro Refuerzo'!$J$2:$J$201,0)),"")</f>
      </c>
      <c r="X13">
        <f>IFERROR(INDEX('Registro Refuerzo'!$K$2:$K$201,MATCH($A13&amp;"|"&amp;10,'Registro Refuerzo'!$J$2:$J$201,0)),"")</f>
      </c>
      <c r="Y13">
        <f>IFERROR(INDEX('Registro Refuerzo'!$K$2:$K$201,MATCH($A13&amp;"|"&amp;11,'Registro Refuerzo'!$J$2:$J$201,0)),"")</f>
      </c>
      <c r="Z13">
        <f>IFERROR(INDEX('Registro Refuerzo'!$K$2:$K$201,MATCH($A13&amp;"|"&amp;12,'Registro Refuerzo'!$J$2:$J$201,0)),"")</f>
      </c>
    </row>
    <row r="14" spans="1:26" ht="15" customHeight="1" x14ac:dyDescent="0.2">
      <c r="A14" t="s">
        <v>42</v>
      </c>
      <c r="B14" t="str">
        <f>IFERROR(INDEX(Registro!$AB$2:$AB$501,MATCH($A14&amp;"|"&amp;1,Registro!$AA$2:$AA$501,0)),"")</f>
        <v/>
      </c>
      <c r="C14" t="str">
        <f>IFERROR(INDEX(Registro!$AB$2:$AB$501,MATCH($A14&amp;"|"&amp;2,Registro!$AA$2:$AA$501,0)),"")</f>
        <v/>
      </c>
      <c r="D14" t="str">
        <f>IFERROR(INDEX(Registro!$AB$2:$AB$501,MATCH($A14&amp;"|"&amp;3,Registro!$AA$2:$AA$501,0)),"")</f>
        <v/>
      </c>
      <c r="E14" t="str">
        <f>IFERROR(INDEX(Registro!$AB$2:$AB$501,MATCH($A14&amp;"|"&amp;4,Registro!$AA$2:$AA$501,0)),"")</f>
        <v/>
      </c>
      <c r="F14" t="str">
        <f>IFERROR(INDEX(Registro!$AB$2:$AB$501,MATCH($A14&amp;"|"&amp;5,Registro!$AA$2:$AA$501,0)),"")</f>
        <v/>
      </c>
      <c r="H14" t="str">
        <f>IFERROR(INDEX('Registro Refuerzo'!$K$2:$K$201,MATCH($A14&amp;"|"&amp;1,'Registro Refuerzo'!$J$2:$J$201,0)),"")</f>
        <v/>
      </c>
      <c r="I14" t="str">
        <f>IFERROR(INDEX('Registro Refuerzo'!$K$2:$K$201,MATCH($A14&amp;"|"&amp;2,'Registro Refuerzo'!$J$2:$J$201,0)),"")</f>
        <v/>
      </c>
      <c r="J14" t="str">
        <f>IFERROR(INDEX('Registro Refuerzo'!$K$2:$K$201,MATCH($A14&amp;"|"&amp;3,'Registro Refuerzo'!$J$2:$J$201,0)),"")</f>
        <v/>
      </c>
      <c r="K14" t="str">
        <f>IFERROR(INDEX('Registro Refuerzo'!$K$2:$K$201,MATCH($A14&amp;"|"&amp;4,'Registro Refuerzo'!$J$2:$J$201,0)),"")</f>
        <v/>
      </c>
      <c r="L14" t="str">
        <f>IFERROR(INDEX('Registro Refuerzo'!$K$2:$K$201,MATCH($A14&amp;"|"&amp;5,'Registro Refuerzo'!$J$2:$J$201,0)),"")</f>
        <v/>
      </c>
      <c r="M14">
        <f>IFERROR(INDEX(Registro!$AB$2:$AB$501,MATCH($A14&amp;"|"&amp;6,Registro!$AA$2:$AA$501,0)),"")</f>
      </c>
      <c r="N14">
        <f>IFERROR(INDEX(Registro!$AB$2:$AB$501,MATCH($A14&amp;"|"&amp;7,Registro!$AA$2:$AA$501,0)),"")</f>
      </c>
      <c r="O14">
        <f>IFERROR(INDEX(Registro!$AB$2:$AB$501,MATCH($A14&amp;"|"&amp;8,Registro!$AA$2:$AA$501,0)),"")</f>
      </c>
      <c r="P14">
        <f>IFERROR(INDEX(Registro!$AB$2:$AB$501,MATCH($A14&amp;"|"&amp;9,Registro!$AA$2:$AA$501,0)),"")</f>
      </c>
      <c r="Q14">
        <f>IFERROR(INDEX(Registro!$AB$2:$AB$501,MATCH($A14&amp;"|"&amp;10,Registro!$AA$2:$AA$501,0)),"")</f>
      </c>
      <c r="R14">
        <f>IFERROR(INDEX(Registro!$AB$2:$AB$501,MATCH($A14&amp;"|"&amp;11,Registro!$AA$2:$AA$501,0)),"")</f>
      </c>
      <c r="S14">
        <f>IFERROR(INDEX(Registro!$AB$2:$AB$501,MATCH($A14&amp;"|"&amp;12,Registro!$AA$2:$AA$501,0)),"")</f>
      </c>
      <c r="T14">
        <f>IFERROR(INDEX('Registro Refuerzo'!$K$2:$K$201,MATCH($A14&amp;"|"&amp;6,'Registro Refuerzo'!$J$2:$J$201,0)),"")</f>
      </c>
      <c r="U14">
        <f>IFERROR(INDEX('Registro Refuerzo'!$K$2:$K$201,MATCH($A14&amp;"|"&amp;7,'Registro Refuerzo'!$J$2:$J$201,0)),"")</f>
      </c>
      <c r="V14">
        <f>IFERROR(INDEX('Registro Refuerzo'!$K$2:$K$201,MATCH($A14&amp;"|"&amp;8,'Registro Refuerzo'!$J$2:$J$201,0)),"")</f>
      </c>
      <c r="W14">
        <f>IFERROR(INDEX('Registro Refuerzo'!$K$2:$K$201,MATCH($A14&amp;"|"&amp;9,'Registro Refuerzo'!$J$2:$J$201,0)),"")</f>
      </c>
      <c r="X14">
        <f>IFERROR(INDEX('Registro Refuerzo'!$K$2:$K$201,MATCH($A14&amp;"|"&amp;10,'Registro Refuerzo'!$J$2:$J$201,0)),"")</f>
      </c>
      <c r="Y14">
        <f>IFERROR(INDEX('Registro Refuerzo'!$K$2:$K$201,MATCH($A14&amp;"|"&amp;11,'Registro Refuerzo'!$J$2:$J$201,0)),"")</f>
      </c>
      <c r="Z14">
        <f>IFERROR(INDEX('Registro Refuerzo'!$K$2:$K$201,MATCH($A14&amp;"|"&amp;12,'Registro Refuerzo'!$J$2:$J$201,0)),"")</f>
      </c>
    </row>
    <row r="15" spans="1:26" ht="15" customHeight="1" x14ac:dyDescent="0.2">
      <c r="A15" t="s">
        <v>44</v>
      </c>
      <c r="B15" t="str">
        <f>IFERROR(INDEX(Registro!$AB$2:$AB$501,MATCH($A15&amp;"|"&amp;1,Registro!$AA$2:$AA$501,0)),"")</f>
        <v/>
      </c>
      <c r="C15" t="str">
        <f>IFERROR(INDEX(Registro!$AB$2:$AB$501,MATCH($A15&amp;"|"&amp;2,Registro!$AA$2:$AA$501,0)),"")</f>
        <v/>
      </c>
      <c r="D15" t="str">
        <f>IFERROR(INDEX(Registro!$AB$2:$AB$501,MATCH($A15&amp;"|"&amp;3,Registro!$AA$2:$AA$501,0)),"")</f>
        <v/>
      </c>
      <c r="E15" t="str">
        <f>IFERROR(INDEX(Registro!$AB$2:$AB$501,MATCH($A15&amp;"|"&amp;4,Registro!$AA$2:$AA$501,0)),"")</f>
        <v/>
      </c>
      <c r="F15" t="str">
        <f>IFERROR(INDEX(Registro!$AB$2:$AB$501,MATCH($A15&amp;"|"&amp;5,Registro!$AA$2:$AA$501,0)),"")</f>
        <v/>
      </c>
      <c r="H15" t="str">
        <f>IFERROR(INDEX('Registro Refuerzo'!$K$2:$K$201,MATCH($A15&amp;"|"&amp;1,'Registro Refuerzo'!$J$2:$J$201,0)),"")</f>
        <v/>
      </c>
      <c r="I15" t="str">
        <f>IFERROR(INDEX('Registro Refuerzo'!$K$2:$K$201,MATCH($A15&amp;"|"&amp;2,'Registro Refuerzo'!$J$2:$J$201,0)),"")</f>
        <v/>
      </c>
      <c r="J15" t="str">
        <f>IFERROR(INDEX('Registro Refuerzo'!$K$2:$K$201,MATCH($A15&amp;"|"&amp;3,'Registro Refuerzo'!$J$2:$J$201,0)),"")</f>
        <v/>
      </c>
      <c r="K15" t="str">
        <f>IFERROR(INDEX('Registro Refuerzo'!$K$2:$K$201,MATCH($A15&amp;"|"&amp;4,'Registro Refuerzo'!$J$2:$J$201,0)),"")</f>
        <v/>
      </c>
      <c r="L15" t="str">
        <f>IFERROR(INDEX('Registro Refuerzo'!$K$2:$K$201,MATCH($A15&amp;"|"&amp;5,'Registro Refuerzo'!$J$2:$J$201,0)),"")</f>
        <v/>
      </c>
      <c r="M15">
        <f>IFERROR(INDEX(Registro!$AB$2:$AB$501,MATCH($A15&amp;"|"&amp;6,Registro!$AA$2:$AA$501,0)),"")</f>
      </c>
      <c r="N15">
        <f>IFERROR(INDEX(Registro!$AB$2:$AB$501,MATCH($A15&amp;"|"&amp;7,Registro!$AA$2:$AA$501,0)),"")</f>
      </c>
      <c r="O15">
        <f>IFERROR(INDEX(Registro!$AB$2:$AB$501,MATCH($A15&amp;"|"&amp;8,Registro!$AA$2:$AA$501,0)),"")</f>
      </c>
      <c r="P15">
        <f>IFERROR(INDEX(Registro!$AB$2:$AB$501,MATCH($A15&amp;"|"&amp;9,Registro!$AA$2:$AA$501,0)),"")</f>
      </c>
      <c r="Q15">
        <f>IFERROR(INDEX(Registro!$AB$2:$AB$501,MATCH($A15&amp;"|"&amp;10,Registro!$AA$2:$AA$501,0)),"")</f>
      </c>
      <c r="R15">
        <f>IFERROR(INDEX(Registro!$AB$2:$AB$501,MATCH($A15&amp;"|"&amp;11,Registro!$AA$2:$AA$501,0)),"")</f>
      </c>
      <c r="S15">
        <f>IFERROR(INDEX(Registro!$AB$2:$AB$501,MATCH($A15&amp;"|"&amp;12,Registro!$AA$2:$AA$501,0)),"")</f>
      </c>
      <c r="T15">
        <f>IFERROR(INDEX('Registro Refuerzo'!$K$2:$K$201,MATCH($A15&amp;"|"&amp;6,'Registro Refuerzo'!$J$2:$J$201,0)),"")</f>
      </c>
      <c r="U15">
        <f>IFERROR(INDEX('Registro Refuerzo'!$K$2:$K$201,MATCH($A15&amp;"|"&amp;7,'Registro Refuerzo'!$J$2:$J$201,0)),"")</f>
      </c>
      <c r="V15">
        <f>IFERROR(INDEX('Registro Refuerzo'!$K$2:$K$201,MATCH($A15&amp;"|"&amp;8,'Registro Refuerzo'!$J$2:$J$201,0)),"")</f>
      </c>
      <c r="W15">
        <f>IFERROR(INDEX('Registro Refuerzo'!$K$2:$K$201,MATCH($A15&amp;"|"&amp;9,'Registro Refuerzo'!$J$2:$J$201,0)),"")</f>
      </c>
      <c r="X15">
        <f>IFERROR(INDEX('Registro Refuerzo'!$K$2:$K$201,MATCH($A15&amp;"|"&amp;10,'Registro Refuerzo'!$J$2:$J$201,0)),"")</f>
      </c>
      <c r="Y15">
        <f>IFERROR(INDEX('Registro Refuerzo'!$K$2:$K$201,MATCH($A15&amp;"|"&amp;11,'Registro Refuerzo'!$J$2:$J$201,0)),"")</f>
      </c>
      <c r="Z15">
        <f>IFERROR(INDEX('Registro Refuerzo'!$K$2:$K$201,MATCH($A15&amp;"|"&amp;12,'Registro Refuerzo'!$J$2:$J$201,0)),"")</f>
      </c>
    </row>
    <row r="16" spans="1:26" ht="15" customHeight="1" x14ac:dyDescent="0.2">
      <c r="A16" t="s">
        <v>45</v>
      </c>
      <c r="B16" t="str">
        <f>IFERROR(INDEX(Registro!$AB$2:$AB$501,MATCH($A16&amp;"|"&amp;1,Registro!$AA$2:$AA$501,0)),"")</f>
        <v/>
      </c>
      <c r="C16" t="str">
        <f>IFERROR(INDEX(Registro!$AB$2:$AB$501,MATCH($A16&amp;"|"&amp;2,Registro!$AA$2:$AA$501,0)),"")</f>
        <v/>
      </c>
      <c r="D16" t="str">
        <f>IFERROR(INDEX(Registro!$AB$2:$AB$501,MATCH($A16&amp;"|"&amp;3,Registro!$AA$2:$AA$501,0)),"")</f>
        <v/>
      </c>
      <c r="E16" t="str">
        <f>IFERROR(INDEX(Registro!$AB$2:$AB$501,MATCH($A16&amp;"|"&amp;4,Registro!$AA$2:$AA$501,0)),"")</f>
        <v/>
      </c>
      <c r="F16" t="str">
        <f>IFERROR(INDEX(Registro!$AB$2:$AB$501,MATCH($A16&amp;"|"&amp;5,Registro!$AA$2:$AA$501,0)),"")</f>
        <v/>
      </c>
      <c r="H16" t="str">
        <f>IFERROR(INDEX('Registro Refuerzo'!$K$2:$K$201,MATCH($A16&amp;"|"&amp;1,'Registro Refuerzo'!$J$2:$J$201,0)),"")</f>
        <v/>
      </c>
      <c r="I16" t="str">
        <f>IFERROR(INDEX('Registro Refuerzo'!$K$2:$K$201,MATCH($A16&amp;"|"&amp;2,'Registro Refuerzo'!$J$2:$J$201,0)),"")</f>
        <v/>
      </c>
      <c r="J16" t="str">
        <f>IFERROR(INDEX('Registro Refuerzo'!$K$2:$K$201,MATCH($A16&amp;"|"&amp;3,'Registro Refuerzo'!$J$2:$J$201,0)),"")</f>
        <v/>
      </c>
      <c r="K16" t="str">
        <f>IFERROR(INDEX('Registro Refuerzo'!$K$2:$K$201,MATCH($A16&amp;"|"&amp;4,'Registro Refuerzo'!$J$2:$J$201,0)),"")</f>
        <v/>
      </c>
      <c r="L16" t="str">
        <f>IFERROR(INDEX('Registro Refuerzo'!$K$2:$K$201,MATCH($A16&amp;"|"&amp;5,'Registro Refuerzo'!$J$2:$J$201,0)),"")</f>
        <v/>
      </c>
      <c r="M16">
        <f>IFERROR(INDEX(Registro!$AB$2:$AB$501,MATCH($A16&amp;"|"&amp;6,Registro!$AA$2:$AA$501,0)),"")</f>
      </c>
      <c r="N16">
        <f>IFERROR(INDEX(Registro!$AB$2:$AB$501,MATCH($A16&amp;"|"&amp;7,Registro!$AA$2:$AA$501,0)),"")</f>
      </c>
      <c r="O16">
        <f>IFERROR(INDEX(Registro!$AB$2:$AB$501,MATCH($A16&amp;"|"&amp;8,Registro!$AA$2:$AA$501,0)),"")</f>
      </c>
      <c r="P16">
        <f>IFERROR(INDEX(Registro!$AB$2:$AB$501,MATCH($A16&amp;"|"&amp;9,Registro!$AA$2:$AA$501,0)),"")</f>
      </c>
      <c r="Q16">
        <f>IFERROR(INDEX(Registro!$AB$2:$AB$501,MATCH($A16&amp;"|"&amp;10,Registro!$AA$2:$AA$501,0)),"")</f>
      </c>
      <c r="R16">
        <f>IFERROR(INDEX(Registro!$AB$2:$AB$501,MATCH($A16&amp;"|"&amp;11,Registro!$AA$2:$AA$501,0)),"")</f>
      </c>
      <c r="S16">
        <f>IFERROR(INDEX(Registro!$AB$2:$AB$501,MATCH($A16&amp;"|"&amp;12,Registro!$AA$2:$AA$501,0)),"")</f>
      </c>
      <c r="T16">
        <f>IFERROR(INDEX('Registro Refuerzo'!$K$2:$K$201,MATCH($A16&amp;"|"&amp;6,'Registro Refuerzo'!$J$2:$J$201,0)),"")</f>
      </c>
      <c r="U16">
        <f>IFERROR(INDEX('Registro Refuerzo'!$K$2:$K$201,MATCH($A16&amp;"|"&amp;7,'Registro Refuerzo'!$J$2:$J$201,0)),"")</f>
      </c>
      <c r="V16">
        <f>IFERROR(INDEX('Registro Refuerzo'!$K$2:$K$201,MATCH($A16&amp;"|"&amp;8,'Registro Refuerzo'!$J$2:$J$201,0)),"")</f>
      </c>
      <c r="W16">
        <f>IFERROR(INDEX('Registro Refuerzo'!$K$2:$K$201,MATCH($A16&amp;"|"&amp;9,'Registro Refuerzo'!$J$2:$J$201,0)),"")</f>
      </c>
      <c r="X16">
        <f>IFERROR(INDEX('Registro Refuerzo'!$K$2:$K$201,MATCH($A16&amp;"|"&amp;10,'Registro Refuerzo'!$J$2:$J$201,0)),"")</f>
      </c>
      <c r="Y16">
        <f>IFERROR(INDEX('Registro Refuerzo'!$K$2:$K$201,MATCH($A16&amp;"|"&amp;11,'Registro Refuerzo'!$J$2:$J$201,0)),"")</f>
      </c>
      <c r="Z16">
        <f>IFERROR(INDEX('Registro Refuerzo'!$K$2:$K$201,MATCH($A16&amp;"|"&amp;12,'Registro Refuerzo'!$J$2:$J$201,0)),"")</f>
      </c>
    </row>
    <row r="17" spans="1:26" ht="15" customHeight="1" x14ac:dyDescent="0.2">
      <c r="A17" t="s">
        <v>46</v>
      </c>
      <c r="B17" t="str">
        <f>IFERROR(INDEX(Registro!$AB$2:$AB$501,MATCH($A17&amp;"|"&amp;1,Registro!$AA$2:$AA$501,0)),"")</f>
        <v/>
      </c>
      <c r="C17" t="str">
        <f>IFERROR(INDEX(Registro!$AB$2:$AB$501,MATCH($A17&amp;"|"&amp;2,Registro!$AA$2:$AA$501,0)),"")</f>
        <v/>
      </c>
      <c r="D17" t="str">
        <f>IFERROR(INDEX(Registro!$AB$2:$AB$501,MATCH($A17&amp;"|"&amp;3,Registro!$AA$2:$AA$501,0)),"")</f>
        <v/>
      </c>
      <c r="E17" t="str">
        <f>IFERROR(INDEX(Registro!$AB$2:$AB$501,MATCH($A17&amp;"|"&amp;4,Registro!$AA$2:$AA$501,0)),"")</f>
        <v/>
      </c>
      <c r="F17" t="str">
        <f>IFERROR(INDEX(Registro!$AB$2:$AB$501,MATCH($A17&amp;"|"&amp;5,Registro!$AA$2:$AA$501,0)),"")</f>
        <v/>
      </c>
      <c r="H17" t="str">
        <f>IFERROR(INDEX('Registro Refuerzo'!$K$2:$K$201,MATCH($A17&amp;"|"&amp;1,'Registro Refuerzo'!$J$2:$J$201,0)),"")</f>
        <v/>
      </c>
      <c r="I17" t="str">
        <f>IFERROR(INDEX('Registro Refuerzo'!$K$2:$K$201,MATCH($A17&amp;"|"&amp;2,'Registro Refuerzo'!$J$2:$J$201,0)),"")</f>
        <v/>
      </c>
      <c r="J17" t="str">
        <f>IFERROR(INDEX('Registro Refuerzo'!$K$2:$K$201,MATCH($A17&amp;"|"&amp;3,'Registro Refuerzo'!$J$2:$J$201,0)),"")</f>
        <v/>
      </c>
      <c r="K17" t="str">
        <f>IFERROR(INDEX('Registro Refuerzo'!$K$2:$K$201,MATCH($A17&amp;"|"&amp;4,'Registro Refuerzo'!$J$2:$J$201,0)),"")</f>
        <v/>
      </c>
      <c r="L17" t="str">
        <f>IFERROR(INDEX('Registro Refuerzo'!$K$2:$K$201,MATCH($A17&amp;"|"&amp;5,'Registro Refuerzo'!$J$2:$J$201,0)),"")</f>
        <v/>
      </c>
      <c r="M17">
        <f>IFERROR(INDEX(Registro!$AB$2:$AB$501,MATCH($A17&amp;"|"&amp;6,Registro!$AA$2:$AA$501,0)),"")</f>
      </c>
      <c r="N17">
        <f>IFERROR(INDEX(Registro!$AB$2:$AB$501,MATCH($A17&amp;"|"&amp;7,Registro!$AA$2:$AA$501,0)),"")</f>
      </c>
      <c r="O17">
        <f>IFERROR(INDEX(Registro!$AB$2:$AB$501,MATCH($A17&amp;"|"&amp;8,Registro!$AA$2:$AA$501,0)),"")</f>
      </c>
      <c r="P17">
        <f>IFERROR(INDEX(Registro!$AB$2:$AB$501,MATCH($A17&amp;"|"&amp;9,Registro!$AA$2:$AA$501,0)),"")</f>
      </c>
      <c r="Q17">
        <f>IFERROR(INDEX(Registro!$AB$2:$AB$501,MATCH($A17&amp;"|"&amp;10,Registro!$AA$2:$AA$501,0)),"")</f>
      </c>
      <c r="R17">
        <f>IFERROR(INDEX(Registro!$AB$2:$AB$501,MATCH($A17&amp;"|"&amp;11,Registro!$AA$2:$AA$501,0)),"")</f>
      </c>
      <c r="S17">
        <f>IFERROR(INDEX(Registro!$AB$2:$AB$501,MATCH($A17&amp;"|"&amp;12,Registro!$AA$2:$AA$501,0)),"")</f>
      </c>
      <c r="T17">
        <f>IFERROR(INDEX('Registro Refuerzo'!$K$2:$K$201,MATCH($A17&amp;"|"&amp;6,'Registro Refuerzo'!$J$2:$J$201,0)),"")</f>
      </c>
      <c r="U17">
        <f>IFERROR(INDEX('Registro Refuerzo'!$K$2:$K$201,MATCH($A17&amp;"|"&amp;7,'Registro Refuerzo'!$J$2:$J$201,0)),"")</f>
      </c>
      <c r="V17">
        <f>IFERROR(INDEX('Registro Refuerzo'!$K$2:$K$201,MATCH($A17&amp;"|"&amp;8,'Registro Refuerzo'!$J$2:$J$201,0)),"")</f>
      </c>
      <c r="W17">
        <f>IFERROR(INDEX('Registro Refuerzo'!$K$2:$K$201,MATCH($A17&amp;"|"&amp;9,'Registro Refuerzo'!$J$2:$J$201,0)),"")</f>
      </c>
      <c r="X17">
        <f>IFERROR(INDEX('Registro Refuerzo'!$K$2:$K$201,MATCH($A17&amp;"|"&amp;10,'Registro Refuerzo'!$J$2:$J$201,0)),"")</f>
      </c>
      <c r="Y17">
        <f>IFERROR(INDEX('Registro Refuerzo'!$K$2:$K$201,MATCH($A17&amp;"|"&amp;11,'Registro Refuerzo'!$J$2:$J$201,0)),"")</f>
      </c>
      <c r="Z17">
        <f>IFERROR(INDEX('Registro Refuerzo'!$K$2:$K$201,MATCH($A17&amp;"|"&amp;12,'Registro Refuerzo'!$J$2:$J$201,0)),"")</f>
      </c>
    </row>
    <row r="18" spans="1:26" ht="15" customHeight="1" x14ac:dyDescent="0.2">
      <c r="A18" t="s">
        <v>47</v>
      </c>
      <c r="B18" t="str">
        <f>IFERROR(INDEX(Registro!$AB$2:$AB$501,MATCH($A18&amp;"|"&amp;1,Registro!$AA$2:$AA$501,0)),"")</f>
        <v/>
      </c>
      <c r="C18" t="str">
        <f>IFERROR(INDEX(Registro!$AB$2:$AB$501,MATCH($A18&amp;"|"&amp;2,Registro!$AA$2:$AA$501,0)),"")</f>
        <v/>
      </c>
      <c r="D18" t="str">
        <f>IFERROR(INDEX(Registro!$AB$2:$AB$501,MATCH($A18&amp;"|"&amp;3,Registro!$AA$2:$AA$501,0)),"")</f>
        <v/>
      </c>
      <c r="E18" t="str">
        <f>IFERROR(INDEX(Registro!$AB$2:$AB$501,MATCH($A18&amp;"|"&amp;4,Registro!$AA$2:$AA$501,0)),"")</f>
        <v/>
      </c>
      <c r="F18" t="str">
        <f>IFERROR(INDEX(Registro!$AB$2:$AB$501,MATCH($A18&amp;"|"&amp;5,Registro!$AA$2:$AA$501,0)),"")</f>
        <v/>
      </c>
      <c r="H18" t="str">
        <f>IFERROR(INDEX('Registro Refuerzo'!$K$2:$K$201,MATCH($A18&amp;"|"&amp;1,'Registro Refuerzo'!$J$2:$J$201,0)),"")</f>
        <v/>
      </c>
      <c r="I18" t="str">
        <f>IFERROR(INDEX('Registro Refuerzo'!$K$2:$K$201,MATCH($A18&amp;"|"&amp;2,'Registro Refuerzo'!$J$2:$J$201,0)),"")</f>
        <v/>
      </c>
      <c r="J18" t="str">
        <f>IFERROR(INDEX('Registro Refuerzo'!$K$2:$K$201,MATCH($A18&amp;"|"&amp;3,'Registro Refuerzo'!$J$2:$J$201,0)),"")</f>
        <v/>
      </c>
      <c r="K18" t="str">
        <f>IFERROR(INDEX('Registro Refuerzo'!$K$2:$K$201,MATCH($A18&amp;"|"&amp;4,'Registro Refuerzo'!$J$2:$J$201,0)),"")</f>
        <v/>
      </c>
      <c r="L18" t="str">
        <f>IFERROR(INDEX('Registro Refuerzo'!$K$2:$K$201,MATCH($A18&amp;"|"&amp;5,'Registro Refuerzo'!$J$2:$J$201,0)),"")</f>
        <v/>
      </c>
      <c r="M18">
        <f>IFERROR(INDEX(Registro!$AB$2:$AB$501,MATCH($A18&amp;"|"&amp;6,Registro!$AA$2:$AA$501,0)),"")</f>
      </c>
      <c r="N18">
        <f>IFERROR(INDEX(Registro!$AB$2:$AB$501,MATCH($A18&amp;"|"&amp;7,Registro!$AA$2:$AA$501,0)),"")</f>
      </c>
      <c r="O18">
        <f>IFERROR(INDEX(Registro!$AB$2:$AB$501,MATCH($A18&amp;"|"&amp;8,Registro!$AA$2:$AA$501,0)),"")</f>
      </c>
      <c r="P18">
        <f>IFERROR(INDEX(Registro!$AB$2:$AB$501,MATCH($A18&amp;"|"&amp;9,Registro!$AA$2:$AA$501,0)),"")</f>
      </c>
      <c r="Q18">
        <f>IFERROR(INDEX(Registro!$AB$2:$AB$501,MATCH($A18&amp;"|"&amp;10,Registro!$AA$2:$AA$501,0)),"")</f>
      </c>
      <c r="R18">
        <f>IFERROR(INDEX(Registro!$AB$2:$AB$501,MATCH($A18&amp;"|"&amp;11,Registro!$AA$2:$AA$501,0)),"")</f>
      </c>
      <c r="S18">
        <f>IFERROR(INDEX(Registro!$AB$2:$AB$501,MATCH($A18&amp;"|"&amp;12,Registro!$AA$2:$AA$501,0)),"")</f>
      </c>
      <c r="T18">
        <f>IFERROR(INDEX('Registro Refuerzo'!$K$2:$K$201,MATCH($A18&amp;"|"&amp;6,'Registro Refuerzo'!$J$2:$J$201,0)),"")</f>
      </c>
      <c r="U18">
        <f>IFERROR(INDEX('Registro Refuerzo'!$K$2:$K$201,MATCH($A18&amp;"|"&amp;7,'Registro Refuerzo'!$J$2:$J$201,0)),"")</f>
      </c>
      <c r="V18">
        <f>IFERROR(INDEX('Registro Refuerzo'!$K$2:$K$201,MATCH($A18&amp;"|"&amp;8,'Registro Refuerzo'!$J$2:$J$201,0)),"")</f>
      </c>
      <c r="W18">
        <f>IFERROR(INDEX('Registro Refuerzo'!$K$2:$K$201,MATCH($A18&amp;"|"&amp;9,'Registro Refuerzo'!$J$2:$J$201,0)),"")</f>
      </c>
      <c r="X18">
        <f>IFERROR(INDEX('Registro Refuerzo'!$K$2:$K$201,MATCH($A18&amp;"|"&amp;10,'Registro Refuerzo'!$J$2:$J$201,0)),"")</f>
      </c>
      <c r="Y18">
        <f>IFERROR(INDEX('Registro Refuerzo'!$K$2:$K$201,MATCH($A18&amp;"|"&amp;11,'Registro Refuerzo'!$J$2:$J$201,0)),"")</f>
      </c>
      <c r="Z18">
        <f>IFERROR(INDEX('Registro Refuerzo'!$K$2:$K$201,MATCH($A18&amp;"|"&amp;12,'Registro Refuerzo'!$J$2:$J$201,0)),"")</f>
      </c>
    </row>
    <row r="19" spans="1:26" ht="15" customHeight="1" x14ac:dyDescent="0.2">
      <c r="A19" t="s">
        <v>48</v>
      </c>
      <c r="B19" t="str">
        <f>IFERROR(INDEX(Registro!$AB$2:$AB$501,MATCH($A19&amp;"|"&amp;1,Registro!$AA$2:$AA$501,0)),"")</f>
        <v/>
      </c>
      <c r="C19" t="str">
        <f>IFERROR(INDEX(Registro!$AB$2:$AB$501,MATCH($A19&amp;"|"&amp;2,Registro!$AA$2:$AA$501,0)),"")</f>
        <v/>
      </c>
      <c r="D19" t="str">
        <f>IFERROR(INDEX(Registro!$AB$2:$AB$501,MATCH($A19&amp;"|"&amp;3,Registro!$AA$2:$AA$501,0)),"")</f>
        <v/>
      </c>
      <c r="E19" t="str">
        <f>IFERROR(INDEX(Registro!$AB$2:$AB$501,MATCH($A19&amp;"|"&amp;4,Registro!$AA$2:$AA$501,0)),"")</f>
        <v/>
      </c>
      <c r="F19" t="str">
        <f>IFERROR(INDEX(Registro!$AB$2:$AB$501,MATCH($A19&amp;"|"&amp;5,Registro!$AA$2:$AA$501,0)),"")</f>
        <v/>
      </c>
      <c r="H19" t="str">
        <f>IFERROR(INDEX('Registro Refuerzo'!$K$2:$K$201,MATCH($A19&amp;"|"&amp;1,'Registro Refuerzo'!$J$2:$J$201,0)),"")</f>
        <v/>
      </c>
      <c r="I19" t="str">
        <f>IFERROR(INDEX('Registro Refuerzo'!$K$2:$K$201,MATCH($A19&amp;"|"&amp;2,'Registro Refuerzo'!$J$2:$J$201,0)),"")</f>
        <v/>
      </c>
      <c r="J19" t="str">
        <f>IFERROR(INDEX('Registro Refuerzo'!$K$2:$K$201,MATCH($A19&amp;"|"&amp;3,'Registro Refuerzo'!$J$2:$J$201,0)),"")</f>
        <v/>
      </c>
      <c r="K19" t="str">
        <f>IFERROR(INDEX('Registro Refuerzo'!$K$2:$K$201,MATCH($A19&amp;"|"&amp;4,'Registro Refuerzo'!$J$2:$J$201,0)),"")</f>
        <v/>
      </c>
      <c r="L19" t="str">
        <f>IFERROR(INDEX('Registro Refuerzo'!$K$2:$K$201,MATCH($A19&amp;"|"&amp;5,'Registro Refuerzo'!$J$2:$J$201,0)),"")</f>
        <v/>
      </c>
      <c r="M19">
        <f>IFERROR(INDEX(Registro!$AB$2:$AB$501,MATCH($A19&amp;"|"&amp;6,Registro!$AA$2:$AA$501,0)),"")</f>
      </c>
      <c r="N19">
        <f>IFERROR(INDEX(Registro!$AB$2:$AB$501,MATCH($A19&amp;"|"&amp;7,Registro!$AA$2:$AA$501,0)),"")</f>
      </c>
      <c r="O19">
        <f>IFERROR(INDEX(Registro!$AB$2:$AB$501,MATCH($A19&amp;"|"&amp;8,Registro!$AA$2:$AA$501,0)),"")</f>
      </c>
      <c r="P19">
        <f>IFERROR(INDEX(Registro!$AB$2:$AB$501,MATCH($A19&amp;"|"&amp;9,Registro!$AA$2:$AA$501,0)),"")</f>
      </c>
      <c r="Q19">
        <f>IFERROR(INDEX(Registro!$AB$2:$AB$501,MATCH($A19&amp;"|"&amp;10,Registro!$AA$2:$AA$501,0)),"")</f>
      </c>
      <c r="R19">
        <f>IFERROR(INDEX(Registro!$AB$2:$AB$501,MATCH($A19&amp;"|"&amp;11,Registro!$AA$2:$AA$501,0)),"")</f>
      </c>
      <c r="S19">
        <f>IFERROR(INDEX(Registro!$AB$2:$AB$501,MATCH($A19&amp;"|"&amp;12,Registro!$AA$2:$AA$501,0)),"")</f>
      </c>
      <c r="T19">
        <f>IFERROR(INDEX('Registro Refuerzo'!$K$2:$K$201,MATCH($A19&amp;"|"&amp;6,'Registro Refuerzo'!$J$2:$J$201,0)),"")</f>
      </c>
      <c r="U19">
        <f>IFERROR(INDEX('Registro Refuerzo'!$K$2:$K$201,MATCH($A19&amp;"|"&amp;7,'Registro Refuerzo'!$J$2:$J$201,0)),"")</f>
      </c>
      <c r="V19">
        <f>IFERROR(INDEX('Registro Refuerzo'!$K$2:$K$201,MATCH($A19&amp;"|"&amp;8,'Registro Refuerzo'!$J$2:$J$201,0)),"")</f>
      </c>
      <c r="W19">
        <f>IFERROR(INDEX('Registro Refuerzo'!$K$2:$K$201,MATCH($A19&amp;"|"&amp;9,'Registro Refuerzo'!$J$2:$J$201,0)),"")</f>
      </c>
      <c r="X19">
        <f>IFERROR(INDEX('Registro Refuerzo'!$K$2:$K$201,MATCH($A19&amp;"|"&amp;10,'Registro Refuerzo'!$J$2:$J$201,0)),"")</f>
      </c>
      <c r="Y19">
        <f>IFERROR(INDEX('Registro Refuerzo'!$K$2:$K$201,MATCH($A19&amp;"|"&amp;11,'Registro Refuerzo'!$J$2:$J$201,0)),"")</f>
      </c>
      <c r="Z19">
        <f>IFERROR(INDEX('Registro Refuerzo'!$K$2:$K$201,MATCH($A19&amp;"|"&amp;12,'Registro Refuerzo'!$J$2:$J$201,0)),"")</f>
      </c>
    </row>
    <row r="20" spans="1:26" ht="15" customHeight="1" x14ac:dyDescent="0.2">
      <c r="A20" t="s">
        <v>49</v>
      </c>
      <c r="B20" t="str">
        <f>IFERROR(INDEX(Registro!$AB$2:$AB$501,MATCH($A20&amp;"|"&amp;1,Registro!$AA$2:$AA$501,0)),"")</f>
        <v/>
      </c>
      <c r="C20" t="str">
        <f>IFERROR(INDEX(Registro!$AB$2:$AB$501,MATCH($A20&amp;"|"&amp;2,Registro!$AA$2:$AA$501,0)),"")</f>
        <v/>
      </c>
      <c r="D20" t="str">
        <f>IFERROR(INDEX(Registro!$AB$2:$AB$501,MATCH($A20&amp;"|"&amp;3,Registro!$AA$2:$AA$501,0)),"")</f>
        <v/>
      </c>
      <c r="E20" t="str">
        <f>IFERROR(INDEX(Registro!$AB$2:$AB$501,MATCH($A20&amp;"|"&amp;4,Registro!$AA$2:$AA$501,0)),"")</f>
        <v/>
      </c>
      <c r="F20" t="str">
        <f>IFERROR(INDEX(Registro!$AB$2:$AB$501,MATCH($A20&amp;"|"&amp;5,Registro!$AA$2:$AA$501,0)),"")</f>
        <v/>
      </c>
      <c r="H20" t="str">
        <f>IFERROR(INDEX('Registro Refuerzo'!$K$2:$K$201,MATCH($A20&amp;"|"&amp;1,'Registro Refuerzo'!$J$2:$J$201,0)),"")</f>
        <v/>
      </c>
      <c r="I20" t="str">
        <f>IFERROR(INDEX('Registro Refuerzo'!$K$2:$K$201,MATCH($A20&amp;"|"&amp;2,'Registro Refuerzo'!$J$2:$J$201,0)),"")</f>
        <v/>
      </c>
      <c r="J20" t="str">
        <f>IFERROR(INDEX('Registro Refuerzo'!$K$2:$K$201,MATCH($A20&amp;"|"&amp;3,'Registro Refuerzo'!$J$2:$J$201,0)),"")</f>
        <v/>
      </c>
      <c r="K20" t="str">
        <f>IFERROR(INDEX('Registro Refuerzo'!$K$2:$K$201,MATCH($A20&amp;"|"&amp;4,'Registro Refuerzo'!$J$2:$J$201,0)),"")</f>
        <v/>
      </c>
      <c r="L20" t="str">
        <f>IFERROR(INDEX('Registro Refuerzo'!$K$2:$K$201,MATCH($A20&amp;"|"&amp;5,'Registro Refuerzo'!$J$2:$J$201,0)),"")</f>
        <v/>
      </c>
      <c r="M20">
        <f>IFERROR(INDEX(Registro!$AB$2:$AB$501,MATCH($A20&amp;"|"&amp;6,Registro!$AA$2:$AA$501,0)),"")</f>
      </c>
      <c r="N20">
        <f>IFERROR(INDEX(Registro!$AB$2:$AB$501,MATCH($A20&amp;"|"&amp;7,Registro!$AA$2:$AA$501,0)),"")</f>
      </c>
      <c r="O20">
        <f>IFERROR(INDEX(Registro!$AB$2:$AB$501,MATCH($A20&amp;"|"&amp;8,Registro!$AA$2:$AA$501,0)),"")</f>
      </c>
      <c r="P20">
        <f>IFERROR(INDEX(Registro!$AB$2:$AB$501,MATCH($A20&amp;"|"&amp;9,Registro!$AA$2:$AA$501,0)),"")</f>
      </c>
      <c r="Q20">
        <f>IFERROR(INDEX(Registro!$AB$2:$AB$501,MATCH($A20&amp;"|"&amp;10,Registro!$AA$2:$AA$501,0)),"")</f>
      </c>
      <c r="R20">
        <f>IFERROR(INDEX(Registro!$AB$2:$AB$501,MATCH($A20&amp;"|"&amp;11,Registro!$AA$2:$AA$501,0)),"")</f>
      </c>
      <c r="S20">
        <f>IFERROR(INDEX(Registro!$AB$2:$AB$501,MATCH($A20&amp;"|"&amp;12,Registro!$AA$2:$AA$501,0)),"")</f>
      </c>
      <c r="T20">
        <f>IFERROR(INDEX('Registro Refuerzo'!$K$2:$K$201,MATCH($A20&amp;"|"&amp;6,'Registro Refuerzo'!$J$2:$J$201,0)),"")</f>
      </c>
      <c r="U20">
        <f>IFERROR(INDEX('Registro Refuerzo'!$K$2:$K$201,MATCH($A20&amp;"|"&amp;7,'Registro Refuerzo'!$J$2:$J$201,0)),"")</f>
      </c>
      <c r="V20">
        <f>IFERROR(INDEX('Registro Refuerzo'!$K$2:$K$201,MATCH($A20&amp;"|"&amp;8,'Registro Refuerzo'!$J$2:$J$201,0)),"")</f>
      </c>
      <c r="W20">
        <f>IFERROR(INDEX('Registro Refuerzo'!$K$2:$K$201,MATCH($A20&amp;"|"&amp;9,'Registro Refuerzo'!$J$2:$J$201,0)),"")</f>
      </c>
      <c r="X20">
        <f>IFERROR(INDEX('Registro Refuerzo'!$K$2:$K$201,MATCH($A20&amp;"|"&amp;10,'Registro Refuerzo'!$J$2:$J$201,0)),"")</f>
      </c>
      <c r="Y20">
        <f>IFERROR(INDEX('Registro Refuerzo'!$K$2:$K$201,MATCH($A20&amp;"|"&amp;11,'Registro Refuerzo'!$J$2:$J$201,0)),"")</f>
      </c>
      <c r="Z20">
        <f>IFERROR(INDEX('Registro Refuerzo'!$K$2:$K$201,MATCH($A20&amp;"|"&amp;12,'Registro Refuerzo'!$J$2:$J$201,0)),"")</f>
      </c>
    </row>
    <row r="21" spans="1:26" ht="15" customHeight="1" x14ac:dyDescent="0.2">
      <c r="A21" t="s">
        <v>50</v>
      </c>
      <c r="B21" t="str">
        <f>IFERROR(INDEX(Registro!$AB$2:$AB$501,MATCH($A21&amp;"|"&amp;1,Registro!$AA$2:$AA$501,0)),"")</f>
        <v/>
      </c>
      <c r="C21" t="str">
        <f>IFERROR(INDEX(Registro!$AB$2:$AB$501,MATCH($A21&amp;"|"&amp;2,Registro!$AA$2:$AA$501,0)),"")</f>
        <v/>
      </c>
      <c r="D21" t="str">
        <f>IFERROR(INDEX(Registro!$AB$2:$AB$501,MATCH($A21&amp;"|"&amp;3,Registro!$AA$2:$AA$501,0)),"")</f>
        <v/>
      </c>
      <c r="E21" t="str">
        <f>IFERROR(INDEX(Registro!$AB$2:$AB$501,MATCH($A21&amp;"|"&amp;4,Registro!$AA$2:$AA$501,0)),"")</f>
        <v/>
      </c>
      <c r="F21" t="str">
        <f>IFERROR(INDEX(Registro!$AB$2:$AB$501,MATCH($A21&amp;"|"&amp;5,Registro!$AA$2:$AA$501,0)),"")</f>
        <v/>
      </c>
      <c r="H21" t="str">
        <f>IFERROR(INDEX('Registro Refuerzo'!$K$2:$K$201,MATCH($A21&amp;"|"&amp;1,'Registro Refuerzo'!$J$2:$J$201,0)),"")</f>
        <v/>
      </c>
      <c r="I21" t="str">
        <f>IFERROR(INDEX('Registro Refuerzo'!$K$2:$K$201,MATCH($A21&amp;"|"&amp;2,'Registro Refuerzo'!$J$2:$J$201,0)),"")</f>
        <v/>
      </c>
      <c r="J21" t="str">
        <f>IFERROR(INDEX('Registro Refuerzo'!$K$2:$K$201,MATCH($A21&amp;"|"&amp;3,'Registro Refuerzo'!$J$2:$J$201,0)),"")</f>
        <v/>
      </c>
      <c r="K21" t="str">
        <f>IFERROR(INDEX('Registro Refuerzo'!$K$2:$K$201,MATCH($A21&amp;"|"&amp;4,'Registro Refuerzo'!$J$2:$J$201,0)),"")</f>
        <v/>
      </c>
      <c r="L21" t="str">
        <f>IFERROR(INDEX('Registro Refuerzo'!$K$2:$K$201,MATCH($A21&amp;"|"&amp;5,'Registro Refuerzo'!$J$2:$J$201,0)),"")</f>
        <v/>
      </c>
      <c r="M21">
        <f>IFERROR(INDEX(Registro!$AB$2:$AB$501,MATCH($A21&amp;"|"&amp;6,Registro!$AA$2:$AA$501,0)),"")</f>
      </c>
      <c r="N21">
        <f>IFERROR(INDEX(Registro!$AB$2:$AB$501,MATCH($A21&amp;"|"&amp;7,Registro!$AA$2:$AA$501,0)),"")</f>
      </c>
      <c r="O21">
        <f>IFERROR(INDEX(Registro!$AB$2:$AB$501,MATCH($A21&amp;"|"&amp;8,Registro!$AA$2:$AA$501,0)),"")</f>
      </c>
      <c r="P21">
        <f>IFERROR(INDEX(Registro!$AB$2:$AB$501,MATCH($A21&amp;"|"&amp;9,Registro!$AA$2:$AA$501,0)),"")</f>
      </c>
      <c r="Q21">
        <f>IFERROR(INDEX(Registro!$AB$2:$AB$501,MATCH($A21&amp;"|"&amp;10,Registro!$AA$2:$AA$501,0)),"")</f>
      </c>
      <c r="R21">
        <f>IFERROR(INDEX(Registro!$AB$2:$AB$501,MATCH($A21&amp;"|"&amp;11,Registro!$AA$2:$AA$501,0)),"")</f>
      </c>
      <c r="S21">
        <f>IFERROR(INDEX(Registro!$AB$2:$AB$501,MATCH($A21&amp;"|"&amp;12,Registro!$AA$2:$AA$501,0)),"")</f>
      </c>
      <c r="T21">
        <f>IFERROR(INDEX('Registro Refuerzo'!$K$2:$K$201,MATCH($A21&amp;"|"&amp;6,'Registro Refuerzo'!$J$2:$J$201,0)),"")</f>
      </c>
      <c r="U21">
        <f>IFERROR(INDEX('Registro Refuerzo'!$K$2:$K$201,MATCH($A21&amp;"|"&amp;7,'Registro Refuerzo'!$J$2:$J$201,0)),"")</f>
      </c>
      <c r="V21">
        <f>IFERROR(INDEX('Registro Refuerzo'!$K$2:$K$201,MATCH($A21&amp;"|"&amp;8,'Registro Refuerzo'!$J$2:$J$201,0)),"")</f>
      </c>
      <c r="W21">
        <f>IFERROR(INDEX('Registro Refuerzo'!$K$2:$K$201,MATCH($A21&amp;"|"&amp;9,'Registro Refuerzo'!$J$2:$J$201,0)),"")</f>
      </c>
      <c r="X21">
        <f>IFERROR(INDEX('Registro Refuerzo'!$K$2:$K$201,MATCH($A21&amp;"|"&amp;10,'Registro Refuerzo'!$J$2:$J$201,0)),"")</f>
      </c>
      <c r="Y21">
        <f>IFERROR(INDEX('Registro Refuerzo'!$K$2:$K$201,MATCH($A21&amp;"|"&amp;11,'Registro Refuerzo'!$J$2:$J$201,0)),"")</f>
      </c>
      <c r="Z21">
        <f>IFERROR(INDEX('Registro Refuerzo'!$K$2:$K$201,MATCH($A21&amp;"|"&amp;12,'Registro Refuerzo'!$J$2:$J$201,0)),"")</f>
      </c>
    </row>
    <row r="22" spans="1:26" ht="15" customHeight="1" x14ac:dyDescent="0.2">
      <c r="A22" t="s">
        <v>51</v>
      </c>
      <c r="B22" t="str">
        <f>IFERROR(INDEX(Registro!$AB$2:$AB$501,MATCH($A22&amp;"|"&amp;1,Registro!$AA$2:$AA$501,0)),"")</f>
        <v/>
      </c>
      <c r="C22" t="str">
        <f>IFERROR(INDEX(Registro!$AB$2:$AB$501,MATCH($A22&amp;"|"&amp;2,Registro!$AA$2:$AA$501,0)),"")</f>
        <v/>
      </c>
      <c r="D22" t="str">
        <f>IFERROR(INDEX(Registro!$AB$2:$AB$501,MATCH($A22&amp;"|"&amp;3,Registro!$AA$2:$AA$501,0)),"")</f>
        <v/>
      </c>
      <c r="E22" t="str">
        <f>IFERROR(INDEX(Registro!$AB$2:$AB$501,MATCH($A22&amp;"|"&amp;4,Registro!$AA$2:$AA$501,0)),"")</f>
        <v/>
      </c>
      <c r="F22" t="str">
        <f>IFERROR(INDEX(Registro!$AB$2:$AB$501,MATCH($A22&amp;"|"&amp;5,Registro!$AA$2:$AA$501,0)),"")</f>
        <v/>
      </c>
      <c r="H22" t="str">
        <f>IFERROR(INDEX('Registro Refuerzo'!$K$2:$K$201,MATCH($A22&amp;"|"&amp;1,'Registro Refuerzo'!$J$2:$J$201,0)),"")</f>
        <v/>
      </c>
      <c r="I22" t="str">
        <f>IFERROR(INDEX('Registro Refuerzo'!$K$2:$K$201,MATCH($A22&amp;"|"&amp;2,'Registro Refuerzo'!$J$2:$J$201,0)),"")</f>
        <v/>
      </c>
      <c r="J22" t="str">
        <f>IFERROR(INDEX('Registro Refuerzo'!$K$2:$K$201,MATCH($A22&amp;"|"&amp;3,'Registro Refuerzo'!$J$2:$J$201,0)),"")</f>
        <v/>
      </c>
      <c r="K22" t="str">
        <f>IFERROR(INDEX('Registro Refuerzo'!$K$2:$K$201,MATCH($A22&amp;"|"&amp;4,'Registro Refuerzo'!$J$2:$J$201,0)),"")</f>
        <v/>
      </c>
      <c r="L22" t="str">
        <f>IFERROR(INDEX('Registro Refuerzo'!$K$2:$K$201,MATCH($A22&amp;"|"&amp;5,'Registro Refuerzo'!$J$2:$J$201,0)),"")</f>
        <v/>
      </c>
      <c r="M22">
        <f>IFERROR(INDEX(Registro!$AB$2:$AB$501,MATCH($A22&amp;"|"&amp;6,Registro!$AA$2:$AA$501,0)),"")</f>
      </c>
      <c r="N22">
        <f>IFERROR(INDEX(Registro!$AB$2:$AB$501,MATCH($A22&amp;"|"&amp;7,Registro!$AA$2:$AA$501,0)),"")</f>
      </c>
      <c r="O22">
        <f>IFERROR(INDEX(Registro!$AB$2:$AB$501,MATCH($A22&amp;"|"&amp;8,Registro!$AA$2:$AA$501,0)),"")</f>
      </c>
      <c r="P22">
        <f>IFERROR(INDEX(Registro!$AB$2:$AB$501,MATCH($A22&amp;"|"&amp;9,Registro!$AA$2:$AA$501,0)),"")</f>
      </c>
      <c r="Q22">
        <f>IFERROR(INDEX(Registro!$AB$2:$AB$501,MATCH($A22&amp;"|"&amp;10,Registro!$AA$2:$AA$501,0)),"")</f>
      </c>
      <c r="R22">
        <f>IFERROR(INDEX(Registro!$AB$2:$AB$501,MATCH($A22&amp;"|"&amp;11,Registro!$AA$2:$AA$501,0)),"")</f>
      </c>
      <c r="S22">
        <f>IFERROR(INDEX(Registro!$AB$2:$AB$501,MATCH($A22&amp;"|"&amp;12,Registro!$AA$2:$AA$501,0)),"")</f>
      </c>
      <c r="T22">
        <f>IFERROR(INDEX('Registro Refuerzo'!$K$2:$K$201,MATCH($A22&amp;"|"&amp;6,'Registro Refuerzo'!$J$2:$J$201,0)),"")</f>
      </c>
      <c r="U22">
        <f>IFERROR(INDEX('Registro Refuerzo'!$K$2:$K$201,MATCH($A22&amp;"|"&amp;7,'Registro Refuerzo'!$J$2:$J$201,0)),"")</f>
      </c>
      <c r="V22">
        <f>IFERROR(INDEX('Registro Refuerzo'!$K$2:$K$201,MATCH($A22&amp;"|"&amp;8,'Registro Refuerzo'!$J$2:$J$201,0)),"")</f>
      </c>
      <c r="W22">
        <f>IFERROR(INDEX('Registro Refuerzo'!$K$2:$K$201,MATCH($A22&amp;"|"&amp;9,'Registro Refuerzo'!$J$2:$J$201,0)),"")</f>
      </c>
      <c r="X22">
        <f>IFERROR(INDEX('Registro Refuerzo'!$K$2:$K$201,MATCH($A22&amp;"|"&amp;10,'Registro Refuerzo'!$J$2:$J$201,0)),"")</f>
      </c>
      <c r="Y22">
        <f>IFERROR(INDEX('Registro Refuerzo'!$K$2:$K$201,MATCH($A22&amp;"|"&amp;11,'Registro Refuerzo'!$J$2:$J$201,0)),"")</f>
      </c>
      <c r="Z22">
        <f>IFERROR(INDEX('Registro Refuerzo'!$K$2:$K$201,MATCH($A22&amp;"|"&amp;12,'Registro Refuerzo'!$J$2:$J$201,0)),"")</f>
      </c>
    </row>
    <row r="23" spans="1:26" ht="15" customHeight="1" x14ac:dyDescent="0.2">
      <c r="A23" t="s">
        <v>52</v>
      </c>
      <c r="B23" t="str">
        <f>IFERROR(INDEX(Registro!$AB$2:$AB$501,MATCH($A23&amp;"|"&amp;1,Registro!$AA$2:$AA$501,0)),"")</f>
        <v/>
      </c>
      <c r="C23" t="str">
        <f>IFERROR(INDEX(Registro!$AB$2:$AB$501,MATCH($A23&amp;"|"&amp;2,Registro!$AA$2:$AA$501,0)),"")</f>
        <v/>
      </c>
      <c r="D23" t="str">
        <f>IFERROR(INDEX(Registro!$AB$2:$AB$501,MATCH($A23&amp;"|"&amp;3,Registro!$AA$2:$AA$501,0)),"")</f>
        <v/>
      </c>
      <c r="E23" t="str">
        <f>IFERROR(INDEX(Registro!$AB$2:$AB$501,MATCH($A23&amp;"|"&amp;4,Registro!$AA$2:$AA$501,0)),"")</f>
        <v/>
      </c>
      <c r="F23" t="str">
        <f>IFERROR(INDEX(Registro!$AB$2:$AB$501,MATCH($A23&amp;"|"&amp;5,Registro!$AA$2:$AA$501,0)),"")</f>
        <v/>
      </c>
      <c r="H23" t="str">
        <f>IFERROR(INDEX('Registro Refuerzo'!$K$2:$K$201,MATCH($A23&amp;"|"&amp;1,'Registro Refuerzo'!$J$2:$J$201,0)),"")</f>
        <v/>
      </c>
      <c r="I23" t="str">
        <f>IFERROR(INDEX('Registro Refuerzo'!$K$2:$K$201,MATCH($A23&amp;"|"&amp;2,'Registro Refuerzo'!$J$2:$J$201,0)),"")</f>
        <v/>
      </c>
      <c r="J23" t="str">
        <f>IFERROR(INDEX('Registro Refuerzo'!$K$2:$K$201,MATCH($A23&amp;"|"&amp;3,'Registro Refuerzo'!$J$2:$J$201,0)),"")</f>
        <v/>
      </c>
      <c r="K23" t="str">
        <f>IFERROR(INDEX('Registro Refuerzo'!$K$2:$K$201,MATCH($A23&amp;"|"&amp;4,'Registro Refuerzo'!$J$2:$J$201,0)),"")</f>
        <v/>
      </c>
      <c r="L23" t="str">
        <f>IFERROR(INDEX('Registro Refuerzo'!$K$2:$K$201,MATCH($A23&amp;"|"&amp;5,'Registro Refuerzo'!$J$2:$J$201,0)),"")</f>
        <v/>
      </c>
      <c r="M23">
        <f>IFERROR(INDEX(Registro!$AB$2:$AB$501,MATCH($A23&amp;"|"&amp;6,Registro!$AA$2:$AA$501,0)),"")</f>
      </c>
      <c r="N23">
        <f>IFERROR(INDEX(Registro!$AB$2:$AB$501,MATCH($A23&amp;"|"&amp;7,Registro!$AA$2:$AA$501,0)),"")</f>
      </c>
      <c r="O23">
        <f>IFERROR(INDEX(Registro!$AB$2:$AB$501,MATCH($A23&amp;"|"&amp;8,Registro!$AA$2:$AA$501,0)),"")</f>
      </c>
      <c r="P23">
        <f>IFERROR(INDEX(Registro!$AB$2:$AB$501,MATCH($A23&amp;"|"&amp;9,Registro!$AA$2:$AA$501,0)),"")</f>
      </c>
      <c r="Q23">
        <f>IFERROR(INDEX(Registro!$AB$2:$AB$501,MATCH($A23&amp;"|"&amp;10,Registro!$AA$2:$AA$501,0)),"")</f>
      </c>
      <c r="R23">
        <f>IFERROR(INDEX(Registro!$AB$2:$AB$501,MATCH($A23&amp;"|"&amp;11,Registro!$AA$2:$AA$501,0)),"")</f>
      </c>
      <c r="S23">
        <f>IFERROR(INDEX(Registro!$AB$2:$AB$501,MATCH($A23&amp;"|"&amp;12,Registro!$AA$2:$AA$501,0)),"")</f>
      </c>
      <c r="T23">
        <f>IFERROR(INDEX('Registro Refuerzo'!$K$2:$K$201,MATCH($A23&amp;"|"&amp;6,'Registro Refuerzo'!$J$2:$J$201,0)),"")</f>
      </c>
      <c r="U23">
        <f>IFERROR(INDEX('Registro Refuerzo'!$K$2:$K$201,MATCH($A23&amp;"|"&amp;7,'Registro Refuerzo'!$J$2:$J$201,0)),"")</f>
      </c>
      <c r="V23">
        <f>IFERROR(INDEX('Registro Refuerzo'!$K$2:$K$201,MATCH($A23&amp;"|"&amp;8,'Registro Refuerzo'!$J$2:$J$201,0)),"")</f>
      </c>
      <c r="W23">
        <f>IFERROR(INDEX('Registro Refuerzo'!$K$2:$K$201,MATCH($A23&amp;"|"&amp;9,'Registro Refuerzo'!$J$2:$J$201,0)),"")</f>
      </c>
      <c r="X23">
        <f>IFERROR(INDEX('Registro Refuerzo'!$K$2:$K$201,MATCH($A23&amp;"|"&amp;10,'Registro Refuerzo'!$J$2:$J$201,0)),"")</f>
      </c>
      <c r="Y23">
        <f>IFERROR(INDEX('Registro Refuerzo'!$K$2:$K$201,MATCH($A23&amp;"|"&amp;11,'Registro Refuerzo'!$J$2:$J$201,0)),"")</f>
      </c>
      <c r="Z23">
        <f>IFERROR(INDEX('Registro Refuerzo'!$K$2:$K$201,MATCH($A23&amp;"|"&amp;12,'Registro Refuerzo'!$J$2:$J$201,0)),"")</f>
      </c>
    </row>
    <row r="24" spans="1:26" ht="15" customHeight="1" x14ac:dyDescent="0.2">
      <c r="A24" t="s">
        <v>53</v>
      </c>
      <c r="B24" t="str">
        <f>IFERROR(INDEX(Registro!$AB$2:$AB$501,MATCH($A24&amp;"|"&amp;1,Registro!$AA$2:$AA$501,0)),"")</f>
        <v/>
      </c>
      <c r="C24" t="str">
        <f>IFERROR(INDEX(Registro!$AB$2:$AB$501,MATCH($A24&amp;"|"&amp;2,Registro!$AA$2:$AA$501,0)),"")</f>
        <v/>
      </c>
      <c r="D24" t="str">
        <f>IFERROR(INDEX(Registro!$AB$2:$AB$501,MATCH($A24&amp;"|"&amp;3,Registro!$AA$2:$AA$501,0)),"")</f>
        <v/>
      </c>
      <c r="E24" t="str">
        <f>IFERROR(INDEX(Registro!$AB$2:$AB$501,MATCH($A24&amp;"|"&amp;4,Registro!$AA$2:$AA$501,0)),"")</f>
        <v/>
      </c>
      <c r="F24" t="str">
        <f>IFERROR(INDEX(Registro!$AB$2:$AB$501,MATCH($A24&amp;"|"&amp;5,Registro!$AA$2:$AA$501,0)),"")</f>
        <v/>
      </c>
      <c r="H24" t="str">
        <f>IFERROR(INDEX('Registro Refuerzo'!$K$2:$K$201,MATCH($A24&amp;"|"&amp;1,'Registro Refuerzo'!$J$2:$J$201,0)),"")</f>
        <v/>
      </c>
      <c r="I24" t="str">
        <f>IFERROR(INDEX('Registro Refuerzo'!$K$2:$K$201,MATCH($A24&amp;"|"&amp;2,'Registro Refuerzo'!$J$2:$J$201,0)),"")</f>
        <v/>
      </c>
      <c r="J24" t="str">
        <f>IFERROR(INDEX('Registro Refuerzo'!$K$2:$K$201,MATCH($A24&amp;"|"&amp;3,'Registro Refuerzo'!$J$2:$J$201,0)),"")</f>
        <v/>
      </c>
      <c r="K24" t="str">
        <f>IFERROR(INDEX('Registro Refuerzo'!$K$2:$K$201,MATCH($A24&amp;"|"&amp;4,'Registro Refuerzo'!$J$2:$J$201,0)),"")</f>
        <v/>
      </c>
      <c r="L24" t="str">
        <f>IFERROR(INDEX('Registro Refuerzo'!$K$2:$K$201,MATCH($A24&amp;"|"&amp;5,'Registro Refuerzo'!$J$2:$J$201,0)),"")</f>
        <v/>
      </c>
      <c r="M24">
        <f>IFERROR(INDEX(Registro!$AB$2:$AB$501,MATCH($A24&amp;"|"&amp;6,Registro!$AA$2:$AA$501,0)),"")</f>
      </c>
      <c r="N24">
        <f>IFERROR(INDEX(Registro!$AB$2:$AB$501,MATCH($A24&amp;"|"&amp;7,Registro!$AA$2:$AA$501,0)),"")</f>
      </c>
      <c r="O24">
        <f>IFERROR(INDEX(Registro!$AB$2:$AB$501,MATCH($A24&amp;"|"&amp;8,Registro!$AA$2:$AA$501,0)),"")</f>
      </c>
      <c r="P24">
        <f>IFERROR(INDEX(Registro!$AB$2:$AB$501,MATCH($A24&amp;"|"&amp;9,Registro!$AA$2:$AA$501,0)),"")</f>
      </c>
      <c r="Q24">
        <f>IFERROR(INDEX(Registro!$AB$2:$AB$501,MATCH($A24&amp;"|"&amp;10,Registro!$AA$2:$AA$501,0)),"")</f>
      </c>
      <c r="R24">
        <f>IFERROR(INDEX(Registro!$AB$2:$AB$501,MATCH($A24&amp;"|"&amp;11,Registro!$AA$2:$AA$501,0)),"")</f>
      </c>
      <c r="S24">
        <f>IFERROR(INDEX(Registro!$AB$2:$AB$501,MATCH($A24&amp;"|"&amp;12,Registro!$AA$2:$AA$501,0)),"")</f>
      </c>
      <c r="T24">
        <f>IFERROR(INDEX('Registro Refuerzo'!$K$2:$K$201,MATCH($A24&amp;"|"&amp;6,'Registro Refuerzo'!$J$2:$J$201,0)),"")</f>
      </c>
      <c r="U24">
        <f>IFERROR(INDEX('Registro Refuerzo'!$K$2:$K$201,MATCH($A24&amp;"|"&amp;7,'Registro Refuerzo'!$J$2:$J$201,0)),"")</f>
      </c>
      <c r="V24">
        <f>IFERROR(INDEX('Registro Refuerzo'!$K$2:$K$201,MATCH($A24&amp;"|"&amp;8,'Registro Refuerzo'!$J$2:$J$201,0)),"")</f>
      </c>
      <c r="W24">
        <f>IFERROR(INDEX('Registro Refuerzo'!$K$2:$K$201,MATCH($A24&amp;"|"&amp;9,'Registro Refuerzo'!$J$2:$J$201,0)),"")</f>
      </c>
      <c r="X24">
        <f>IFERROR(INDEX('Registro Refuerzo'!$K$2:$K$201,MATCH($A24&amp;"|"&amp;10,'Registro Refuerzo'!$J$2:$J$201,0)),"")</f>
      </c>
      <c r="Y24">
        <f>IFERROR(INDEX('Registro Refuerzo'!$K$2:$K$201,MATCH($A24&amp;"|"&amp;11,'Registro Refuerzo'!$J$2:$J$201,0)),"")</f>
      </c>
      <c r="Z24">
        <f>IFERROR(INDEX('Registro Refuerzo'!$K$2:$K$201,MATCH($A24&amp;"|"&amp;12,'Registro Refuerzo'!$J$2:$J$201,0)),"")</f>
      </c>
    </row>
    <row r="25" spans="1:26" ht="15" customHeight="1" x14ac:dyDescent="0.2">
      <c r="A25" t="s">
        <v>54</v>
      </c>
      <c r="B25" t="str">
        <f>IFERROR(INDEX(Registro!$AB$2:$AB$501,MATCH($A25&amp;"|"&amp;1,Registro!$AA$2:$AA$501,0)),"")</f>
        <v/>
      </c>
      <c r="C25" t="str">
        <f>IFERROR(INDEX(Registro!$AB$2:$AB$501,MATCH($A25&amp;"|"&amp;2,Registro!$AA$2:$AA$501,0)),"")</f>
        <v/>
      </c>
      <c r="D25" t="str">
        <f>IFERROR(INDEX(Registro!$AB$2:$AB$501,MATCH($A25&amp;"|"&amp;3,Registro!$AA$2:$AA$501,0)),"")</f>
        <v/>
      </c>
      <c r="E25" t="str">
        <f>IFERROR(INDEX(Registro!$AB$2:$AB$501,MATCH($A25&amp;"|"&amp;4,Registro!$AA$2:$AA$501,0)),"")</f>
        <v/>
      </c>
      <c r="F25" t="str">
        <f>IFERROR(INDEX(Registro!$AB$2:$AB$501,MATCH($A25&amp;"|"&amp;5,Registro!$AA$2:$AA$501,0)),"")</f>
        <v/>
      </c>
      <c r="H25" t="str">
        <f>IFERROR(INDEX('Registro Refuerzo'!$K$2:$K$201,MATCH($A25&amp;"|"&amp;1,'Registro Refuerzo'!$J$2:$J$201,0)),"")</f>
        <v/>
      </c>
      <c r="I25" t="str">
        <f>IFERROR(INDEX('Registro Refuerzo'!$K$2:$K$201,MATCH($A25&amp;"|"&amp;2,'Registro Refuerzo'!$J$2:$J$201,0)),"")</f>
        <v/>
      </c>
      <c r="J25" t="str">
        <f>IFERROR(INDEX('Registro Refuerzo'!$K$2:$K$201,MATCH($A25&amp;"|"&amp;3,'Registro Refuerzo'!$J$2:$J$201,0)),"")</f>
        <v/>
      </c>
      <c r="K25" t="str">
        <f>IFERROR(INDEX('Registro Refuerzo'!$K$2:$K$201,MATCH($A25&amp;"|"&amp;4,'Registro Refuerzo'!$J$2:$J$201,0)),"")</f>
        <v/>
      </c>
      <c r="L25" t="str">
        <f>IFERROR(INDEX('Registro Refuerzo'!$K$2:$K$201,MATCH($A25&amp;"|"&amp;5,'Registro Refuerzo'!$J$2:$J$201,0)),"")</f>
        <v/>
      </c>
      <c r="M25">
        <f>IFERROR(INDEX(Registro!$AB$2:$AB$501,MATCH($A25&amp;"|"&amp;6,Registro!$AA$2:$AA$501,0)),"")</f>
      </c>
      <c r="N25">
        <f>IFERROR(INDEX(Registro!$AB$2:$AB$501,MATCH($A25&amp;"|"&amp;7,Registro!$AA$2:$AA$501,0)),"")</f>
      </c>
      <c r="O25">
        <f>IFERROR(INDEX(Registro!$AB$2:$AB$501,MATCH($A25&amp;"|"&amp;8,Registro!$AA$2:$AA$501,0)),"")</f>
      </c>
      <c r="P25">
        <f>IFERROR(INDEX(Registro!$AB$2:$AB$501,MATCH($A25&amp;"|"&amp;9,Registro!$AA$2:$AA$501,0)),"")</f>
      </c>
      <c r="Q25">
        <f>IFERROR(INDEX(Registro!$AB$2:$AB$501,MATCH($A25&amp;"|"&amp;10,Registro!$AA$2:$AA$501,0)),"")</f>
      </c>
      <c r="R25">
        <f>IFERROR(INDEX(Registro!$AB$2:$AB$501,MATCH($A25&amp;"|"&amp;11,Registro!$AA$2:$AA$501,0)),"")</f>
      </c>
      <c r="S25">
        <f>IFERROR(INDEX(Registro!$AB$2:$AB$501,MATCH($A25&amp;"|"&amp;12,Registro!$AA$2:$AA$501,0)),"")</f>
      </c>
      <c r="T25">
        <f>IFERROR(INDEX('Registro Refuerzo'!$K$2:$K$201,MATCH($A25&amp;"|"&amp;6,'Registro Refuerzo'!$J$2:$J$201,0)),"")</f>
      </c>
      <c r="U25">
        <f>IFERROR(INDEX('Registro Refuerzo'!$K$2:$K$201,MATCH($A25&amp;"|"&amp;7,'Registro Refuerzo'!$J$2:$J$201,0)),"")</f>
      </c>
      <c r="V25">
        <f>IFERROR(INDEX('Registro Refuerzo'!$K$2:$K$201,MATCH($A25&amp;"|"&amp;8,'Registro Refuerzo'!$J$2:$J$201,0)),"")</f>
      </c>
      <c r="W25">
        <f>IFERROR(INDEX('Registro Refuerzo'!$K$2:$K$201,MATCH($A25&amp;"|"&amp;9,'Registro Refuerzo'!$J$2:$J$201,0)),"")</f>
      </c>
      <c r="X25">
        <f>IFERROR(INDEX('Registro Refuerzo'!$K$2:$K$201,MATCH($A25&amp;"|"&amp;10,'Registro Refuerzo'!$J$2:$J$201,0)),"")</f>
      </c>
      <c r="Y25">
        <f>IFERROR(INDEX('Registro Refuerzo'!$K$2:$K$201,MATCH($A25&amp;"|"&amp;11,'Registro Refuerzo'!$J$2:$J$201,0)),"")</f>
      </c>
      <c r="Z25">
        <f>IFERROR(INDEX('Registro Refuerzo'!$K$2:$K$201,MATCH($A25&amp;"|"&amp;12,'Registro Refuerzo'!$J$2:$J$201,0)),"")</f>
      </c>
    </row>
    <row r="26" spans="1:26" ht="15" customHeight="1" x14ac:dyDescent="0.2">
      <c r="A26" t="s">
        <v>55</v>
      </c>
      <c r="B26" t="str">
        <f>IFERROR(INDEX(Registro!$AB$2:$AB$501,MATCH($A26&amp;"|"&amp;1,Registro!$AA$2:$AA$501,0)),"")</f>
        <v/>
      </c>
      <c r="C26" t="str">
        <f>IFERROR(INDEX(Registro!$AB$2:$AB$501,MATCH($A26&amp;"|"&amp;2,Registro!$AA$2:$AA$501,0)),"")</f>
        <v/>
      </c>
      <c r="D26" t="str">
        <f>IFERROR(INDEX(Registro!$AB$2:$AB$501,MATCH($A26&amp;"|"&amp;3,Registro!$AA$2:$AA$501,0)),"")</f>
        <v/>
      </c>
      <c r="E26" t="str">
        <f>IFERROR(INDEX(Registro!$AB$2:$AB$501,MATCH($A26&amp;"|"&amp;4,Registro!$AA$2:$AA$501,0)),"")</f>
        <v/>
      </c>
      <c r="F26" t="str">
        <f>IFERROR(INDEX(Registro!$AB$2:$AB$501,MATCH($A26&amp;"|"&amp;5,Registro!$AA$2:$AA$501,0)),"")</f>
        <v/>
      </c>
      <c r="H26" t="str">
        <f>IFERROR(INDEX('Registro Refuerzo'!$K$2:$K$201,MATCH($A26&amp;"|"&amp;1,'Registro Refuerzo'!$J$2:$J$201,0)),"")</f>
        <v/>
      </c>
      <c r="I26" t="str">
        <f>IFERROR(INDEX('Registro Refuerzo'!$K$2:$K$201,MATCH($A26&amp;"|"&amp;2,'Registro Refuerzo'!$J$2:$J$201,0)),"")</f>
        <v/>
      </c>
      <c r="J26" t="str">
        <f>IFERROR(INDEX('Registro Refuerzo'!$K$2:$K$201,MATCH($A26&amp;"|"&amp;3,'Registro Refuerzo'!$J$2:$J$201,0)),"")</f>
        <v/>
      </c>
      <c r="K26" t="str">
        <f>IFERROR(INDEX('Registro Refuerzo'!$K$2:$K$201,MATCH($A26&amp;"|"&amp;4,'Registro Refuerzo'!$J$2:$J$201,0)),"")</f>
        <v/>
      </c>
      <c r="L26" t="str">
        <f>IFERROR(INDEX('Registro Refuerzo'!$K$2:$K$201,MATCH($A26&amp;"|"&amp;5,'Registro Refuerzo'!$J$2:$J$201,0)),"")</f>
        <v/>
      </c>
      <c r="M26">
        <f>IFERROR(INDEX(Registro!$AB$2:$AB$501,MATCH($A26&amp;"|"&amp;6,Registro!$AA$2:$AA$501,0)),"")</f>
      </c>
      <c r="N26">
        <f>IFERROR(INDEX(Registro!$AB$2:$AB$501,MATCH($A26&amp;"|"&amp;7,Registro!$AA$2:$AA$501,0)),"")</f>
      </c>
      <c r="O26">
        <f>IFERROR(INDEX(Registro!$AB$2:$AB$501,MATCH($A26&amp;"|"&amp;8,Registro!$AA$2:$AA$501,0)),"")</f>
      </c>
      <c r="P26">
        <f>IFERROR(INDEX(Registro!$AB$2:$AB$501,MATCH($A26&amp;"|"&amp;9,Registro!$AA$2:$AA$501,0)),"")</f>
      </c>
      <c r="Q26">
        <f>IFERROR(INDEX(Registro!$AB$2:$AB$501,MATCH($A26&amp;"|"&amp;10,Registro!$AA$2:$AA$501,0)),"")</f>
      </c>
      <c r="R26">
        <f>IFERROR(INDEX(Registro!$AB$2:$AB$501,MATCH($A26&amp;"|"&amp;11,Registro!$AA$2:$AA$501,0)),"")</f>
      </c>
      <c r="S26">
        <f>IFERROR(INDEX(Registro!$AB$2:$AB$501,MATCH($A26&amp;"|"&amp;12,Registro!$AA$2:$AA$501,0)),"")</f>
      </c>
      <c r="T26">
        <f>IFERROR(INDEX('Registro Refuerzo'!$K$2:$K$201,MATCH($A26&amp;"|"&amp;6,'Registro Refuerzo'!$J$2:$J$201,0)),"")</f>
      </c>
      <c r="U26">
        <f>IFERROR(INDEX('Registro Refuerzo'!$K$2:$K$201,MATCH($A26&amp;"|"&amp;7,'Registro Refuerzo'!$J$2:$J$201,0)),"")</f>
      </c>
      <c r="V26">
        <f>IFERROR(INDEX('Registro Refuerzo'!$K$2:$K$201,MATCH($A26&amp;"|"&amp;8,'Registro Refuerzo'!$J$2:$J$201,0)),"")</f>
      </c>
      <c r="W26">
        <f>IFERROR(INDEX('Registro Refuerzo'!$K$2:$K$201,MATCH($A26&amp;"|"&amp;9,'Registro Refuerzo'!$J$2:$J$201,0)),"")</f>
      </c>
      <c r="X26">
        <f>IFERROR(INDEX('Registro Refuerzo'!$K$2:$K$201,MATCH($A26&amp;"|"&amp;10,'Registro Refuerzo'!$J$2:$J$201,0)),"")</f>
      </c>
      <c r="Y26">
        <f>IFERROR(INDEX('Registro Refuerzo'!$K$2:$K$201,MATCH($A26&amp;"|"&amp;11,'Registro Refuerzo'!$J$2:$J$201,0)),"")</f>
      </c>
      <c r="Z26">
        <f>IFERROR(INDEX('Registro Refuerzo'!$K$2:$K$201,MATCH($A26&amp;"|"&amp;12,'Registro Refuerzo'!$J$2:$J$201,0)),"")</f>
      </c>
    </row>
    <row r="27" spans="1:26" ht="15" customHeight="1" x14ac:dyDescent="0.2">
      <c r="A27" t="s">
        <v>56</v>
      </c>
      <c r="B27" t="str">
        <f>IFERROR(INDEX(Registro!$AB$2:$AB$501,MATCH($A27&amp;"|"&amp;1,Registro!$AA$2:$AA$501,0)),"")</f>
        <v/>
      </c>
      <c r="C27" t="str">
        <f>IFERROR(INDEX(Registro!$AB$2:$AB$501,MATCH($A27&amp;"|"&amp;2,Registro!$AA$2:$AA$501,0)),"")</f>
        <v/>
      </c>
      <c r="D27" t="str">
        <f>IFERROR(INDEX(Registro!$AB$2:$AB$501,MATCH($A27&amp;"|"&amp;3,Registro!$AA$2:$AA$501,0)),"")</f>
        <v/>
      </c>
      <c r="E27" t="str">
        <f>IFERROR(INDEX(Registro!$AB$2:$AB$501,MATCH($A27&amp;"|"&amp;4,Registro!$AA$2:$AA$501,0)),"")</f>
        <v/>
      </c>
      <c r="F27" t="str">
        <f>IFERROR(INDEX(Registro!$AB$2:$AB$501,MATCH($A27&amp;"|"&amp;5,Registro!$AA$2:$AA$501,0)),"")</f>
        <v/>
      </c>
      <c r="H27" t="str">
        <f>IFERROR(INDEX('Registro Refuerzo'!$K$2:$K$201,MATCH($A27&amp;"|"&amp;1,'Registro Refuerzo'!$J$2:$J$201,0)),"")</f>
        <v/>
      </c>
      <c r="I27" t="str">
        <f>IFERROR(INDEX('Registro Refuerzo'!$K$2:$K$201,MATCH($A27&amp;"|"&amp;2,'Registro Refuerzo'!$J$2:$J$201,0)),"")</f>
        <v/>
      </c>
      <c r="J27" t="str">
        <f>IFERROR(INDEX('Registro Refuerzo'!$K$2:$K$201,MATCH($A27&amp;"|"&amp;3,'Registro Refuerzo'!$J$2:$J$201,0)),"")</f>
        <v/>
      </c>
      <c r="K27" t="str">
        <f>IFERROR(INDEX('Registro Refuerzo'!$K$2:$K$201,MATCH($A27&amp;"|"&amp;4,'Registro Refuerzo'!$J$2:$J$201,0)),"")</f>
        <v/>
      </c>
      <c r="L27" t="str">
        <f>IFERROR(INDEX('Registro Refuerzo'!$K$2:$K$201,MATCH($A27&amp;"|"&amp;5,'Registro Refuerzo'!$J$2:$J$201,0)),"")</f>
        <v/>
      </c>
      <c r="M27">
        <f>IFERROR(INDEX(Registro!$AB$2:$AB$501,MATCH($A27&amp;"|"&amp;6,Registro!$AA$2:$AA$501,0)),"")</f>
      </c>
      <c r="N27">
        <f>IFERROR(INDEX(Registro!$AB$2:$AB$501,MATCH($A27&amp;"|"&amp;7,Registro!$AA$2:$AA$501,0)),"")</f>
      </c>
      <c r="O27">
        <f>IFERROR(INDEX(Registro!$AB$2:$AB$501,MATCH($A27&amp;"|"&amp;8,Registro!$AA$2:$AA$501,0)),"")</f>
      </c>
      <c r="P27">
        <f>IFERROR(INDEX(Registro!$AB$2:$AB$501,MATCH($A27&amp;"|"&amp;9,Registro!$AA$2:$AA$501,0)),"")</f>
      </c>
      <c r="Q27">
        <f>IFERROR(INDEX(Registro!$AB$2:$AB$501,MATCH($A27&amp;"|"&amp;10,Registro!$AA$2:$AA$501,0)),"")</f>
      </c>
      <c r="R27">
        <f>IFERROR(INDEX(Registro!$AB$2:$AB$501,MATCH($A27&amp;"|"&amp;11,Registro!$AA$2:$AA$501,0)),"")</f>
      </c>
      <c r="S27">
        <f>IFERROR(INDEX(Registro!$AB$2:$AB$501,MATCH($A27&amp;"|"&amp;12,Registro!$AA$2:$AA$501,0)),"")</f>
      </c>
      <c r="T27">
        <f>IFERROR(INDEX('Registro Refuerzo'!$K$2:$K$201,MATCH($A27&amp;"|"&amp;6,'Registro Refuerzo'!$J$2:$J$201,0)),"")</f>
      </c>
      <c r="U27">
        <f>IFERROR(INDEX('Registro Refuerzo'!$K$2:$K$201,MATCH($A27&amp;"|"&amp;7,'Registro Refuerzo'!$J$2:$J$201,0)),"")</f>
      </c>
      <c r="V27">
        <f>IFERROR(INDEX('Registro Refuerzo'!$K$2:$K$201,MATCH($A27&amp;"|"&amp;8,'Registro Refuerzo'!$J$2:$J$201,0)),"")</f>
      </c>
      <c r="W27">
        <f>IFERROR(INDEX('Registro Refuerzo'!$K$2:$K$201,MATCH($A27&amp;"|"&amp;9,'Registro Refuerzo'!$J$2:$J$201,0)),"")</f>
      </c>
      <c r="X27">
        <f>IFERROR(INDEX('Registro Refuerzo'!$K$2:$K$201,MATCH($A27&amp;"|"&amp;10,'Registro Refuerzo'!$J$2:$J$201,0)),"")</f>
      </c>
      <c r="Y27">
        <f>IFERROR(INDEX('Registro Refuerzo'!$K$2:$K$201,MATCH($A27&amp;"|"&amp;11,'Registro Refuerzo'!$J$2:$J$201,0)),"")</f>
      </c>
      <c r="Z27">
        <f>IFERROR(INDEX('Registro Refuerzo'!$K$2:$K$201,MATCH($A27&amp;"|"&amp;12,'Registro Refuerzo'!$J$2:$J$201,0)),"")</f>
      </c>
    </row>
    <row r="28" spans="1:26" ht="15" customHeight="1" x14ac:dyDescent="0.2">
      <c r="A28" t="s">
        <v>57</v>
      </c>
      <c r="B28" t="str">
        <f>IFERROR(INDEX(Registro!$AB$2:$AB$501,MATCH($A28&amp;"|"&amp;1,Registro!$AA$2:$AA$501,0)),"")</f>
        <v/>
      </c>
      <c r="C28" t="str">
        <f>IFERROR(INDEX(Registro!$AB$2:$AB$501,MATCH($A28&amp;"|"&amp;2,Registro!$AA$2:$AA$501,0)),"")</f>
        <v/>
      </c>
      <c r="D28" t="str">
        <f>IFERROR(INDEX(Registro!$AB$2:$AB$501,MATCH($A28&amp;"|"&amp;3,Registro!$AA$2:$AA$501,0)),"")</f>
        <v/>
      </c>
      <c r="E28" t="str">
        <f>IFERROR(INDEX(Registro!$AB$2:$AB$501,MATCH($A28&amp;"|"&amp;4,Registro!$AA$2:$AA$501,0)),"")</f>
        <v/>
      </c>
      <c r="F28" t="str">
        <f>IFERROR(INDEX(Registro!$AB$2:$AB$501,MATCH($A28&amp;"|"&amp;5,Registro!$AA$2:$AA$501,0)),"")</f>
        <v/>
      </c>
      <c r="H28" t="str">
        <f>IFERROR(INDEX('Registro Refuerzo'!$K$2:$K$201,MATCH($A28&amp;"|"&amp;1,'Registro Refuerzo'!$J$2:$J$201,0)),"")</f>
        <v/>
      </c>
      <c r="I28" t="str">
        <f>IFERROR(INDEX('Registro Refuerzo'!$K$2:$K$201,MATCH($A28&amp;"|"&amp;2,'Registro Refuerzo'!$J$2:$J$201,0)),"")</f>
        <v/>
      </c>
      <c r="J28" t="str">
        <f>IFERROR(INDEX('Registro Refuerzo'!$K$2:$K$201,MATCH($A28&amp;"|"&amp;3,'Registro Refuerzo'!$J$2:$J$201,0)),"")</f>
        <v/>
      </c>
      <c r="K28" t="str">
        <f>IFERROR(INDEX('Registro Refuerzo'!$K$2:$K$201,MATCH($A28&amp;"|"&amp;4,'Registro Refuerzo'!$J$2:$J$201,0)),"")</f>
        <v/>
      </c>
      <c r="L28" t="str">
        <f>IFERROR(INDEX('Registro Refuerzo'!$K$2:$K$201,MATCH($A28&amp;"|"&amp;5,'Registro Refuerzo'!$J$2:$J$201,0)),"")</f>
        <v/>
      </c>
      <c r="M28">
        <f>IFERROR(INDEX(Registro!$AB$2:$AB$501,MATCH($A28&amp;"|"&amp;6,Registro!$AA$2:$AA$501,0)),"")</f>
      </c>
      <c r="N28">
        <f>IFERROR(INDEX(Registro!$AB$2:$AB$501,MATCH($A28&amp;"|"&amp;7,Registro!$AA$2:$AA$501,0)),"")</f>
      </c>
      <c r="O28">
        <f>IFERROR(INDEX(Registro!$AB$2:$AB$501,MATCH($A28&amp;"|"&amp;8,Registro!$AA$2:$AA$501,0)),"")</f>
      </c>
      <c r="P28">
        <f>IFERROR(INDEX(Registro!$AB$2:$AB$501,MATCH($A28&amp;"|"&amp;9,Registro!$AA$2:$AA$501,0)),"")</f>
      </c>
      <c r="Q28">
        <f>IFERROR(INDEX(Registro!$AB$2:$AB$501,MATCH($A28&amp;"|"&amp;10,Registro!$AA$2:$AA$501,0)),"")</f>
      </c>
      <c r="R28">
        <f>IFERROR(INDEX(Registro!$AB$2:$AB$501,MATCH($A28&amp;"|"&amp;11,Registro!$AA$2:$AA$501,0)),"")</f>
      </c>
      <c r="S28">
        <f>IFERROR(INDEX(Registro!$AB$2:$AB$501,MATCH($A28&amp;"|"&amp;12,Registro!$AA$2:$AA$501,0)),"")</f>
      </c>
      <c r="T28">
        <f>IFERROR(INDEX('Registro Refuerzo'!$K$2:$K$201,MATCH($A28&amp;"|"&amp;6,'Registro Refuerzo'!$J$2:$J$201,0)),"")</f>
      </c>
      <c r="U28">
        <f>IFERROR(INDEX('Registro Refuerzo'!$K$2:$K$201,MATCH($A28&amp;"|"&amp;7,'Registro Refuerzo'!$J$2:$J$201,0)),"")</f>
      </c>
      <c r="V28">
        <f>IFERROR(INDEX('Registro Refuerzo'!$K$2:$K$201,MATCH($A28&amp;"|"&amp;8,'Registro Refuerzo'!$J$2:$J$201,0)),"")</f>
      </c>
      <c r="W28">
        <f>IFERROR(INDEX('Registro Refuerzo'!$K$2:$K$201,MATCH($A28&amp;"|"&amp;9,'Registro Refuerzo'!$J$2:$J$201,0)),"")</f>
      </c>
      <c r="X28">
        <f>IFERROR(INDEX('Registro Refuerzo'!$K$2:$K$201,MATCH($A28&amp;"|"&amp;10,'Registro Refuerzo'!$J$2:$J$201,0)),"")</f>
      </c>
      <c r="Y28">
        <f>IFERROR(INDEX('Registro Refuerzo'!$K$2:$K$201,MATCH($A28&amp;"|"&amp;11,'Registro Refuerzo'!$J$2:$J$201,0)),"")</f>
      </c>
      <c r="Z28">
        <f>IFERROR(INDEX('Registro Refuerzo'!$K$2:$K$201,MATCH($A28&amp;"|"&amp;12,'Registro Refuerzo'!$J$2:$J$201,0)),"")</f>
      </c>
    </row>
    <row r="29" spans="1:26" ht="15" customHeight="1" x14ac:dyDescent="0.2">
      <c r="A29" t="s">
        <v>58</v>
      </c>
      <c r="B29" t="str">
        <f>IFERROR(INDEX(Registro!$AB$2:$AB$501,MATCH($A29&amp;"|"&amp;1,Registro!$AA$2:$AA$501,0)),"")</f>
        <v/>
      </c>
      <c r="C29" t="str">
        <f>IFERROR(INDEX(Registro!$AB$2:$AB$501,MATCH($A29&amp;"|"&amp;2,Registro!$AA$2:$AA$501,0)),"")</f>
        <v/>
      </c>
      <c r="D29" t="str">
        <f>IFERROR(INDEX(Registro!$AB$2:$AB$501,MATCH($A29&amp;"|"&amp;3,Registro!$AA$2:$AA$501,0)),"")</f>
        <v/>
      </c>
      <c r="E29" t="str">
        <f>IFERROR(INDEX(Registro!$AB$2:$AB$501,MATCH($A29&amp;"|"&amp;4,Registro!$AA$2:$AA$501,0)),"")</f>
        <v/>
      </c>
      <c r="F29" t="str">
        <f>IFERROR(INDEX(Registro!$AB$2:$AB$501,MATCH($A29&amp;"|"&amp;5,Registro!$AA$2:$AA$501,0)),"")</f>
        <v/>
      </c>
      <c r="H29" t="str">
        <f>IFERROR(INDEX('Registro Refuerzo'!$K$2:$K$201,MATCH($A29&amp;"|"&amp;1,'Registro Refuerzo'!$J$2:$J$201,0)),"")</f>
        <v/>
      </c>
      <c r="I29" t="str">
        <f>IFERROR(INDEX('Registro Refuerzo'!$K$2:$K$201,MATCH($A29&amp;"|"&amp;2,'Registro Refuerzo'!$J$2:$J$201,0)),"")</f>
        <v/>
      </c>
      <c r="J29" t="str">
        <f>IFERROR(INDEX('Registro Refuerzo'!$K$2:$K$201,MATCH($A29&amp;"|"&amp;3,'Registro Refuerzo'!$J$2:$J$201,0)),"")</f>
        <v/>
      </c>
      <c r="K29" t="str">
        <f>IFERROR(INDEX('Registro Refuerzo'!$K$2:$K$201,MATCH($A29&amp;"|"&amp;4,'Registro Refuerzo'!$J$2:$J$201,0)),"")</f>
        <v/>
      </c>
      <c r="L29" t="str">
        <f>IFERROR(INDEX('Registro Refuerzo'!$K$2:$K$201,MATCH($A29&amp;"|"&amp;5,'Registro Refuerzo'!$J$2:$J$201,0)),"")</f>
        <v/>
      </c>
      <c r="M29">
        <f>IFERROR(INDEX(Registro!$AB$2:$AB$501,MATCH($A29&amp;"|"&amp;6,Registro!$AA$2:$AA$501,0)),"")</f>
      </c>
      <c r="N29">
        <f>IFERROR(INDEX(Registro!$AB$2:$AB$501,MATCH($A29&amp;"|"&amp;7,Registro!$AA$2:$AA$501,0)),"")</f>
      </c>
      <c r="O29">
        <f>IFERROR(INDEX(Registro!$AB$2:$AB$501,MATCH($A29&amp;"|"&amp;8,Registro!$AA$2:$AA$501,0)),"")</f>
      </c>
      <c r="P29">
        <f>IFERROR(INDEX(Registro!$AB$2:$AB$501,MATCH($A29&amp;"|"&amp;9,Registro!$AA$2:$AA$501,0)),"")</f>
      </c>
      <c r="Q29">
        <f>IFERROR(INDEX(Registro!$AB$2:$AB$501,MATCH($A29&amp;"|"&amp;10,Registro!$AA$2:$AA$501,0)),"")</f>
      </c>
      <c r="R29">
        <f>IFERROR(INDEX(Registro!$AB$2:$AB$501,MATCH($A29&amp;"|"&amp;11,Registro!$AA$2:$AA$501,0)),"")</f>
      </c>
      <c r="S29">
        <f>IFERROR(INDEX(Registro!$AB$2:$AB$501,MATCH($A29&amp;"|"&amp;12,Registro!$AA$2:$AA$501,0)),"")</f>
      </c>
      <c r="T29">
        <f>IFERROR(INDEX('Registro Refuerzo'!$K$2:$K$201,MATCH($A29&amp;"|"&amp;6,'Registro Refuerzo'!$J$2:$J$201,0)),"")</f>
      </c>
      <c r="U29">
        <f>IFERROR(INDEX('Registro Refuerzo'!$K$2:$K$201,MATCH($A29&amp;"|"&amp;7,'Registro Refuerzo'!$J$2:$J$201,0)),"")</f>
      </c>
      <c r="V29">
        <f>IFERROR(INDEX('Registro Refuerzo'!$K$2:$K$201,MATCH($A29&amp;"|"&amp;8,'Registro Refuerzo'!$J$2:$J$201,0)),"")</f>
      </c>
      <c r="W29">
        <f>IFERROR(INDEX('Registro Refuerzo'!$K$2:$K$201,MATCH($A29&amp;"|"&amp;9,'Registro Refuerzo'!$J$2:$J$201,0)),"")</f>
      </c>
      <c r="X29">
        <f>IFERROR(INDEX('Registro Refuerzo'!$K$2:$K$201,MATCH($A29&amp;"|"&amp;10,'Registro Refuerzo'!$J$2:$J$201,0)),"")</f>
      </c>
      <c r="Y29">
        <f>IFERROR(INDEX('Registro Refuerzo'!$K$2:$K$201,MATCH($A29&amp;"|"&amp;11,'Registro Refuerzo'!$J$2:$J$201,0)),"")</f>
      </c>
      <c r="Z29">
        <f>IFERROR(INDEX('Registro Refuerzo'!$K$2:$K$201,MATCH($A29&amp;"|"&amp;12,'Registro Refuerzo'!$J$2:$J$201,0)),"")</f>
      </c>
    </row>
    <row r="30" spans="1:26" ht="15" customHeight="1" x14ac:dyDescent="0.2">
      <c r="A30" t="s">
        <v>59</v>
      </c>
      <c r="B30" t="str">
        <f>IFERROR(INDEX(Registro!$AB$2:$AB$501,MATCH($A30&amp;"|"&amp;1,Registro!$AA$2:$AA$501,0)),"")</f>
        <v/>
      </c>
      <c r="C30" t="str">
        <f>IFERROR(INDEX(Registro!$AB$2:$AB$501,MATCH($A30&amp;"|"&amp;2,Registro!$AA$2:$AA$501,0)),"")</f>
        <v/>
      </c>
      <c r="D30" t="str">
        <f>IFERROR(INDEX(Registro!$AB$2:$AB$501,MATCH($A30&amp;"|"&amp;3,Registro!$AA$2:$AA$501,0)),"")</f>
        <v/>
      </c>
      <c r="E30" t="str">
        <f>IFERROR(INDEX(Registro!$AB$2:$AB$501,MATCH($A30&amp;"|"&amp;4,Registro!$AA$2:$AA$501,0)),"")</f>
        <v/>
      </c>
      <c r="F30" t="str">
        <f>IFERROR(INDEX(Registro!$AB$2:$AB$501,MATCH($A30&amp;"|"&amp;5,Registro!$AA$2:$AA$501,0)),"")</f>
        <v/>
      </c>
      <c r="H30" t="str">
        <f>IFERROR(INDEX('Registro Refuerzo'!$K$2:$K$201,MATCH($A30&amp;"|"&amp;1,'Registro Refuerzo'!$J$2:$J$201,0)),"")</f>
        <v/>
      </c>
      <c r="I30" t="str">
        <f>IFERROR(INDEX('Registro Refuerzo'!$K$2:$K$201,MATCH($A30&amp;"|"&amp;2,'Registro Refuerzo'!$J$2:$J$201,0)),"")</f>
        <v/>
      </c>
      <c r="J30" t="str">
        <f>IFERROR(INDEX('Registro Refuerzo'!$K$2:$K$201,MATCH($A30&amp;"|"&amp;3,'Registro Refuerzo'!$J$2:$J$201,0)),"")</f>
        <v/>
      </c>
      <c r="K30" t="str">
        <f>IFERROR(INDEX('Registro Refuerzo'!$K$2:$K$201,MATCH($A30&amp;"|"&amp;4,'Registro Refuerzo'!$J$2:$J$201,0)),"")</f>
        <v/>
      </c>
      <c r="L30" t="str">
        <f>IFERROR(INDEX('Registro Refuerzo'!$K$2:$K$201,MATCH($A30&amp;"|"&amp;5,'Registro Refuerzo'!$J$2:$J$201,0)),"")</f>
        <v/>
      </c>
      <c r="M30">
        <f>IFERROR(INDEX(Registro!$AB$2:$AB$501,MATCH($A30&amp;"|"&amp;6,Registro!$AA$2:$AA$501,0)),"")</f>
      </c>
      <c r="N30">
        <f>IFERROR(INDEX(Registro!$AB$2:$AB$501,MATCH($A30&amp;"|"&amp;7,Registro!$AA$2:$AA$501,0)),"")</f>
      </c>
      <c r="O30">
        <f>IFERROR(INDEX(Registro!$AB$2:$AB$501,MATCH($A30&amp;"|"&amp;8,Registro!$AA$2:$AA$501,0)),"")</f>
      </c>
      <c r="P30">
        <f>IFERROR(INDEX(Registro!$AB$2:$AB$501,MATCH($A30&amp;"|"&amp;9,Registro!$AA$2:$AA$501,0)),"")</f>
      </c>
      <c r="Q30">
        <f>IFERROR(INDEX(Registro!$AB$2:$AB$501,MATCH($A30&amp;"|"&amp;10,Registro!$AA$2:$AA$501,0)),"")</f>
      </c>
      <c r="R30">
        <f>IFERROR(INDEX(Registro!$AB$2:$AB$501,MATCH($A30&amp;"|"&amp;11,Registro!$AA$2:$AA$501,0)),"")</f>
      </c>
      <c r="S30">
        <f>IFERROR(INDEX(Registro!$AB$2:$AB$501,MATCH($A30&amp;"|"&amp;12,Registro!$AA$2:$AA$501,0)),"")</f>
      </c>
      <c r="T30">
        <f>IFERROR(INDEX('Registro Refuerzo'!$K$2:$K$201,MATCH($A30&amp;"|"&amp;6,'Registro Refuerzo'!$J$2:$J$201,0)),"")</f>
      </c>
      <c r="U30">
        <f>IFERROR(INDEX('Registro Refuerzo'!$K$2:$K$201,MATCH($A30&amp;"|"&amp;7,'Registro Refuerzo'!$J$2:$J$201,0)),"")</f>
      </c>
      <c r="V30">
        <f>IFERROR(INDEX('Registro Refuerzo'!$K$2:$K$201,MATCH($A30&amp;"|"&amp;8,'Registro Refuerzo'!$J$2:$J$201,0)),"")</f>
      </c>
      <c r="W30">
        <f>IFERROR(INDEX('Registro Refuerzo'!$K$2:$K$201,MATCH($A30&amp;"|"&amp;9,'Registro Refuerzo'!$J$2:$J$201,0)),"")</f>
      </c>
      <c r="X30">
        <f>IFERROR(INDEX('Registro Refuerzo'!$K$2:$K$201,MATCH($A30&amp;"|"&amp;10,'Registro Refuerzo'!$J$2:$J$201,0)),"")</f>
      </c>
      <c r="Y30">
        <f>IFERROR(INDEX('Registro Refuerzo'!$K$2:$K$201,MATCH($A30&amp;"|"&amp;11,'Registro Refuerzo'!$J$2:$J$201,0)),"")</f>
      </c>
      <c r="Z30">
        <f>IFERROR(INDEX('Registro Refuerzo'!$K$2:$K$201,MATCH($A30&amp;"|"&amp;12,'Registro Refuerzo'!$J$2:$J$201,0)),"")</f>
      </c>
    </row>
    <row r="31" spans="1:26" ht="15" customHeight="1" x14ac:dyDescent="0.2">
      <c r="A31" t="s">
        <v>60</v>
      </c>
      <c r="B31" t="str">
        <f>IFERROR(INDEX(Registro!$AB$2:$AB$501,MATCH($A31&amp;"|"&amp;1,Registro!$AA$2:$AA$501,0)),"")</f>
        <v/>
      </c>
      <c r="C31" t="str">
        <f>IFERROR(INDEX(Registro!$AB$2:$AB$501,MATCH($A31&amp;"|"&amp;2,Registro!$AA$2:$AA$501,0)),"")</f>
        <v/>
      </c>
      <c r="D31" t="str">
        <f>IFERROR(INDEX(Registro!$AB$2:$AB$501,MATCH($A31&amp;"|"&amp;3,Registro!$AA$2:$AA$501,0)),"")</f>
        <v/>
      </c>
      <c r="E31" t="str">
        <f>IFERROR(INDEX(Registro!$AB$2:$AB$501,MATCH($A31&amp;"|"&amp;4,Registro!$AA$2:$AA$501,0)),"")</f>
        <v/>
      </c>
      <c r="F31" t="str">
        <f>IFERROR(INDEX(Registro!$AB$2:$AB$501,MATCH($A31&amp;"|"&amp;5,Registro!$AA$2:$AA$501,0)),"")</f>
        <v/>
      </c>
      <c r="H31" t="str">
        <f>IFERROR(INDEX('Registro Refuerzo'!$K$2:$K$201,MATCH($A31&amp;"|"&amp;1,'Registro Refuerzo'!$J$2:$J$201,0)),"")</f>
        <v/>
      </c>
      <c r="I31" t="str">
        <f>IFERROR(INDEX('Registro Refuerzo'!$K$2:$K$201,MATCH($A31&amp;"|"&amp;2,'Registro Refuerzo'!$J$2:$J$201,0)),"")</f>
        <v/>
      </c>
      <c r="J31" t="str">
        <f>IFERROR(INDEX('Registro Refuerzo'!$K$2:$K$201,MATCH($A31&amp;"|"&amp;3,'Registro Refuerzo'!$J$2:$J$201,0)),"")</f>
        <v/>
      </c>
      <c r="K31" t="str">
        <f>IFERROR(INDEX('Registro Refuerzo'!$K$2:$K$201,MATCH($A31&amp;"|"&amp;4,'Registro Refuerzo'!$J$2:$J$201,0)),"")</f>
        <v/>
      </c>
      <c r="L31" t="str">
        <f>IFERROR(INDEX('Registro Refuerzo'!$K$2:$K$201,MATCH($A31&amp;"|"&amp;5,'Registro Refuerzo'!$J$2:$J$201,0)),"")</f>
        <v/>
      </c>
      <c r="M31">
        <f>IFERROR(INDEX(Registro!$AB$2:$AB$501,MATCH($A31&amp;"|"&amp;6,Registro!$AA$2:$AA$501,0)),"")</f>
      </c>
      <c r="N31">
        <f>IFERROR(INDEX(Registro!$AB$2:$AB$501,MATCH($A31&amp;"|"&amp;7,Registro!$AA$2:$AA$501,0)),"")</f>
      </c>
      <c r="O31">
        <f>IFERROR(INDEX(Registro!$AB$2:$AB$501,MATCH($A31&amp;"|"&amp;8,Registro!$AA$2:$AA$501,0)),"")</f>
      </c>
      <c r="P31">
        <f>IFERROR(INDEX(Registro!$AB$2:$AB$501,MATCH($A31&amp;"|"&amp;9,Registro!$AA$2:$AA$501,0)),"")</f>
      </c>
      <c r="Q31">
        <f>IFERROR(INDEX(Registro!$AB$2:$AB$501,MATCH($A31&amp;"|"&amp;10,Registro!$AA$2:$AA$501,0)),"")</f>
      </c>
      <c r="R31">
        <f>IFERROR(INDEX(Registro!$AB$2:$AB$501,MATCH($A31&amp;"|"&amp;11,Registro!$AA$2:$AA$501,0)),"")</f>
      </c>
      <c r="S31">
        <f>IFERROR(INDEX(Registro!$AB$2:$AB$501,MATCH($A31&amp;"|"&amp;12,Registro!$AA$2:$AA$501,0)),"")</f>
      </c>
      <c r="T31">
        <f>IFERROR(INDEX('Registro Refuerzo'!$K$2:$K$201,MATCH($A31&amp;"|"&amp;6,'Registro Refuerzo'!$J$2:$J$201,0)),"")</f>
      </c>
      <c r="U31">
        <f>IFERROR(INDEX('Registro Refuerzo'!$K$2:$K$201,MATCH($A31&amp;"|"&amp;7,'Registro Refuerzo'!$J$2:$J$201,0)),"")</f>
      </c>
      <c r="V31">
        <f>IFERROR(INDEX('Registro Refuerzo'!$K$2:$K$201,MATCH($A31&amp;"|"&amp;8,'Registro Refuerzo'!$J$2:$J$201,0)),"")</f>
      </c>
      <c r="W31">
        <f>IFERROR(INDEX('Registro Refuerzo'!$K$2:$K$201,MATCH($A31&amp;"|"&amp;9,'Registro Refuerzo'!$J$2:$J$201,0)),"")</f>
      </c>
      <c r="X31">
        <f>IFERROR(INDEX('Registro Refuerzo'!$K$2:$K$201,MATCH($A31&amp;"|"&amp;10,'Registro Refuerzo'!$J$2:$J$201,0)),"")</f>
      </c>
      <c r="Y31">
        <f>IFERROR(INDEX('Registro Refuerzo'!$K$2:$K$201,MATCH($A31&amp;"|"&amp;11,'Registro Refuerzo'!$J$2:$J$201,0)),"")</f>
      </c>
      <c r="Z31">
        <f>IFERROR(INDEX('Registro Refuerzo'!$K$2:$K$201,MATCH($A31&amp;"|"&amp;12,'Registro Refuerzo'!$J$2:$J$201,0)),"")</f>
      </c>
    </row>
    <row r="32" spans="1:26" ht="15" customHeight="1" x14ac:dyDescent="0.2">
      <c r="A32" t="s">
        <v>61</v>
      </c>
      <c r="B32" t="str">
        <f>IFERROR(INDEX(Registro!$AB$2:$AB$501,MATCH($A32&amp;"|"&amp;1,Registro!$AA$2:$AA$501,0)),"")</f>
        <v/>
      </c>
      <c r="C32" t="str">
        <f>IFERROR(INDEX(Registro!$AB$2:$AB$501,MATCH($A32&amp;"|"&amp;2,Registro!$AA$2:$AA$501,0)),"")</f>
        <v/>
      </c>
      <c r="D32" t="str">
        <f>IFERROR(INDEX(Registro!$AB$2:$AB$501,MATCH($A32&amp;"|"&amp;3,Registro!$AA$2:$AA$501,0)),"")</f>
        <v/>
      </c>
      <c r="E32" t="str">
        <f>IFERROR(INDEX(Registro!$AB$2:$AB$501,MATCH($A32&amp;"|"&amp;4,Registro!$AA$2:$AA$501,0)),"")</f>
        <v/>
      </c>
      <c r="F32" t="str">
        <f>IFERROR(INDEX(Registro!$AB$2:$AB$501,MATCH($A32&amp;"|"&amp;5,Registro!$AA$2:$AA$501,0)),"")</f>
        <v/>
      </c>
      <c r="H32" t="str">
        <f>IFERROR(INDEX('Registro Refuerzo'!$K$2:$K$201,MATCH($A32&amp;"|"&amp;1,'Registro Refuerzo'!$J$2:$J$201,0)),"")</f>
        <v/>
      </c>
      <c r="I32" t="str">
        <f>IFERROR(INDEX('Registro Refuerzo'!$K$2:$K$201,MATCH($A32&amp;"|"&amp;2,'Registro Refuerzo'!$J$2:$J$201,0)),"")</f>
        <v/>
      </c>
      <c r="J32" t="str">
        <f>IFERROR(INDEX('Registro Refuerzo'!$K$2:$K$201,MATCH($A32&amp;"|"&amp;3,'Registro Refuerzo'!$J$2:$J$201,0)),"")</f>
        <v/>
      </c>
      <c r="K32" t="str">
        <f>IFERROR(INDEX('Registro Refuerzo'!$K$2:$K$201,MATCH($A32&amp;"|"&amp;4,'Registro Refuerzo'!$J$2:$J$201,0)),"")</f>
        <v/>
      </c>
      <c r="L32" t="str">
        <f>IFERROR(INDEX('Registro Refuerzo'!$K$2:$K$201,MATCH($A32&amp;"|"&amp;5,'Registro Refuerzo'!$J$2:$J$201,0)),"")</f>
        <v/>
      </c>
      <c r="M32">
        <f>IFERROR(INDEX(Registro!$AB$2:$AB$501,MATCH($A32&amp;"|"&amp;6,Registro!$AA$2:$AA$501,0)),"")</f>
      </c>
      <c r="N32">
        <f>IFERROR(INDEX(Registro!$AB$2:$AB$501,MATCH($A32&amp;"|"&amp;7,Registro!$AA$2:$AA$501,0)),"")</f>
      </c>
      <c r="O32">
        <f>IFERROR(INDEX(Registro!$AB$2:$AB$501,MATCH($A32&amp;"|"&amp;8,Registro!$AA$2:$AA$501,0)),"")</f>
      </c>
      <c r="P32">
        <f>IFERROR(INDEX(Registro!$AB$2:$AB$501,MATCH($A32&amp;"|"&amp;9,Registro!$AA$2:$AA$501,0)),"")</f>
      </c>
      <c r="Q32">
        <f>IFERROR(INDEX(Registro!$AB$2:$AB$501,MATCH($A32&amp;"|"&amp;10,Registro!$AA$2:$AA$501,0)),"")</f>
      </c>
      <c r="R32">
        <f>IFERROR(INDEX(Registro!$AB$2:$AB$501,MATCH($A32&amp;"|"&amp;11,Registro!$AA$2:$AA$501,0)),"")</f>
      </c>
      <c r="S32">
        <f>IFERROR(INDEX(Registro!$AB$2:$AB$501,MATCH($A32&amp;"|"&amp;12,Registro!$AA$2:$AA$501,0)),"")</f>
      </c>
      <c r="T32">
        <f>IFERROR(INDEX('Registro Refuerzo'!$K$2:$K$201,MATCH($A32&amp;"|"&amp;6,'Registro Refuerzo'!$J$2:$J$201,0)),"")</f>
      </c>
      <c r="U32">
        <f>IFERROR(INDEX('Registro Refuerzo'!$K$2:$K$201,MATCH($A32&amp;"|"&amp;7,'Registro Refuerzo'!$J$2:$J$201,0)),"")</f>
      </c>
      <c r="V32">
        <f>IFERROR(INDEX('Registro Refuerzo'!$K$2:$K$201,MATCH($A32&amp;"|"&amp;8,'Registro Refuerzo'!$J$2:$J$201,0)),"")</f>
      </c>
      <c r="W32">
        <f>IFERROR(INDEX('Registro Refuerzo'!$K$2:$K$201,MATCH($A32&amp;"|"&amp;9,'Registro Refuerzo'!$J$2:$J$201,0)),"")</f>
      </c>
      <c r="X32">
        <f>IFERROR(INDEX('Registro Refuerzo'!$K$2:$K$201,MATCH($A32&amp;"|"&amp;10,'Registro Refuerzo'!$J$2:$J$201,0)),"")</f>
      </c>
      <c r="Y32">
        <f>IFERROR(INDEX('Registro Refuerzo'!$K$2:$K$201,MATCH($A32&amp;"|"&amp;11,'Registro Refuerzo'!$J$2:$J$201,0)),"")</f>
      </c>
      <c r="Z32">
        <f>IFERROR(INDEX('Registro Refuerzo'!$K$2:$K$201,MATCH($A32&amp;"|"&amp;12,'Registro Refuerzo'!$J$2:$J$201,0)),"")</f>
      </c>
    </row>
    <row r="33" spans="1:26" ht="15" customHeight="1" x14ac:dyDescent="0.2">
      <c r="A33" t="s">
        <v>62</v>
      </c>
      <c r="B33" t="str">
        <f>IFERROR(INDEX(Registro!$AB$2:$AB$501,MATCH($A33&amp;"|"&amp;1,Registro!$AA$2:$AA$501,0)),"")</f>
        <v/>
      </c>
      <c r="C33" t="str">
        <f>IFERROR(INDEX(Registro!$AB$2:$AB$501,MATCH($A33&amp;"|"&amp;2,Registro!$AA$2:$AA$501,0)),"")</f>
        <v/>
      </c>
      <c r="D33" t="str">
        <f>IFERROR(INDEX(Registro!$AB$2:$AB$501,MATCH($A33&amp;"|"&amp;3,Registro!$AA$2:$AA$501,0)),"")</f>
        <v/>
      </c>
      <c r="E33" t="str">
        <f>IFERROR(INDEX(Registro!$AB$2:$AB$501,MATCH($A33&amp;"|"&amp;4,Registro!$AA$2:$AA$501,0)),"")</f>
        <v/>
      </c>
      <c r="F33" t="str">
        <f>IFERROR(INDEX(Registro!$AB$2:$AB$501,MATCH($A33&amp;"|"&amp;5,Registro!$AA$2:$AA$501,0)),"")</f>
        <v/>
      </c>
      <c r="H33" t="str">
        <f>IFERROR(INDEX('Registro Refuerzo'!$K$2:$K$201,MATCH($A33&amp;"|"&amp;1,'Registro Refuerzo'!$J$2:$J$201,0)),"")</f>
        <v/>
      </c>
      <c r="I33" t="str">
        <f>IFERROR(INDEX('Registro Refuerzo'!$K$2:$K$201,MATCH($A33&amp;"|"&amp;2,'Registro Refuerzo'!$J$2:$J$201,0)),"")</f>
        <v/>
      </c>
      <c r="J33" t="str">
        <f>IFERROR(INDEX('Registro Refuerzo'!$K$2:$K$201,MATCH($A33&amp;"|"&amp;3,'Registro Refuerzo'!$J$2:$J$201,0)),"")</f>
        <v/>
      </c>
      <c r="K33" t="str">
        <f>IFERROR(INDEX('Registro Refuerzo'!$K$2:$K$201,MATCH($A33&amp;"|"&amp;4,'Registro Refuerzo'!$J$2:$J$201,0)),"")</f>
        <v/>
      </c>
      <c r="L33" t="str">
        <f>IFERROR(INDEX('Registro Refuerzo'!$K$2:$K$201,MATCH($A33&amp;"|"&amp;5,'Registro Refuerzo'!$J$2:$J$201,0)),"")</f>
        <v/>
      </c>
      <c r="M33">
        <f>IFERROR(INDEX(Registro!$AB$2:$AB$501,MATCH($A33&amp;"|"&amp;6,Registro!$AA$2:$AA$501,0)),"")</f>
      </c>
      <c r="N33">
        <f>IFERROR(INDEX(Registro!$AB$2:$AB$501,MATCH($A33&amp;"|"&amp;7,Registro!$AA$2:$AA$501,0)),"")</f>
      </c>
      <c r="O33">
        <f>IFERROR(INDEX(Registro!$AB$2:$AB$501,MATCH($A33&amp;"|"&amp;8,Registro!$AA$2:$AA$501,0)),"")</f>
      </c>
      <c r="P33">
        <f>IFERROR(INDEX(Registro!$AB$2:$AB$501,MATCH($A33&amp;"|"&amp;9,Registro!$AA$2:$AA$501,0)),"")</f>
      </c>
      <c r="Q33">
        <f>IFERROR(INDEX(Registro!$AB$2:$AB$501,MATCH($A33&amp;"|"&amp;10,Registro!$AA$2:$AA$501,0)),"")</f>
      </c>
      <c r="R33">
        <f>IFERROR(INDEX(Registro!$AB$2:$AB$501,MATCH($A33&amp;"|"&amp;11,Registro!$AA$2:$AA$501,0)),"")</f>
      </c>
      <c r="S33">
        <f>IFERROR(INDEX(Registro!$AB$2:$AB$501,MATCH($A33&amp;"|"&amp;12,Registro!$AA$2:$AA$501,0)),"")</f>
      </c>
      <c r="T33">
        <f>IFERROR(INDEX('Registro Refuerzo'!$K$2:$K$201,MATCH($A33&amp;"|"&amp;6,'Registro Refuerzo'!$J$2:$J$201,0)),"")</f>
      </c>
      <c r="U33">
        <f>IFERROR(INDEX('Registro Refuerzo'!$K$2:$K$201,MATCH($A33&amp;"|"&amp;7,'Registro Refuerzo'!$J$2:$J$201,0)),"")</f>
      </c>
      <c r="V33">
        <f>IFERROR(INDEX('Registro Refuerzo'!$K$2:$K$201,MATCH($A33&amp;"|"&amp;8,'Registro Refuerzo'!$J$2:$J$201,0)),"")</f>
      </c>
      <c r="W33">
        <f>IFERROR(INDEX('Registro Refuerzo'!$K$2:$K$201,MATCH($A33&amp;"|"&amp;9,'Registro Refuerzo'!$J$2:$J$201,0)),"")</f>
      </c>
      <c r="X33">
        <f>IFERROR(INDEX('Registro Refuerzo'!$K$2:$K$201,MATCH($A33&amp;"|"&amp;10,'Registro Refuerzo'!$J$2:$J$201,0)),"")</f>
      </c>
      <c r="Y33">
        <f>IFERROR(INDEX('Registro Refuerzo'!$K$2:$K$201,MATCH($A33&amp;"|"&amp;11,'Registro Refuerzo'!$J$2:$J$201,0)),"")</f>
      </c>
      <c r="Z33">
        <f>IFERROR(INDEX('Registro Refuerzo'!$K$2:$K$201,MATCH($A33&amp;"|"&amp;12,'Registro Refuerzo'!$J$2:$J$201,0)),"")</f>
      </c>
    </row>
  </sheetData>
  <sheetProtection sheet="1" objects="1" scenarios="1" formatCells="1" formatColumns="1" formatRows="1" insertColumns="1" insertRows="1" insertHyperlinks="1" deleteColumns="1" deleteRows="1" sort="1" autoFilter="0" pivotTables="1" selectLockedCells="0" selectUnlockedCell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4"/>
  <sheetViews>
    <sheetView zoomScaleNormal="100" workbookViewId="0">
      <selection sqref="A1:D1"/>
    </sheetView>
  </sheetViews>
  <sheetFormatPr baseColWidth="10" defaultColWidth="8.6640625" defaultRowHeight="15" customHeight="1" x14ac:dyDescent="0.2"/>
  <cols>
    <col min="1" max="1" width="50" customWidth="1"/>
    <col min="2" max="3" width="16" customWidth="1"/>
    <col min="4" max="4" width="60" customWidth="1"/>
  </cols>
  <sheetData>
    <row r="1" spans="1:4" ht="43.5" customHeight="1" x14ac:dyDescent="0.2">
      <c r="A1" s="46" t="s">
        <v>113</v>
      </c>
      <c r="B1" s="47"/>
      <c r="C1" s="47"/>
      <c r="D1" s="47"/>
    </row>
    <row r="2" spans="1:4" ht="7.5" customHeight="1" x14ac:dyDescent="0.2"/>
    <row r="3" spans="1:4" ht="27.75" customHeight="1" x14ac:dyDescent="0.2">
      <c r="A3" s="48" t="s">
        <v>114</v>
      </c>
      <c r="B3" s="47"/>
      <c r="C3" s="47"/>
      <c r="D3" s="47"/>
    </row>
    <row r="4" spans="1:4" ht="30" customHeight="1" x14ac:dyDescent="0.2">
      <c r="A4" s="41" t="s">
        <v>65</v>
      </c>
      <c r="B4" s="41" t="s">
        <v>115</v>
      </c>
      <c r="C4" s="41" t="inlineStr">
        <is>
          <t xml:space="preserve">Refuerzos
(sin vacante)</t>
        </is>
      </c>
      <c r="D4" s="41" t="s">
        <v>117</v>
      </c>
    </row>
    <row r="5" spans="1:4" ht="19.5" customHeight="1" x14ac:dyDescent="0.2">
      <c r="A5" s="30" t="s">
        <v>14</v>
      </c>
      <c r="B5" s="42"/>
      <c r="C5" s="42">
        <f>COUNTIFS('Registro Refuerzo'!$D$2:$D$201,A5,'Registro Refuerzo'!$H$2:$H$201,"Activo")</f>
        <v>0</v>
      </c>
      <c r="D5" s="43">
        <f>IF(B5+C5=0,"Sin refuerzos activos",IF(B5&gt;0,'Aux Refuerzo'!B2 &amp; IF('Aux Refuerzo'!C2&lt;&gt;""," | "&amp;'Aux Refuerzo'!C2,"") &amp; IF('Aux Refuerzo'!D2&lt;&gt;""," | "&amp;'Aux Refuerzo'!D2,"") &amp; IF('Aux Refuerzo'!E2&lt;&gt;""," | "&amp;'Aux Refuerzo'!E2,"") &amp; IF('Aux Refuerzo'!F2&lt;&gt;""," | "&amp;'Aux Refuerzo'!F2,"") &amp; IF('Aux Refuerzo'!M2&lt;&gt;""," | "&amp;'Aux Refuerzo'!M2,"") &amp; IF('Aux Refuerzo'!N2&lt;&gt;""," | "&amp;'Aux Refuerzo'!N2,"") &amp; IF('Aux Refuerzo'!O2&lt;&gt;""," | "&amp;'Aux Refuerzo'!O2,"") &amp; IF('Aux Refuerzo'!P2&lt;&gt;""," | "&amp;'Aux Refuerzo'!P2,"") &amp; IF('Aux Refuerzo'!Q2&lt;&gt;""," | "&amp;'Aux Refuerzo'!Q2,"") &amp; IF('Aux Refuerzo'!R2&lt;&gt;""," | "&amp;'Aux Refuerzo'!R2,"") &amp; IF('Aux Refuerzo'!S2&lt;&gt;""," | "&amp;'Aux Refuerzo'!S2,"") &amp; IF(B5&gt;12," | (+"&amp;(B5-12)&amp;" más)",""),"")&amp;IF(C5&gt;0,IF(B5&gt;0," | ","")&amp;'Aux Refuerzo'!H2 &amp; IF('Aux Refuerzo'!I2&lt;&gt;""," | "&amp;'Aux Refuerzo'!I2,"") &amp; IF('Aux Refuerzo'!J2&lt;&gt;""," | "&amp;'Aux Refuerzo'!J2,"") &amp; IF('Aux Refuerzo'!K2&lt;&gt;""," | "&amp;'Aux Refuerzo'!K2,"") &amp; IF('Aux Refuerzo'!L2&lt;&gt;""," | "&amp;'Aux Refuerzo'!L2,"") &amp; IF('Aux Refuerzo'!T2&lt;&gt;""," | "&amp;'Aux Refuerzo'!T2,"") &amp; IF('Aux Refuerzo'!U2&lt;&gt;""," | "&amp;'Aux Refuerzo'!U2,"") &amp; IF('Aux Refuerzo'!V2&lt;&gt;""," | "&amp;'Aux Refuerzo'!V2,"") &amp; IF('Aux Refuerzo'!W2&lt;&gt;""," | "&amp;'Aux Refuerzo'!W2,"") &amp; IF('Aux Refuerzo'!X2&lt;&gt;""," | "&amp;'Aux Refuerzo'!X2,"") &amp; IF('Aux Refuerzo'!Y2&lt;&gt;""," | "&amp;'Aux Refuerzo'!Y2,"") &amp; IF('Aux Refuerzo'!Z2&lt;&gt;""," | "&amp;'Aux Refuerzo'!Z2,"") &amp; IF(C5&gt;12," | (+"&amp;(C5-12)&amp;" más)",""),""))</f>
      </c>
    </row>
    <row r="6" spans="1:4" ht="19.5" customHeight="1" x14ac:dyDescent="0.2">
      <c r="A6" s="34" t="s">
        <v>22</v>
      </c>
      <c r="B6" s="42"/>
      <c r="C6" s="42">
        <f>COUNTIFS('Registro Refuerzo'!$D$2:$D$201,A6,'Registro Refuerzo'!$H$2:$H$201,"Activo")</f>
        <v>0</v>
      </c>
      <c r="D6" s="43">
        <f>IF(B6+C6=0,"Sin refuerzos activos",IF(B6&gt;0,'Aux Refuerzo'!B3 &amp; IF('Aux Refuerzo'!C3&lt;&gt;""," | "&amp;'Aux Refuerzo'!C3,"") &amp; IF('Aux Refuerzo'!D3&lt;&gt;""," | "&amp;'Aux Refuerzo'!D3,"") &amp; IF('Aux Refuerzo'!E3&lt;&gt;""," | "&amp;'Aux Refuerzo'!E3,"") &amp; IF('Aux Refuerzo'!F3&lt;&gt;""," | "&amp;'Aux Refuerzo'!F3,"") &amp; IF('Aux Refuerzo'!M3&lt;&gt;""," | "&amp;'Aux Refuerzo'!M3,"") &amp; IF('Aux Refuerzo'!N3&lt;&gt;""," | "&amp;'Aux Refuerzo'!N3,"") &amp; IF('Aux Refuerzo'!O3&lt;&gt;""," | "&amp;'Aux Refuerzo'!O3,"") &amp; IF('Aux Refuerzo'!P3&lt;&gt;""," | "&amp;'Aux Refuerzo'!P3,"") &amp; IF('Aux Refuerzo'!Q3&lt;&gt;""," | "&amp;'Aux Refuerzo'!Q3,"") &amp; IF('Aux Refuerzo'!R3&lt;&gt;""," | "&amp;'Aux Refuerzo'!R3,"") &amp; IF('Aux Refuerzo'!S3&lt;&gt;""," | "&amp;'Aux Refuerzo'!S3,"") &amp; IF(B6&gt;12," | (+"&amp;(B6-12)&amp;" más)",""),"")&amp;IF(C6&gt;0,IF(B6&gt;0," | ","")&amp;'Aux Refuerzo'!H3 &amp; IF('Aux Refuerzo'!I3&lt;&gt;""," | "&amp;'Aux Refuerzo'!I3,"") &amp; IF('Aux Refuerzo'!J3&lt;&gt;""," | "&amp;'Aux Refuerzo'!J3,"") &amp; IF('Aux Refuerzo'!K3&lt;&gt;""," | "&amp;'Aux Refuerzo'!K3,"") &amp; IF('Aux Refuerzo'!L3&lt;&gt;""," | "&amp;'Aux Refuerzo'!L3,"") &amp; IF('Aux Refuerzo'!T3&lt;&gt;""," | "&amp;'Aux Refuerzo'!T3,"") &amp; IF('Aux Refuerzo'!U3&lt;&gt;""," | "&amp;'Aux Refuerzo'!U3,"") &amp; IF('Aux Refuerzo'!V3&lt;&gt;""," | "&amp;'Aux Refuerzo'!V3,"") &amp; IF('Aux Refuerzo'!W3&lt;&gt;""," | "&amp;'Aux Refuerzo'!W3,"") &amp; IF('Aux Refuerzo'!X3&lt;&gt;""," | "&amp;'Aux Refuerzo'!X3,"") &amp; IF('Aux Refuerzo'!Y3&lt;&gt;""," | "&amp;'Aux Refuerzo'!Y3,"") &amp; IF('Aux Refuerzo'!Z3&lt;&gt;""," | "&amp;'Aux Refuerzo'!Z3,"") &amp; IF(C6&gt;12," | (+"&amp;(C6-12)&amp;" más)",""),""))</f>
      </c>
    </row>
    <row r="7" spans="1:4" ht="19.5" customHeight="1" x14ac:dyDescent="0.2">
      <c r="A7" s="30" t="s">
        <v>28</v>
      </c>
      <c r="B7" s="42"/>
      <c r="C7" s="42">
        <f>COUNTIFS('Registro Refuerzo'!$D$2:$D$201,A7,'Registro Refuerzo'!$H$2:$H$201,"Activo")</f>
        <v>0</v>
      </c>
      <c r="D7" s="43">
        <f>IF(B7+C7=0,"Sin refuerzos activos",IF(B7&gt;0,'Aux Refuerzo'!B4 &amp; IF('Aux Refuerzo'!C4&lt;&gt;""," | "&amp;'Aux Refuerzo'!C4,"") &amp; IF('Aux Refuerzo'!D4&lt;&gt;""," | "&amp;'Aux Refuerzo'!D4,"") &amp; IF('Aux Refuerzo'!E4&lt;&gt;""," | "&amp;'Aux Refuerzo'!E4,"") &amp; IF('Aux Refuerzo'!F4&lt;&gt;""," | "&amp;'Aux Refuerzo'!F4,"") &amp; IF('Aux Refuerzo'!M4&lt;&gt;""," | "&amp;'Aux Refuerzo'!M4,"") &amp; IF('Aux Refuerzo'!N4&lt;&gt;""," | "&amp;'Aux Refuerzo'!N4,"") &amp; IF('Aux Refuerzo'!O4&lt;&gt;""," | "&amp;'Aux Refuerzo'!O4,"") &amp; IF('Aux Refuerzo'!P4&lt;&gt;""," | "&amp;'Aux Refuerzo'!P4,"") &amp; IF('Aux Refuerzo'!Q4&lt;&gt;""," | "&amp;'Aux Refuerzo'!Q4,"") &amp; IF('Aux Refuerzo'!R4&lt;&gt;""," | "&amp;'Aux Refuerzo'!R4,"") &amp; IF('Aux Refuerzo'!S4&lt;&gt;""," | "&amp;'Aux Refuerzo'!S4,"") &amp; IF(B7&gt;12," | (+"&amp;(B7-12)&amp;" más)",""),"")&amp;IF(C7&gt;0,IF(B7&gt;0," | ","")&amp;'Aux Refuerzo'!H4 &amp; IF('Aux Refuerzo'!I4&lt;&gt;""," | "&amp;'Aux Refuerzo'!I4,"") &amp; IF('Aux Refuerzo'!J4&lt;&gt;""," | "&amp;'Aux Refuerzo'!J4,"") &amp; IF('Aux Refuerzo'!K4&lt;&gt;""," | "&amp;'Aux Refuerzo'!K4,"") &amp; IF('Aux Refuerzo'!L4&lt;&gt;""," | "&amp;'Aux Refuerzo'!L4,"") &amp; IF('Aux Refuerzo'!T4&lt;&gt;""," | "&amp;'Aux Refuerzo'!T4,"") &amp; IF('Aux Refuerzo'!U4&lt;&gt;""," | "&amp;'Aux Refuerzo'!U4,"") &amp; IF('Aux Refuerzo'!V4&lt;&gt;""," | "&amp;'Aux Refuerzo'!V4,"") &amp; IF('Aux Refuerzo'!W4&lt;&gt;""," | "&amp;'Aux Refuerzo'!W4,"") &amp; IF('Aux Refuerzo'!X4&lt;&gt;""," | "&amp;'Aux Refuerzo'!X4,"") &amp; IF('Aux Refuerzo'!Y4&lt;&gt;""," | "&amp;'Aux Refuerzo'!Y4,"") &amp; IF('Aux Refuerzo'!Z4&lt;&gt;""," | "&amp;'Aux Refuerzo'!Z4,"") &amp; IF(C7&gt;12," | (+"&amp;(C7-12)&amp;" más)",""),""))</f>
      </c>
    </row>
    <row r="8" spans="1:4" ht="7.5" customHeight="1" x14ac:dyDescent="0.2"/>
    <row r="9" spans="1:4" ht="27.75" customHeight="1" x14ac:dyDescent="0.2">
      <c r="A9" s="49" t="s">
        <v>118</v>
      </c>
      <c r="B9" s="47"/>
      <c r="C9" s="47"/>
      <c r="D9" s="47"/>
    </row>
    <row r="10" spans="1:4" ht="30" customHeight="1" x14ac:dyDescent="0.2">
      <c r="A10" s="3" t="s">
        <v>65</v>
      </c>
      <c r="B10" s="3" t="s">
        <v>115</v>
      </c>
      <c r="C10" s="3" t="inlineStr">
        <is>
          <t xml:space="preserve">Refuerzos
(sin vacante)</t>
        </is>
      </c>
      <c r="D10" s="3" t="s">
        <v>117</v>
      </c>
    </row>
    <row r="11" spans="1:4" ht="19.5" customHeight="1" x14ac:dyDescent="0.2">
      <c r="A11" s="30" t="s">
        <v>8</v>
      </c>
      <c r="B11" s="42">
        <f>COUNTIFS(Registro!$D$2:$D$501,A11,Registro!$O$2:$O$501,"Sí")</f>
        <v>0</v>
      </c>
      <c r="C11" s="42"/>
      <c r="D11" s="43">
        <f>IF(B11+C11=0,"Sin refuerzos activos",IF(B11&gt;0,'Aux Refuerzo'!B5 &amp; IF('Aux Refuerzo'!C5&lt;&gt;""," | "&amp;'Aux Refuerzo'!C5,"") &amp; IF('Aux Refuerzo'!D5&lt;&gt;""," | "&amp;'Aux Refuerzo'!D5,"") &amp; IF('Aux Refuerzo'!E5&lt;&gt;""," | "&amp;'Aux Refuerzo'!E5,"") &amp; IF('Aux Refuerzo'!F5&lt;&gt;""," | "&amp;'Aux Refuerzo'!F5,"") &amp; IF('Aux Refuerzo'!M5&lt;&gt;""," | "&amp;'Aux Refuerzo'!M5,"") &amp; IF('Aux Refuerzo'!N5&lt;&gt;""," | "&amp;'Aux Refuerzo'!N5,"") &amp; IF('Aux Refuerzo'!O5&lt;&gt;""," | "&amp;'Aux Refuerzo'!O5,"") &amp; IF('Aux Refuerzo'!P5&lt;&gt;""," | "&amp;'Aux Refuerzo'!P5,"") &amp; IF('Aux Refuerzo'!Q5&lt;&gt;""," | "&amp;'Aux Refuerzo'!Q5,"") &amp; IF('Aux Refuerzo'!R5&lt;&gt;""," | "&amp;'Aux Refuerzo'!R5,"") &amp; IF('Aux Refuerzo'!S5&lt;&gt;""," | "&amp;'Aux Refuerzo'!S5,"") &amp; IF(B11&gt;12," | (+"&amp;(B11-12)&amp;" más)",""),"")&amp;IF(C11&gt;0,IF(B11&gt;0," | ","")&amp;'Aux Refuerzo'!H5 &amp; IF('Aux Refuerzo'!I5&lt;&gt;""," | "&amp;'Aux Refuerzo'!I5,"") &amp; IF('Aux Refuerzo'!J5&lt;&gt;""," | "&amp;'Aux Refuerzo'!J5,"") &amp; IF('Aux Refuerzo'!K5&lt;&gt;""," | "&amp;'Aux Refuerzo'!K5,"") &amp; IF('Aux Refuerzo'!L5&lt;&gt;""," | "&amp;'Aux Refuerzo'!L5,"") &amp; IF('Aux Refuerzo'!T5&lt;&gt;""," | "&amp;'Aux Refuerzo'!T5,"") &amp; IF('Aux Refuerzo'!U5&lt;&gt;""," | "&amp;'Aux Refuerzo'!U5,"") &amp; IF('Aux Refuerzo'!V5&lt;&gt;""," | "&amp;'Aux Refuerzo'!V5,"") &amp; IF('Aux Refuerzo'!W5&lt;&gt;""," | "&amp;'Aux Refuerzo'!W5,"") &amp; IF('Aux Refuerzo'!X5&lt;&gt;""," | "&amp;'Aux Refuerzo'!X5,"") &amp; IF('Aux Refuerzo'!Y5&lt;&gt;""," | "&amp;'Aux Refuerzo'!Y5,"") &amp; IF('Aux Refuerzo'!Z5&lt;&gt;""," | "&amp;'Aux Refuerzo'!Z5,"") &amp; IF(C11&gt;12," | (+"&amp;(C11-12)&amp;" más)",""),""))</f>
      </c>
    </row>
    <row r="12" spans="1:4" ht="19.5" customHeight="1" x14ac:dyDescent="0.2">
      <c r="A12" s="34" t="s">
        <v>16</v>
      </c>
      <c r="B12" s="42">
        <f>COUNTIFS(Registro!$D$2:$D$501,A12,Registro!$O$2:$O$501,"Sí")</f>
        <v>0</v>
      </c>
      <c r="C12" s="42"/>
      <c r="D12" s="43">
        <f>IF(B12+C12=0,"Sin refuerzos activos",IF(B12&gt;0,'Aux Refuerzo'!B6 &amp; IF('Aux Refuerzo'!C6&lt;&gt;""," | "&amp;'Aux Refuerzo'!C6,"") &amp; IF('Aux Refuerzo'!D6&lt;&gt;""," | "&amp;'Aux Refuerzo'!D6,"") &amp; IF('Aux Refuerzo'!E6&lt;&gt;""," | "&amp;'Aux Refuerzo'!E6,"") &amp; IF('Aux Refuerzo'!F6&lt;&gt;""," | "&amp;'Aux Refuerzo'!F6,"") &amp; IF('Aux Refuerzo'!M6&lt;&gt;""," | "&amp;'Aux Refuerzo'!M6,"") &amp; IF('Aux Refuerzo'!N6&lt;&gt;""," | "&amp;'Aux Refuerzo'!N6,"") &amp; IF('Aux Refuerzo'!O6&lt;&gt;""," | "&amp;'Aux Refuerzo'!O6,"") &amp; IF('Aux Refuerzo'!P6&lt;&gt;""," | "&amp;'Aux Refuerzo'!P6,"") &amp; IF('Aux Refuerzo'!Q6&lt;&gt;""," | "&amp;'Aux Refuerzo'!Q6,"") &amp; IF('Aux Refuerzo'!R6&lt;&gt;""," | "&amp;'Aux Refuerzo'!R6,"") &amp; IF('Aux Refuerzo'!S6&lt;&gt;""," | "&amp;'Aux Refuerzo'!S6,"") &amp; IF(B12&gt;12," | (+"&amp;(B12-12)&amp;" más)",""),"")&amp;IF(C12&gt;0,IF(B12&gt;0," | ","")&amp;'Aux Refuerzo'!H6 &amp; IF('Aux Refuerzo'!I6&lt;&gt;""," | "&amp;'Aux Refuerzo'!I6,"") &amp; IF('Aux Refuerzo'!J6&lt;&gt;""," | "&amp;'Aux Refuerzo'!J6,"") &amp; IF('Aux Refuerzo'!K6&lt;&gt;""," | "&amp;'Aux Refuerzo'!K6,"") &amp; IF('Aux Refuerzo'!L6&lt;&gt;""," | "&amp;'Aux Refuerzo'!L6,"") &amp; IF('Aux Refuerzo'!T6&lt;&gt;""," | "&amp;'Aux Refuerzo'!T6,"") &amp; IF('Aux Refuerzo'!U6&lt;&gt;""," | "&amp;'Aux Refuerzo'!U6,"") &amp; IF('Aux Refuerzo'!V6&lt;&gt;""," | "&amp;'Aux Refuerzo'!V6,"") &amp; IF('Aux Refuerzo'!W6&lt;&gt;""," | "&amp;'Aux Refuerzo'!W6,"") &amp; IF('Aux Refuerzo'!X6&lt;&gt;""," | "&amp;'Aux Refuerzo'!X6,"") &amp; IF('Aux Refuerzo'!Y6&lt;&gt;""," | "&amp;'Aux Refuerzo'!Y6,"") &amp; IF('Aux Refuerzo'!Z6&lt;&gt;""," | "&amp;'Aux Refuerzo'!Z6,"") &amp; IF(C12&gt;12," | (+"&amp;(C12-12)&amp;" más)",""),""))</f>
      </c>
    </row>
    <row r="13" spans="1:4" ht="19.5" customHeight="1" x14ac:dyDescent="0.2">
      <c r="A13" s="30" t="s">
        <v>24</v>
      </c>
      <c r="B13" s="42">
        <f>COUNTIFS(Registro!$D$2:$D$501,A13,Registro!$O$2:$O$501,"Sí")</f>
        <v>0</v>
      </c>
      <c r="C13" s="42"/>
      <c r="D13" s="43">
        <f>IF(B13+C13=0,"Sin refuerzos activos",IF(B13&gt;0,'Aux Refuerzo'!B7 &amp; IF('Aux Refuerzo'!C7&lt;&gt;""," | "&amp;'Aux Refuerzo'!C7,"") &amp; IF('Aux Refuerzo'!D7&lt;&gt;""," | "&amp;'Aux Refuerzo'!D7,"") &amp; IF('Aux Refuerzo'!E7&lt;&gt;""," | "&amp;'Aux Refuerzo'!E7,"") &amp; IF('Aux Refuerzo'!F7&lt;&gt;""," | "&amp;'Aux Refuerzo'!F7,"") &amp; IF('Aux Refuerzo'!M7&lt;&gt;""," | "&amp;'Aux Refuerzo'!M7,"") &amp; IF('Aux Refuerzo'!N7&lt;&gt;""," | "&amp;'Aux Refuerzo'!N7,"") &amp; IF('Aux Refuerzo'!O7&lt;&gt;""," | "&amp;'Aux Refuerzo'!O7,"") &amp; IF('Aux Refuerzo'!P7&lt;&gt;""," | "&amp;'Aux Refuerzo'!P7,"") &amp; IF('Aux Refuerzo'!Q7&lt;&gt;""," | "&amp;'Aux Refuerzo'!Q7,"") &amp; IF('Aux Refuerzo'!R7&lt;&gt;""," | "&amp;'Aux Refuerzo'!R7,"") &amp; IF('Aux Refuerzo'!S7&lt;&gt;""," | "&amp;'Aux Refuerzo'!S7,"") &amp; IF(B13&gt;12," | (+"&amp;(B13-12)&amp;" más)",""),"")&amp;IF(C13&gt;0,IF(B13&gt;0," | ","")&amp;'Aux Refuerzo'!H7 &amp; IF('Aux Refuerzo'!I7&lt;&gt;""," | "&amp;'Aux Refuerzo'!I7,"") &amp; IF('Aux Refuerzo'!J7&lt;&gt;""," | "&amp;'Aux Refuerzo'!J7,"") &amp; IF('Aux Refuerzo'!K7&lt;&gt;""," | "&amp;'Aux Refuerzo'!K7,"") &amp; IF('Aux Refuerzo'!L7&lt;&gt;""," | "&amp;'Aux Refuerzo'!L7,"") &amp; IF('Aux Refuerzo'!T7&lt;&gt;""," | "&amp;'Aux Refuerzo'!T7,"") &amp; IF('Aux Refuerzo'!U7&lt;&gt;""," | "&amp;'Aux Refuerzo'!U7,"") &amp; IF('Aux Refuerzo'!V7&lt;&gt;""," | "&amp;'Aux Refuerzo'!V7,"") &amp; IF('Aux Refuerzo'!W7&lt;&gt;""," | "&amp;'Aux Refuerzo'!W7,"") &amp; IF('Aux Refuerzo'!X7&lt;&gt;""," | "&amp;'Aux Refuerzo'!X7,"") &amp; IF('Aux Refuerzo'!Y7&lt;&gt;""," | "&amp;'Aux Refuerzo'!Y7,"") &amp; IF('Aux Refuerzo'!Z7&lt;&gt;""," | "&amp;'Aux Refuerzo'!Z7,"") &amp; IF(C13&gt;12," | (+"&amp;(C13-12)&amp;" más)",""),""))</f>
      </c>
    </row>
    <row r="14" spans="1:4" ht="19.5" customHeight="1" x14ac:dyDescent="0.2">
      <c r="A14" s="34" t="s">
        <v>29</v>
      </c>
      <c r="B14" s="42">
        <f>COUNTIFS(Registro!$D$2:$D$501,A14,Registro!$O$2:$O$501,"Sí")</f>
        <v>0</v>
      </c>
      <c r="C14" s="42"/>
      <c r="D14" s="43">
        <f>IF(B14+C14=0,"Sin refuerzos activos",IF(B14&gt;0,'Aux Refuerzo'!B8 &amp; IF('Aux Refuerzo'!C8&lt;&gt;""," | "&amp;'Aux Refuerzo'!C8,"") &amp; IF('Aux Refuerzo'!D8&lt;&gt;""," | "&amp;'Aux Refuerzo'!D8,"") &amp; IF('Aux Refuerzo'!E8&lt;&gt;""," | "&amp;'Aux Refuerzo'!E8,"") &amp; IF('Aux Refuerzo'!F8&lt;&gt;""," | "&amp;'Aux Refuerzo'!F8,"") &amp; IF('Aux Refuerzo'!M8&lt;&gt;""," | "&amp;'Aux Refuerzo'!M8,"") &amp; IF('Aux Refuerzo'!N8&lt;&gt;""," | "&amp;'Aux Refuerzo'!N8,"") &amp; IF('Aux Refuerzo'!O8&lt;&gt;""," | "&amp;'Aux Refuerzo'!O8,"") &amp; IF('Aux Refuerzo'!P8&lt;&gt;""," | "&amp;'Aux Refuerzo'!P8,"") &amp; IF('Aux Refuerzo'!Q8&lt;&gt;""," | "&amp;'Aux Refuerzo'!Q8,"") &amp; IF('Aux Refuerzo'!R8&lt;&gt;""," | "&amp;'Aux Refuerzo'!R8,"") &amp; IF('Aux Refuerzo'!S8&lt;&gt;""," | "&amp;'Aux Refuerzo'!S8,"") &amp; IF(B14&gt;12," | (+"&amp;(B14-12)&amp;" más)",""),"")&amp;IF(C14&gt;0,IF(B14&gt;0," | ","")&amp;'Aux Refuerzo'!H8 &amp; IF('Aux Refuerzo'!I8&lt;&gt;""," | "&amp;'Aux Refuerzo'!I8,"") &amp; IF('Aux Refuerzo'!J8&lt;&gt;""," | "&amp;'Aux Refuerzo'!J8,"") &amp; IF('Aux Refuerzo'!K8&lt;&gt;""," | "&amp;'Aux Refuerzo'!K8,"") &amp; IF('Aux Refuerzo'!L8&lt;&gt;""," | "&amp;'Aux Refuerzo'!L8,"") &amp; IF('Aux Refuerzo'!T8&lt;&gt;""," | "&amp;'Aux Refuerzo'!T8,"") &amp; IF('Aux Refuerzo'!U8&lt;&gt;""," | "&amp;'Aux Refuerzo'!U8,"") &amp; IF('Aux Refuerzo'!V8&lt;&gt;""," | "&amp;'Aux Refuerzo'!V8,"") &amp; IF('Aux Refuerzo'!W8&lt;&gt;""," | "&amp;'Aux Refuerzo'!W8,"") &amp; IF('Aux Refuerzo'!X8&lt;&gt;""," | "&amp;'Aux Refuerzo'!X8,"") &amp; IF('Aux Refuerzo'!Y8&lt;&gt;""," | "&amp;'Aux Refuerzo'!Y8,"") &amp; IF('Aux Refuerzo'!Z8&lt;&gt;""," | "&amp;'Aux Refuerzo'!Z8,"") &amp; IF(C14&gt;12," | (+"&amp;(C14-12)&amp;" más)",""),""))</f>
      </c>
    </row>
    <row r="15" spans="1:4" ht="19.5" customHeight="1" x14ac:dyDescent="0.2">
      <c r="A15" s="30" t="s">
        <v>32</v>
      </c>
      <c r="B15" s="42">
        <f>COUNTIFS(Registro!$D$2:$D$501,A15,Registro!$O$2:$O$501,"Sí")</f>
        <v>0</v>
      </c>
      <c r="C15" s="42"/>
      <c r="D15" s="43">
        <f>IF(B15+C15=0,"Sin refuerzos activos",IF(B15&gt;0,'Aux Refuerzo'!B9 &amp; IF('Aux Refuerzo'!C9&lt;&gt;""," | "&amp;'Aux Refuerzo'!C9,"") &amp; IF('Aux Refuerzo'!D9&lt;&gt;""," | "&amp;'Aux Refuerzo'!D9,"") &amp; IF('Aux Refuerzo'!E9&lt;&gt;""," | "&amp;'Aux Refuerzo'!E9,"") &amp; IF('Aux Refuerzo'!F9&lt;&gt;""," | "&amp;'Aux Refuerzo'!F9,"") &amp; IF('Aux Refuerzo'!M9&lt;&gt;""," | "&amp;'Aux Refuerzo'!M9,"") &amp; IF('Aux Refuerzo'!N9&lt;&gt;""," | "&amp;'Aux Refuerzo'!N9,"") &amp; IF('Aux Refuerzo'!O9&lt;&gt;""," | "&amp;'Aux Refuerzo'!O9,"") &amp; IF('Aux Refuerzo'!P9&lt;&gt;""," | "&amp;'Aux Refuerzo'!P9,"") &amp; IF('Aux Refuerzo'!Q9&lt;&gt;""," | "&amp;'Aux Refuerzo'!Q9,"") &amp; IF('Aux Refuerzo'!R9&lt;&gt;""," | "&amp;'Aux Refuerzo'!R9,"") &amp; IF('Aux Refuerzo'!S9&lt;&gt;""," | "&amp;'Aux Refuerzo'!S9,"") &amp; IF(B15&gt;12," | (+"&amp;(B15-12)&amp;" más)",""),"")&amp;IF(C15&gt;0,IF(B15&gt;0," | ","")&amp;'Aux Refuerzo'!H9 &amp; IF('Aux Refuerzo'!I9&lt;&gt;""," | "&amp;'Aux Refuerzo'!I9,"") &amp; IF('Aux Refuerzo'!J9&lt;&gt;""," | "&amp;'Aux Refuerzo'!J9,"") &amp; IF('Aux Refuerzo'!K9&lt;&gt;""," | "&amp;'Aux Refuerzo'!K9,"") &amp; IF('Aux Refuerzo'!L9&lt;&gt;""," | "&amp;'Aux Refuerzo'!L9,"") &amp; IF('Aux Refuerzo'!T9&lt;&gt;""," | "&amp;'Aux Refuerzo'!T9,"") &amp; IF('Aux Refuerzo'!U9&lt;&gt;""," | "&amp;'Aux Refuerzo'!U9,"") &amp; IF('Aux Refuerzo'!V9&lt;&gt;""," | "&amp;'Aux Refuerzo'!V9,"") &amp; IF('Aux Refuerzo'!W9&lt;&gt;""," | "&amp;'Aux Refuerzo'!W9,"") &amp; IF('Aux Refuerzo'!X9&lt;&gt;""," | "&amp;'Aux Refuerzo'!X9,"") &amp; IF('Aux Refuerzo'!Y9&lt;&gt;""," | "&amp;'Aux Refuerzo'!Y9,"") &amp; IF('Aux Refuerzo'!Z9&lt;&gt;""," | "&amp;'Aux Refuerzo'!Z9,"") &amp; IF(C15&gt;12," | (+"&amp;(C15-12)&amp;" más)",""),""))</f>
      </c>
    </row>
    <row r="16" spans="1:4" ht="19.5" customHeight="1" x14ac:dyDescent="0.2">
      <c r="A16" s="34" t="s">
        <v>34</v>
      </c>
      <c r="B16" s="42">
        <f>COUNTIFS(Registro!$D$2:$D$501,A16,Registro!$O$2:$O$501,"Sí")</f>
        <v>0</v>
      </c>
      <c r="C16" s="42"/>
      <c r="D16" s="43">
        <f>IF(B16+C16=0,"Sin refuerzos activos",IF(B16&gt;0,'Aux Refuerzo'!B10 &amp; IF('Aux Refuerzo'!C10&lt;&gt;""," | "&amp;'Aux Refuerzo'!C10,"") &amp; IF('Aux Refuerzo'!D10&lt;&gt;""," | "&amp;'Aux Refuerzo'!D10,"") &amp; IF('Aux Refuerzo'!E10&lt;&gt;""," | "&amp;'Aux Refuerzo'!E10,"") &amp; IF('Aux Refuerzo'!F10&lt;&gt;""," | "&amp;'Aux Refuerzo'!F10,"") &amp; IF('Aux Refuerzo'!M10&lt;&gt;""," | "&amp;'Aux Refuerzo'!M10,"") &amp; IF('Aux Refuerzo'!N10&lt;&gt;""," | "&amp;'Aux Refuerzo'!N10,"") &amp; IF('Aux Refuerzo'!O10&lt;&gt;""," | "&amp;'Aux Refuerzo'!O10,"") &amp; IF('Aux Refuerzo'!P10&lt;&gt;""," | "&amp;'Aux Refuerzo'!P10,"") &amp; IF('Aux Refuerzo'!Q10&lt;&gt;""," | "&amp;'Aux Refuerzo'!Q10,"") &amp; IF('Aux Refuerzo'!R10&lt;&gt;""," | "&amp;'Aux Refuerzo'!R10,"") &amp; IF('Aux Refuerzo'!S10&lt;&gt;""," | "&amp;'Aux Refuerzo'!S10,"") &amp; IF(B16&gt;12," | (+"&amp;(B16-12)&amp;" más)",""),"")&amp;IF(C16&gt;0,IF(B16&gt;0," | ","")&amp;'Aux Refuerzo'!H10 &amp; IF('Aux Refuerzo'!I10&lt;&gt;""," | "&amp;'Aux Refuerzo'!I10,"") &amp; IF('Aux Refuerzo'!J10&lt;&gt;""," | "&amp;'Aux Refuerzo'!J10,"") &amp; IF('Aux Refuerzo'!K10&lt;&gt;""," | "&amp;'Aux Refuerzo'!K10,"") &amp; IF('Aux Refuerzo'!L10&lt;&gt;""," | "&amp;'Aux Refuerzo'!L10,"") &amp; IF('Aux Refuerzo'!T10&lt;&gt;""," | "&amp;'Aux Refuerzo'!T10,"") &amp; IF('Aux Refuerzo'!U10&lt;&gt;""," | "&amp;'Aux Refuerzo'!U10,"") &amp; IF('Aux Refuerzo'!V10&lt;&gt;""," | "&amp;'Aux Refuerzo'!V10,"") &amp; IF('Aux Refuerzo'!W10&lt;&gt;""," | "&amp;'Aux Refuerzo'!W10,"") &amp; IF('Aux Refuerzo'!X10&lt;&gt;""," | "&amp;'Aux Refuerzo'!X10,"") &amp; IF('Aux Refuerzo'!Y10&lt;&gt;""," | "&amp;'Aux Refuerzo'!Y10,"") &amp; IF('Aux Refuerzo'!Z10&lt;&gt;""," | "&amp;'Aux Refuerzo'!Z10,"") &amp; IF(C16&gt;12," | (+"&amp;(C16-12)&amp;" más)",""),""))</f>
      </c>
    </row>
    <row r="17" spans="1:4" ht="19.5" customHeight="1" x14ac:dyDescent="0.2">
      <c r="A17" s="30" t="s">
        <v>36</v>
      </c>
      <c r="B17" s="42">
        <f>COUNTIFS(Registro!$D$2:$D$501,A17,Registro!$O$2:$O$501,"Sí")</f>
        <v>0</v>
      </c>
      <c r="C17" s="42"/>
      <c r="D17" s="43">
        <f>IF(B17+C17=0,"Sin refuerzos activos",IF(B17&gt;0,'Aux Refuerzo'!B11 &amp; IF('Aux Refuerzo'!C11&lt;&gt;""," | "&amp;'Aux Refuerzo'!C11,"") &amp; IF('Aux Refuerzo'!D11&lt;&gt;""," | "&amp;'Aux Refuerzo'!D11,"") &amp; IF('Aux Refuerzo'!E11&lt;&gt;""," | "&amp;'Aux Refuerzo'!E11,"") &amp; IF('Aux Refuerzo'!F11&lt;&gt;""," | "&amp;'Aux Refuerzo'!F11,"") &amp; IF('Aux Refuerzo'!M11&lt;&gt;""," | "&amp;'Aux Refuerzo'!M11,"") &amp; IF('Aux Refuerzo'!N11&lt;&gt;""," | "&amp;'Aux Refuerzo'!N11,"") &amp; IF('Aux Refuerzo'!O11&lt;&gt;""," | "&amp;'Aux Refuerzo'!O11,"") &amp; IF('Aux Refuerzo'!P11&lt;&gt;""," | "&amp;'Aux Refuerzo'!P11,"") &amp; IF('Aux Refuerzo'!Q11&lt;&gt;""," | "&amp;'Aux Refuerzo'!Q11,"") &amp; IF('Aux Refuerzo'!R11&lt;&gt;""," | "&amp;'Aux Refuerzo'!R11,"") &amp; IF('Aux Refuerzo'!S11&lt;&gt;""," | "&amp;'Aux Refuerzo'!S11,"") &amp; IF(B17&gt;12," | (+"&amp;(B17-12)&amp;" más)",""),"")&amp;IF(C17&gt;0,IF(B17&gt;0," | ","")&amp;'Aux Refuerzo'!H11 &amp; IF('Aux Refuerzo'!I11&lt;&gt;""," | "&amp;'Aux Refuerzo'!I11,"") &amp; IF('Aux Refuerzo'!J11&lt;&gt;""," | "&amp;'Aux Refuerzo'!J11,"") &amp; IF('Aux Refuerzo'!K11&lt;&gt;""," | "&amp;'Aux Refuerzo'!K11,"") &amp; IF('Aux Refuerzo'!L11&lt;&gt;""," | "&amp;'Aux Refuerzo'!L11,"") &amp; IF('Aux Refuerzo'!T11&lt;&gt;""," | "&amp;'Aux Refuerzo'!T11,"") &amp; IF('Aux Refuerzo'!U11&lt;&gt;""," | "&amp;'Aux Refuerzo'!U11,"") &amp; IF('Aux Refuerzo'!V11&lt;&gt;""," | "&amp;'Aux Refuerzo'!V11,"") &amp; IF('Aux Refuerzo'!W11&lt;&gt;""," | "&amp;'Aux Refuerzo'!W11,"") &amp; IF('Aux Refuerzo'!X11&lt;&gt;""," | "&amp;'Aux Refuerzo'!X11,"") &amp; IF('Aux Refuerzo'!Y11&lt;&gt;""," | "&amp;'Aux Refuerzo'!Y11,"") &amp; IF('Aux Refuerzo'!Z11&lt;&gt;""," | "&amp;'Aux Refuerzo'!Z11,"") &amp; IF(C17&gt;12," | (+"&amp;(C17-12)&amp;" más)",""),""))</f>
      </c>
    </row>
    <row r="18" spans="1:4" ht="19.5" customHeight="1" x14ac:dyDescent="0.2">
      <c r="A18" s="34" t="s">
        <v>38</v>
      </c>
      <c r="B18" s="42">
        <f>COUNTIFS(Registro!$D$2:$D$501,A18,Registro!$O$2:$O$501,"Sí")</f>
        <v>0</v>
      </c>
      <c r="C18" s="42"/>
      <c r="D18" s="43">
        <f>IF(B18+C18=0,"Sin refuerzos activos",IF(B18&gt;0,'Aux Refuerzo'!B12 &amp; IF('Aux Refuerzo'!C12&lt;&gt;""," | "&amp;'Aux Refuerzo'!C12,"") &amp; IF('Aux Refuerzo'!D12&lt;&gt;""," | "&amp;'Aux Refuerzo'!D12,"") &amp; IF('Aux Refuerzo'!E12&lt;&gt;""," | "&amp;'Aux Refuerzo'!E12,"") &amp; IF('Aux Refuerzo'!F12&lt;&gt;""," | "&amp;'Aux Refuerzo'!F12,"") &amp; IF('Aux Refuerzo'!M12&lt;&gt;""," | "&amp;'Aux Refuerzo'!M12,"") &amp; IF('Aux Refuerzo'!N12&lt;&gt;""," | "&amp;'Aux Refuerzo'!N12,"") &amp; IF('Aux Refuerzo'!O12&lt;&gt;""," | "&amp;'Aux Refuerzo'!O12,"") &amp; IF('Aux Refuerzo'!P12&lt;&gt;""," | "&amp;'Aux Refuerzo'!P12,"") &amp; IF('Aux Refuerzo'!Q12&lt;&gt;""," | "&amp;'Aux Refuerzo'!Q12,"") &amp; IF('Aux Refuerzo'!R12&lt;&gt;""," | "&amp;'Aux Refuerzo'!R12,"") &amp; IF('Aux Refuerzo'!S12&lt;&gt;""," | "&amp;'Aux Refuerzo'!S12,"") &amp; IF(B18&gt;12," | (+"&amp;(B18-12)&amp;" más)",""),"")&amp;IF(C18&gt;0,IF(B18&gt;0," | ","")&amp;'Aux Refuerzo'!H12 &amp; IF('Aux Refuerzo'!I12&lt;&gt;""," | "&amp;'Aux Refuerzo'!I12,"") &amp; IF('Aux Refuerzo'!J12&lt;&gt;""," | "&amp;'Aux Refuerzo'!J12,"") &amp; IF('Aux Refuerzo'!K12&lt;&gt;""," | "&amp;'Aux Refuerzo'!K12,"") &amp; IF('Aux Refuerzo'!L12&lt;&gt;""," | "&amp;'Aux Refuerzo'!L12,"") &amp; IF('Aux Refuerzo'!T12&lt;&gt;""," | "&amp;'Aux Refuerzo'!T12,"") &amp; IF('Aux Refuerzo'!U12&lt;&gt;""," | "&amp;'Aux Refuerzo'!U12,"") &amp; IF('Aux Refuerzo'!V12&lt;&gt;""," | "&amp;'Aux Refuerzo'!V12,"") &amp; IF('Aux Refuerzo'!W12&lt;&gt;""," | "&amp;'Aux Refuerzo'!W12,"") &amp; IF('Aux Refuerzo'!X12&lt;&gt;""," | "&amp;'Aux Refuerzo'!X12,"") &amp; IF('Aux Refuerzo'!Y12&lt;&gt;""," | "&amp;'Aux Refuerzo'!Y12,"") &amp; IF('Aux Refuerzo'!Z12&lt;&gt;""," | "&amp;'Aux Refuerzo'!Z12,"") &amp; IF(C18&gt;12," | (+"&amp;(C18-12)&amp;" más)",""),""))</f>
      </c>
    </row>
    <row r="19" spans="1:4" ht="19.5" customHeight="1" x14ac:dyDescent="0.2">
      <c r="A19" s="30" t="s">
        <v>40</v>
      </c>
      <c r="B19" s="42">
        <f>COUNTIFS(Registro!$D$2:$D$501,A19,Registro!$O$2:$O$501,"Sí")</f>
        <v>0</v>
      </c>
      <c r="C19" s="42"/>
      <c r="D19" s="43">
        <f>IF(B19+C19=0,"Sin refuerzos activos",IF(B19&gt;0,'Aux Refuerzo'!B13 &amp; IF('Aux Refuerzo'!C13&lt;&gt;""," | "&amp;'Aux Refuerzo'!C13,"") &amp; IF('Aux Refuerzo'!D13&lt;&gt;""," | "&amp;'Aux Refuerzo'!D13,"") &amp; IF('Aux Refuerzo'!E13&lt;&gt;""," | "&amp;'Aux Refuerzo'!E13,"") &amp; IF('Aux Refuerzo'!F13&lt;&gt;""," | "&amp;'Aux Refuerzo'!F13,"") &amp; IF('Aux Refuerzo'!M13&lt;&gt;""," | "&amp;'Aux Refuerzo'!M13,"") &amp; IF('Aux Refuerzo'!N13&lt;&gt;""," | "&amp;'Aux Refuerzo'!N13,"") &amp; IF('Aux Refuerzo'!O13&lt;&gt;""," | "&amp;'Aux Refuerzo'!O13,"") &amp; IF('Aux Refuerzo'!P13&lt;&gt;""," | "&amp;'Aux Refuerzo'!P13,"") &amp; IF('Aux Refuerzo'!Q13&lt;&gt;""," | "&amp;'Aux Refuerzo'!Q13,"") &amp; IF('Aux Refuerzo'!R13&lt;&gt;""," | "&amp;'Aux Refuerzo'!R13,"") &amp; IF('Aux Refuerzo'!S13&lt;&gt;""," | "&amp;'Aux Refuerzo'!S13,"") &amp; IF(B19&gt;12," | (+"&amp;(B19-12)&amp;" más)",""),"")&amp;IF(C19&gt;0,IF(B19&gt;0," | ","")&amp;'Aux Refuerzo'!H13 &amp; IF('Aux Refuerzo'!I13&lt;&gt;""," | "&amp;'Aux Refuerzo'!I13,"") &amp; IF('Aux Refuerzo'!J13&lt;&gt;""," | "&amp;'Aux Refuerzo'!J13,"") &amp; IF('Aux Refuerzo'!K13&lt;&gt;""," | "&amp;'Aux Refuerzo'!K13,"") &amp; IF('Aux Refuerzo'!L13&lt;&gt;""," | "&amp;'Aux Refuerzo'!L13,"") &amp; IF('Aux Refuerzo'!T13&lt;&gt;""," | "&amp;'Aux Refuerzo'!T13,"") &amp; IF('Aux Refuerzo'!U13&lt;&gt;""," | "&amp;'Aux Refuerzo'!U13,"") &amp; IF('Aux Refuerzo'!V13&lt;&gt;""," | "&amp;'Aux Refuerzo'!V13,"") &amp; IF('Aux Refuerzo'!W13&lt;&gt;""," | "&amp;'Aux Refuerzo'!W13,"") &amp; IF('Aux Refuerzo'!X13&lt;&gt;""," | "&amp;'Aux Refuerzo'!X13,"") &amp; IF('Aux Refuerzo'!Y13&lt;&gt;""," | "&amp;'Aux Refuerzo'!Y13,"") &amp; IF('Aux Refuerzo'!Z13&lt;&gt;""," | "&amp;'Aux Refuerzo'!Z13,"") &amp; IF(C19&gt;12," | (+"&amp;(C19-12)&amp;" más)",""),""))</f>
      </c>
    </row>
    <row r="20" spans="1:4" ht="19.5" customHeight="1" x14ac:dyDescent="0.2">
      <c r="A20" s="34" t="s">
        <v>42</v>
      </c>
      <c r="B20" s="42">
        <f>COUNTIFS(Registro!$D$2:$D$501,A20,Registro!$O$2:$O$501,"Sí")</f>
        <v>0</v>
      </c>
      <c r="C20" s="42"/>
      <c r="D20" s="43">
        <f>IF(B20+C20=0,"Sin refuerzos activos",IF(B20&gt;0,'Aux Refuerzo'!B14 &amp; IF('Aux Refuerzo'!C14&lt;&gt;""," | "&amp;'Aux Refuerzo'!C14,"") &amp; IF('Aux Refuerzo'!D14&lt;&gt;""," | "&amp;'Aux Refuerzo'!D14,"") &amp; IF('Aux Refuerzo'!E14&lt;&gt;""," | "&amp;'Aux Refuerzo'!E14,"") &amp; IF('Aux Refuerzo'!F14&lt;&gt;""," | "&amp;'Aux Refuerzo'!F14,"") &amp; IF('Aux Refuerzo'!M14&lt;&gt;""," | "&amp;'Aux Refuerzo'!M14,"") &amp; IF('Aux Refuerzo'!N14&lt;&gt;""," | "&amp;'Aux Refuerzo'!N14,"") &amp; IF('Aux Refuerzo'!O14&lt;&gt;""," | "&amp;'Aux Refuerzo'!O14,"") &amp; IF('Aux Refuerzo'!P14&lt;&gt;""," | "&amp;'Aux Refuerzo'!P14,"") &amp; IF('Aux Refuerzo'!Q14&lt;&gt;""," | "&amp;'Aux Refuerzo'!Q14,"") &amp; IF('Aux Refuerzo'!R14&lt;&gt;""," | "&amp;'Aux Refuerzo'!R14,"") &amp; IF('Aux Refuerzo'!S14&lt;&gt;""," | "&amp;'Aux Refuerzo'!S14,"") &amp; IF(B20&gt;12," | (+"&amp;(B20-12)&amp;" más)",""),"")&amp;IF(C20&gt;0,IF(B20&gt;0," | ","")&amp;'Aux Refuerzo'!H14 &amp; IF('Aux Refuerzo'!I14&lt;&gt;""," | "&amp;'Aux Refuerzo'!I14,"") &amp; IF('Aux Refuerzo'!J14&lt;&gt;""," | "&amp;'Aux Refuerzo'!J14,"") &amp; IF('Aux Refuerzo'!K14&lt;&gt;""," | "&amp;'Aux Refuerzo'!K14,"") &amp; IF('Aux Refuerzo'!L14&lt;&gt;""," | "&amp;'Aux Refuerzo'!L14,"") &amp; IF('Aux Refuerzo'!T14&lt;&gt;""," | "&amp;'Aux Refuerzo'!T14,"") &amp; IF('Aux Refuerzo'!U14&lt;&gt;""," | "&amp;'Aux Refuerzo'!U14,"") &amp; IF('Aux Refuerzo'!V14&lt;&gt;""," | "&amp;'Aux Refuerzo'!V14,"") &amp; IF('Aux Refuerzo'!W14&lt;&gt;""," | "&amp;'Aux Refuerzo'!W14,"") &amp; IF('Aux Refuerzo'!X14&lt;&gt;""," | "&amp;'Aux Refuerzo'!X14,"") &amp; IF('Aux Refuerzo'!Y14&lt;&gt;""," | "&amp;'Aux Refuerzo'!Y14,"") &amp; IF('Aux Refuerzo'!Z14&lt;&gt;""," | "&amp;'Aux Refuerzo'!Z14,"") &amp; IF(C20&gt;12," | (+"&amp;(C20-12)&amp;" más)",""),""))</f>
      </c>
    </row>
    <row r="21" spans="1:4" ht="19.5" customHeight="1" x14ac:dyDescent="0.2">
      <c r="A21" s="30" t="s">
        <v>44</v>
      </c>
      <c r="B21" s="42">
        <f>COUNTIFS(Registro!$D$2:$D$501,A21,Registro!$O$2:$O$501,"Sí")</f>
        <v>0</v>
      </c>
      <c r="C21" s="42"/>
      <c r="D21" s="43">
        <f>IF(B21+C21=0,"Sin refuerzos activos",IF(B21&gt;0,'Aux Refuerzo'!B15 &amp; IF('Aux Refuerzo'!C15&lt;&gt;""," | "&amp;'Aux Refuerzo'!C15,"") &amp; IF('Aux Refuerzo'!D15&lt;&gt;""," | "&amp;'Aux Refuerzo'!D15,"") &amp; IF('Aux Refuerzo'!E15&lt;&gt;""," | "&amp;'Aux Refuerzo'!E15,"") &amp; IF('Aux Refuerzo'!F15&lt;&gt;""," | "&amp;'Aux Refuerzo'!F15,"") &amp; IF('Aux Refuerzo'!M15&lt;&gt;""," | "&amp;'Aux Refuerzo'!M15,"") &amp; IF('Aux Refuerzo'!N15&lt;&gt;""," | "&amp;'Aux Refuerzo'!N15,"") &amp; IF('Aux Refuerzo'!O15&lt;&gt;""," | "&amp;'Aux Refuerzo'!O15,"") &amp; IF('Aux Refuerzo'!P15&lt;&gt;""," | "&amp;'Aux Refuerzo'!P15,"") &amp; IF('Aux Refuerzo'!Q15&lt;&gt;""," | "&amp;'Aux Refuerzo'!Q15,"") &amp; IF('Aux Refuerzo'!R15&lt;&gt;""," | "&amp;'Aux Refuerzo'!R15,"") &amp; IF('Aux Refuerzo'!S15&lt;&gt;""," | "&amp;'Aux Refuerzo'!S15,"") &amp; IF(B21&gt;12," | (+"&amp;(B21-12)&amp;" más)",""),"")&amp;IF(C21&gt;0,IF(B21&gt;0," | ","")&amp;'Aux Refuerzo'!H15 &amp; IF('Aux Refuerzo'!I15&lt;&gt;""," | "&amp;'Aux Refuerzo'!I15,"") &amp; IF('Aux Refuerzo'!J15&lt;&gt;""," | "&amp;'Aux Refuerzo'!J15,"") &amp; IF('Aux Refuerzo'!K15&lt;&gt;""," | "&amp;'Aux Refuerzo'!K15,"") &amp; IF('Aux Refuerzo'!L15&lt;&gt;""," | "&amp;'Aux Refuerzo'!L15,"") &amp; IF('Aux Refuerzo'!T15&lt;&gt;""," | "&amp;'Aux Refuerzo'!T15,"") &amp; IF('Aux Refuerzo'!U15&lt;&gt;""," | "&amp;'Aux Refuerzo'!U15,"") &amp; IF('Aux Refuerzo'!V15&lt;&gt;""," | "&amp;'Aux Refuerzo'!V15,"") &amp; IF('Aux Refuerzo'!W15&lt;&gt;""," | "&amp;'Aux Refuerzo'!W15,"") &amp; IF('Aux Refuerzo'!X15&lt;&gt;""," | "&amp;'Aux Refuerzo'!X15,"") &amp; IF('Aux Refuerzo'!Y15&lt;&gt;""," | "&amp;'Aux Refuerzo'!Y15,"") &amp; IF('Aux Refuerzo'!Z15&lt;&gt;""," | "&amp;'Aux Refuerzo'!Z15,"") &amp; IF(C21&gt;12," | (+"&amp;(C21-12)&amp;" más)",""),""))</f>
      </c>
    </row>
    <row r="22" spans="1:4" ht="19.5" customHeight="1" x14ac:dyDescent="0.2">
      <c r="A22" s="34" t="s">
        <v>45</v>
      </c>
      <c r="B22" s="42">
        <f>COUNTIFS(Registro!$D$2:$D$501,A22,Registro!$O$2:$O$501,"Sí")</f>
        <v>0</v>
      </c>
      <c r="C22" s="42"/>
      <c r="D22" s="43">
        <f>IF(B22+C22=0,"Sin refuerzos activos",IF(B22&gt;0,'Aux Refuerzo'!B16 &amp; IF('Aux Refuerzo'!C16&lt;&gt;""," | "&amp;'Aux Refuerzo'!C16,"") &amp; IF('Aux Refuerzo'!D16&lt;&gt;""," | "&amp;'Aux Refuerzo'!D16,"") &amp; IF('Aux Refuerzo'!E16&lt;&gt;""," | "&amp;'Aux Refuerzo'!E16,"") &amp; IF('Aux Refuerzo'!F16&lt;&gt;""," | "&amp;'Aux Refuerzo'!F16,"") &amp; IF('Aux Refuerzo'!M16&lt;&gt;""," | "&amp;'Aux Refuerzo'!M16,"") &amp; IF('Aux Refuerzo'!N16&lt;&gt;""," | "&amp;'Aux Refuerzo'!N16,"") &amp; IF('Aux Refuerzo'!O16&lt;&gt;""," | "&amp;'Aux Refuerzo'!O16,"") &amp; IF('Aux Refuerzo'!P16&lt;&gt;""," | "&amp;'Aux Refuerzo'!P16,"") &amp; IF('Aux Refuerzo'!Q16&lt;&gt;""," | "&amp;'Aux Refuerzo'!Q16,"") &amp; IF('Aux Refuerzo'!R16&lt;&gt;""," | "&amp;'Aux Refuerzo'!R16,"") &amp; IF('Aux Refuerzo'!S16&lt;&gt;""," | "&amp;'Aux Refuerzo'!S16,"") &amp; IF(B22&gt;12," | (+"&amp;(B22-12)&amp;" más)",""),"")&amp;IF(C22&gt;0,IF(B22&gt;0," | ","")&amp;'Aux Refuerzo'!H16 &amp; IF('Aux Refuerzo'!I16&lt;&gt;""," | "&amp;'Aux Refuerzo'!I16,"") &amp; IF('Aux Refuerzo'!J16&lt;&gt;""," | "&amp;'Aux Refuerzo'!J16,"") &amp; IF('Aux Refuerzo'!K16&lt;&gt;""," | "&amp;'Aux Refuerzo'!K16,"") &amp; IF('Aux Refuerzo'!L16&lt;&gt;""," | "&amp;'Aux Refuerzo'!L16,"") &amp; IF('Aux Refuerzo'!T16&lt;&gt;""," | "&amp;'Aux Refuerzo'!T16,"") &amp; IF('Aux Refuerzo'!U16&lt;&gt;""," | "&amp;'Aux Refuerzo'!U16,"") &amp; IF('Aux Refuerzo'!V16&lt;&gt;""," | "&amp;'Aux Refuerzo'!V16,"") &amp; IF('Aux Refuerzo'!W16&lt;&gt;""," | "&amp;'Aux Refuerzo'!W16,"") &amp; IF('Aux Refuerzo'!X16&lt;&gt;""," | "&amp;'Aux Refuerzo'!X16,"") &amp; IF('Aux Refuerzo'!Y16&lt;&gt;""," | "&amp;'Aux Refuerzo'!Y16,"") &amp; IF('Aux Refuerzo'!Z16&lt;&gt;""," | "&amp;'Aux Refuerzo'!Z16,"") &amp; IF(C22&gt;12," | (+"&amp;(C22-12)&amp;" más)",""),""))</f>
      </c>
    </row>
    <row r="23" spans="1:4" ht="19.5" customHeight="1" x14ac:dyDescent="0.2">
      <c r="A23" s="30" t="s">
        <v>46</v>
      </c>
      <c r="B23" s="42">
        <f>COUNTIFS(Registro!$D$2:$D$501,A23,Registro!$O$2:$O$501,"Sí")</f>
        <v>0</v>
      </c>
      <c r="C23" s="42"/>
      <c r="D23" s="43">
        <f>IF(B23+C23=0,"Sin refuerzos activos",IF(B23&gt;0,'Aux Refuerzo'!B17 &amp; IF('Aux Refuerzo'!C17&lt;&gt;""," | "&amp;'Aux Refuerzo'!C17,"") &amp; IF('Aux Refuerzo'!D17&lt;&gt;""," | "&amp;'Aux Refuerzo'!D17,"") &amp; IF('Aux Refuerzo'!E17&lt;&gt;""," | "&amp;'Aux Refuerzo'!E17,"") &amp; IF('Aux Refuerzo'!F17&lt;&gt;""," | "&amp;'Aux Refuerzo'!F17,"") &amp; IF('Aux Refuerzo'!M17&lt;&gt;""," | "&amp;'Aux Refuerzo'!M17,"") &amp; IF('Aux Refuerzo'!N17&lt;&gt;""," | "&amp;'Aux Refuerzo'!N17,"") &amp; IF('Aux Refuerzo'!O17&lt;&gt;""," | "&amp;'Aux Refuerzo'!O17,"") &amp; IF('Aux Refuerzo'!P17&lt;&gt;""," | "&amp;'Aux Refuerzo'!P17,"") &amp; IF('Aux Refuerzo'!Q17&lt;&gt;""," | "&amp;'Aux Refuerzo'!Q17,"") &amp; IF('Aux Refuerzo'!R17&lt;&gt;""," | "&amp;'Aux Refuerzo'!R17,"") &amp; IF('Aux Refuerzo'!S17&lt;&gt;""," | "&amp;'Aux Refuerzo'!S17,"") &amp; IF(B23&gt;12," | (+"&amp;(B23-12)&amp;" más)",""),"")&amp;IF(C23&gt;0,IF(B23&gt;0," | ","")&amp;'Aux Refuerzo'!H17 &amp; IF('Aux Refuerzo'!I17&lt;&gt;""," | "&amp;'Aux Refuerzo'!I17,"") &amp; IF('Aux Refuerzo'!J17&lt;&gt;""," | "&amp;'Aux Refuerzo'!J17,"") &amp; IF('Aux Refuerzo'!K17&lt;&gt;""," | "&amp;'Aux Refuerzo'!K17,"") &amp; IF('Aux Refuerzo'!L17&lt;&gt;""," | "&amp;'Aux Refuerzo'!L17,"") &amp; IF('Aux Refuerzo'!T17&lt;&gt;""," | "&amp;'Aux Refuerzo'!T17,"") &amp; IF('Aux Refuerzo'!U17&lt;&gt;""," | "&amp;'Aux Refuerzo'!U17,"") &amp; IF('Aux Refuerzo'!V17&lt;&gt;""," | "&amp;'Aux Refuerzo'!V17,"") &amp; IF('Aux Refuerzo'!W17&lt;&gt;""," | "&amp;'Aux Refuerzo'!W17,"") &amp; IF('Aux Refuerzo'!X17&lt;&gt;""," | "&amp;'Aux Refuerzo'!X17,"") &amp; IF('Aux Refuerzo'!Y17&lt;&gt;""," | "&amp;'Aux Refuerzo'!Y17,"") &amp; IF('Aux Refuerzo'!Z17&lt;&gt;""," | "&amp;'Aux Refuerzo'!Z17,"") &amp; IF(C23&gt;12," | (+"&amp;(C23-12)&amp;" más)",""),""))</f>
      </c>
    </row>
    <row r="24" spans="1:4" ht="19.5" customHeight="1" x14ac:dyDescent="0.2">
      <c r="A24" s="34" t="s">
        <v>47</v>
      </c>
      <c r="B24" s="42">
        <f>COUNTIFS(Registro!$D$2:$D$501,A24,Registro!$O$2:$O$501,"Sí")</f>
        <v>0</v>
      </c>
      <c r="C24" s="42"/>
      <c r="D24" s="43">
        <f>IF(B24+C24=0,"Sin refuerzos activos",IF(B24&gt;0,'Aux Refuerzo'!B18 &amp; IF('Aux Refuerzo'!C18&lt;&gt;""," | "&amp;'Aux Refuerzo'!C18,"") &amp; IF('Aux Refuerzo'!D18&lt;&gt;""," | "&amp;'Aux Refuerzo'!D18,"") &amp; IF('Aux Refuerzo'!E18&lt;&gt;""," | "&amp;'Aux Refuerzo'!E18,"") &amp; IF('Aux Refuerzo'!F18&lt;&gt;""," | "&amp;'Aux Refuerzo'!F18,"") &amp; IF('Aux Refuerzo'!M18&lt;&gt;""," | "&amp;'Aux Refuerzo'!M18,"") &amp; IF('Aux Refuerzo'!N18&lt;&gt;""," | "&amp;'Aux Refuerzo'!N18,"") &amp; IF('Aux Refuerzo'!O18&lt;&gt;""," | "&amp;'Aux Refuerzo'!O18,"") &amp; IF('Aux Refuerzo'!P18&lt;&gt;""," | "&amp;'Aux Refuerzo'!P18,"") &amp; IF('Aux Refuerzo'!Q18&lt;&gt;""," | "&amp;'Aux Refuerzo'!Q18,"") &amp; IF('Aux Refuerzo'!R18&lt;&gt;""," | "&amp;'Aux Refuerzo'!R18,"") &amp; IF('Aux Refuerzo'!S18&lt;&gt;""," | "&amp;'Aux Refuerzo'!S18,"") &amp; IF(B24&gt;12," | (+"&amp;(B24-12)&amp;" más)",""),"")&amp;IF(C24&gt;0,IF(B24&gt;0," | ","")&amp;'Aux Refuerzo'!H18 &amp; IF('Aux Refuerzo'!I18&lt;&gt;""," | "&amp;'Aux Refuerzo'!I18,"") &amp; IF('Aux Refuerzo'!J18&lt;&gt;""," | "&amp;'Aux Refuerzo'!J18,"") &amp; IF('Aux Refuerzo'!K18&lt;&gt;""," | "&amp;'Aux Refuerzo'!K18,"") &amp; IF('Aux Refuerzo'!L18&lt;&gt;""," | "&amp;'Aux Refuerzo'!L18,"") &amp; IF('Aux Refuerzo'!T18&lt;&gt;""," | "&amp;'Aux Refuerzo'!T18,"") &amp; IF('Aux Refuerzo'!U18&lt;&gt;""," | "&amp;'Aux Refuerzo'!U18,"") &amp; IF('Aux Refuerzo'!V18&lt;&gt;""," | "&amp;'Aux Refuerzo'!V18,"") &amp; IF('Aux Refuerzo'!W18&lt;&gt;""," | "&amp;'Aux Refuerzo'!W18,"") &amp; IF('Aux Refuerzo'!X18&lt;&gt;""," | "&amp;'Aux Refuerzo'!X18,"") &amp; IF('Aux Refuerzo'!Y18&lt;&gt;""," | "&amp;'Aux Refuerzo'!Y18,"") &amp; IF('Aux Refuerzo'!Z18&lt;&gt;""," | "&amp;'Aux Refuerzo'!Z18,"") &amp; IF(C24&gt;12," | (+"&amp;(C24-12)&amp;" más)",""),""))</f>
      </c>
    </row>
    <row r="25" spans="1:4" ht="19.5" customHeight="1" x14ac:dyDescent="0.2">
      <c r="A25" s="30" t="s">
        <v>48</v>
      </c>
      <c r="B25" s="42">
        <f>COUNTIFS(Registro!$D$2:$D$501,A25,Registro!$O$2:$O$501,"Sí")</f>
        <v>0</v>
      </c>
      <c r="C25" s="42"/>
      <c r="D25" s="43">
        <f>IF(B25+C25=0,"Sin refuerzos activos",IF(B25&gt;0,'Aux Refuerzo'!B19 &amp; IF('Aux Refuerzo'!C19&lt;&gt;""," | "&amp;'Aux Refuerzo'!C19,"") &amp; IF('Aux Refuerzo'!D19&lt;&gt;""," | "&amp;'Aux Refuerzo'!D19,"") &amp; IF('Aux Refuerzo'!E19&lt;&gt;""," | "&amp;'Aux Refuerzo'!E19,"") &amp; IF('Aux Refuerzo'!F19&lt;&gt;""," | "&amp;'Aux Refuerzo'!F19,"") &amp; IF('Aux Refuerzo'!M19&lt;&gt;""," | "&amp;'Aux Refuerzo'!M19,"") &amp; IF('Aux Refuerzo'!N19&lt;&gt;""," | "&amp;'Aux Refuerzo'!N19,"") &amp; IF('Aux Refuerzo'!O19&lt;&gt;""," | "&amp;'Aux Refuerzo'!O19,"") &amp; IF('Aux Refuerzo'!P19&lt;&gt;""," | "&amp;'Aux Refuerzo'!P19,"") &amp; IF('Aux Refuerzo'!Q19&lt;&gt;""," | "&amp;'Aux Refuerzo'!Q19,"") &amp; IF('Aux Refuerzo'!R19&lt;&gt;""," | "&amp;'Aux Refuerzo'!R19,"") &amp; IF('Aux Refuerzo'!S19&lt;&gt;""," | "&amp;'Aux Refuerzo'!S19,"") &amp; IF(B25&gt;12," | (+"&amp;(B25-12)&amp;" más)",""),"")&amp;IF(C25&gt;0,IF(B25&gt;0," | ","")&amp;'Aux Refuerzo'!H19 &amp; IF('Aux Refuerzo'!I19&lt;&gt;""," | "&amp;'Aux Refuerzo'!I19,"") &amp; IF('Aux Refuerzo'!J19&lt;&gt;""," | "&amp;'Aux Refuerzo'!J19,"") &amp; IF('Aux Refuerzo'!K19&lt;&gt;""," | "&amp;'Aux Refuerzo'!K19,"") &amp; IF('Aux Refuerzo'!L19&lt;&gt;""," | "&amp;'Aux Refuerzo'!L19,"") &amp; IF('Aux Refuerzo'!T19&lt;&gt;""," | "&amp;'Aux Refuerzo'!T19,"") &amp; IF('Aux Refuerzo'!U19&lt;&gt;""," | "&amp;'Aux Refuerzo'!U19,"") &amp; IF('Aux Refuerzo'!V19&lt;&gt;""," | "&amp;'Aux Refuerzo'!V19,"") &amp; IF('Aux Refuerzo'!W19&lt;&gt;""," | "&amp;'Aux Refuerzo'!W19,"") &amp; IF('Aux Refuerzo'!X19&lt;&gt;""," | "&amp;'Aux Refuerzo'!X19,"") &amp; IF('Aux Refuerzo'!Y19&lt;&gt;""," | "&amp;'Aux Refuerzo'!Y19,"") &amp; IF('Aux Refuerzo'!Z19&lt;&gt;""," | "&amp;'Aux Refuerzo'!Z19,"") &amp; IF(C25&gt;12," | (+"&amp;(C25-12)&amp;" más)",""),""))</f>
      </c>
    </row>
    <row r="26" spans="1:4" ht="19.5" customHeight="1" x14ac:dyDescent="0.2">
      <c r="A26" s="34" t="s">
        <v>49</v>
      </c>
      <c r="B26" s="42">
        <f>COUNTIFS(Registro!$D$2:$D$501,A26,Registro!$O$2:$O$501,"Sí")</f>
        <v>0</v>
      </c>
      <c r="C26" s="42"/>
      <c r="D26" s="43">
        <f>IF(B26+C26=0,"Sin refuerzos activos",IF(B26&gt;0,'Aux Refuerzo'!B20 &amp; IF('Aux Refuerzo'!C20&lt;&gt;""," | "&amp;'Aux Refuerzo'!C20,"") &amp; IF('Aux Refuerzo'!D20&lt;&gt;""," | "&amp;'Aux Refuerzo'!D20,"") &amp; IF('Aux Refuerzo'!E20&lt;&gt;""," | "&amp;'Aux Refuerzo'!E20,"") &amp; IF('Aux Refuerzo'!F20&lt;&gt;""," | "&amp;'Aux Refuerzo'!F20,"") &amp; IF('Aux Refuerzo'!M20&lt;&gt;""," | "&amp;'Aux Refuerzo'!M20,"") &amp; IF('Aux Refuerzo'!N20&lt;&gt;""," | "&amp;'Aux Refuerzo'!N20,"") &amp; IF('Aux Refuerzo'!O20&lt;&gt;""," | "&amp;'Aux Refuerzo'!O20,"") &amp; IF('Aux Refuerzo'!P20&lt;&gt;""," | "&amp;'Aux Refuerzo'!P20,"") &amp; IF('Aux Refuerzo'!Q20&lt;&gt;""," | "&amp;'Aux Refuerzo'!Q20,"") &amp; IF('Aux Refuerzo'!R20&lt;&gt;""," | "&amp;'Aux Refuerzo'!R20,"") &amp; IF('Aux Refuerzo'!S20&lt;&gt;""," | "&amp;'Aux Refuerzo'!S20,"") &amp; IF(B26&gt;12," | (+"&amp;(B26-12)&amp;" más)",""),"")&amp;IF(C26&gt;0,IF(B26&gt;0," | ","")&amp;'Aux Refuerzo'!H20 &amp; IF('Aux Refuerzo'!I20&lt;&gt;""," | "&amp;'Aux Refuerzo'!I20,"") &amp; IF('Aux Refuerzo'!J20&lt;&gt;""," | "&amp;'Aux Refuerzo'!J20,"") &amp; IF('Aux Refuerzo'!K20&lt;&gt;""," | "&amp;'Aux Refuerzo'!K20,"") &amp; IF('Aux Refuerzo'!L20&lt;&gt;""," | "&amp;'Aux Refuerzo'!L20,"") &amp; IF('Aux Refuerzo'!T20&lt;&gt;""," | "&amp;'Aux Refuerzo'!T20,"") &amp; IF('Aux Refuerzo'!U20&lt;&gt;""," | "&amp;'Aux Refuerzo'!U20,"") &amp; IF('Aux Refuerzo'!V20&lt;&gt;""," | "&amp;'Aux Refuerzo'!V20,"") &amp; IF('Aux Refuerzo'!W20&lt;&gt;""," | "&amp;'Aux Refuerzo'!W20,"") &amp; IF('Aux Refuerzo'!X20&lt;&gt;""," | "&amp;'Aux Refuerzo'!X20,"") &amp; IF('Aux Refuerzo'!Y20&lt;&gt;""," | "&amp;'Aux Refuerzo'!Y20,"") &amp; IF('Aux Refuerzo'!Z20&lt;&gt;""," | "&amp;'Aux Refuerzo'!Z20,"") &amp; IF(C26&gt;12," | (+"&amp;(C26-12)&amp;" más)",""),""))</f>
      </c>
    </row>
    <row r="27" spans="1:4" ht="19.5" customHeight="1" x14ac:dyDescent="0.2">
      <c r="A27" s="30" t="s">
        <v>50</v>
      </c>
      <c r="B27" s="42">
        <f>COUNTIFS(Registro!$D$2:$D$501,A27,Registro!$O$2:$O$501,"Sí")</f>
        <v>0</v>
      </c>
      <c r="C27" s="42"/>
      <c r="D27" s="43">
        <f>IF(B27+C27=0,"Sin refuerzos activos",IF(B27&gt;0,'Aux Refuerzo'!B21 &amp; IF('Aux Refuerzo'!C21&lt;&gt;""," | "&amp;'Aux Refuerzo'!C21,"") &amp; IF('Aux Refuerzo'!D21&lt;&gt;""," | "&amp;'Aux Refuerzo'!D21,"") &amp; IF('Aux Refuerzo'!E21&lt;&gt;""," | "&amp;'Aux Refuerzo'!E21,"") &amp; IF('Aux Refuerzo'!F21&lt;&gt;""," | "&amp;'Aux Refuerzo'!F21,"") &amp; IF('Aux Refuerzo'!M21&lt;&gt;""," | "&amp;'Aux Refuerzo'!M21,"") &amp; IF('Aux Refuerzo'!N21&lt;&gt;""," | "&amp;'Aux Refuerzo'!N21,"") &amp; IF('Aux Refuerzo'!O21&lt;&gt;""," | "&amp;'Aux Refuerzo'!O21,"") &amp; IF('Aux Refuerzo'!P21&lt;&gt;""," | "&amp;'Aux Refuerzo'!P21,"") &amp; IF('Aux Refuerzo'!Q21&lt;&gt;""," | "&amp;'Aux Refuerzo'!Q21,"") &amp; IF('Aux Refuerzo'!R21&lt;&gt;""," | "&amp;'Aux Refuerzo'!R21,"") &amp; IF('Aux Refuerzo'!S21&lt;&gt;""," | "&amp;'Aux Refuerzo'!S21,"") &amp; IF(B27&gt;12," | (+"&amp;(B27-12)&amp;" más)",""),"")&amp;IF(C27&gt;0,IF(B27&gt;0," | ","")&amp;'Aux Refuerzo'!H21 &amp; IF('Aux Refuerzo'!I21&lt;&gt;""," | "&amp;'Aux Refuerzo'!I21,"") &amp; IF('Aux Refuerzo'!J21&lt;&gt;""," | "&amp;'Aux Refuerzo'!J21,"") &amp; IF('Aux Refuerzo'!K21&lt;&gt;""," | "&amp;'Aux Refuerzo'!K21,"") &amp; IF('Aux Refuerzo'!L21&lt;&gt;""," | "&amp;'Aux Refuerzo'!L21,"") &amp; IF('Aux Refuerzo'!T21&lt;&gt;""," | "&amp;'Aux Refuerzo'!T21,"") &amp; IF('Aux Refuerzo'!U21&lt;&gt;""," | "&amp;'Aux Refuerzo'!U21,"") &amp; IF('Aux Refuerzo'!V21&lt;&gt;""," | "&amp;'Aux Refuerzo'!V21,"") &amp; IF('Aux Refuerzo'!W21&lt;&gt;""," | "&amp;'Aux Refuerzo'!W21,"") &amp; IF('Aux Refuerzo'!X21&lt;&gt;""," | "&amp;'Aux Refuerzo'!X21,"") &amp; IF('Aux Refuerzo'!Y21&lt;&gt;""," | "&amp;'Aux Refuerzo'!Y21,"") &amp; IF('Aux Refuerzo'!Z21&lt;&gt;""," | "&amp;'Aux Refuerzo'!Z21,"") &amp; IF(C27&gt;12," | (+"&amp;(C27-12)&amp;" más)",""),""))</f>
      </c>
    </row>
    <row r="28" spans="1:4" ht="19.5" customHeight="1" x14ac:dyDescent="0.2">
      <c r="A28" s="34" t="s">
        <v>51</v>
      </c>
      <c r="B28" s="42">
        <f>COUNTIFS(Registro!$D$2:$D$501,A28,Registro!$O$2:$O$501,"Sí")</f>
        <v>0</v>
      </c>
      <c r="C28" s="42"/>
      <c r="D28" s="43">
        <f>IF(B28+C28=0,"Sin refuerzos activos",IF(B28&gt;0,'Aux Refuerzo'!B22 &amp; IF('Aux Refuerzo'!C22&lt;&gt;""," | "&amp;'Aux Refuerzo'!C22,"") &amp; IF('Aux Refuerzo'!D22&lt;&gt;""," | "&amp;'Aux Refuerzo'!D22,"") &amp; IF('Aux Refuerzo'!E22&lt;&gt;""," | "&amp;'Aux Refuerzo'!E22,"") &amp; IF('Aux Refuerzo'!F22&lt;&gt;""," | "&amp;'Aux Refuerzo'!F22,"") &amp; IF('Aux Refuerzo'!M22&lt;&gt;""," | "&amp;'Aux Refuerzo'!M22,"") &amp; IF('Aux Refuerzo'!N22&lt;&gt;""," | "&amp;'Aux Refuerzo'!N22,"") &amp; IF('Aux Refuerzo'!O22&lt;&gt;""," | "&amp;'Aux Refuerzo'!O22,"") &amp; IF('Aux Refuerzo'!P22&lt;&gt;""," | "&amp;'Aux Refuerzo'!P22,"") &amp; IF('Aux Refuerzo'!Q22&lt;&gt;""," | "&amp;'Aux Refuerzo'!Q22,"") &amp; IF('Aux Refuerzo'!R22&lt;&gt;""," | "&amp;'Aux Refuerzo'!R22,"") &amp; IF('Aux Refuerzo'!S22&lt;&gt;""," | "&amp;'Aux Refuerzo'!S22,"") &amp; IF(B28&gt;12," | (+"&amp;(B28-12)&amp;" más)",""),"")&amp;IF(C28&gt;0,IF(B28&gt;0," | ","")&amp;'Aux Refuerzo'!H22 &amp; IF('Aux Refuerzo'!I22&lt;&gt;""," | "&amp;'Aux Refuerzo'!I22,"") &amp; IF('Aux Refuerzo'!J22&lt;&gt;""," | "&amp;'Aux Refuerzo'!J22,"") &amp; IF('Aux Refuerzo'!K22&lt;&gt;""," | "&amp;'Aux Refuerzo'!K22,"") &amp; IF('Aux Refuerzo'!L22&lt;&gt;""," | "&amp;'Aux Refuerzo'!L22,"") &amp; IF('Aux Refuerzo'!T22&lt;&gt;""," | "&amp;'Aux Refuerzo'!T22,"") &amp; IF('Aux Refuerzo'!U22&lt;&gt;""," | "&amp;'Aux Refuerzo'!U22,"") &amp; IF('Aux Refuerzo'!V22&lt;&gt;""," | "&amp;'Aux Refuerzo'!V22,"") &amp; IF('Aux Refuerzo'!W22&lt;&gt;""," | "&amp;'Aux Refuerzo'!W22,"") &amp; IF('Aux Refuerzo'!X22&lt;&gt;""," | "&amp;'Aux Refuerzo'!X22,"") &amp; IF('Aux Refuerzo'!Y22&lt;&gt;""," | "&amp;'Aux Refuerzo'!Y22,"") &amp; IF('Aux Refuerzo'!Z22&lt;&gt;""," | "&amp;'Aux Refuerzo'!Z22,"") &amp; IF(C28&gt;12," | (+"&amp;(C28-12)&amp;" más)",""),""))</f>
      </c>
    </row>
    <row r="29" spans="1:4" ht="19.5" customHeight="1" x14ac:dyDescent="0.2">
      <c r="A29" s="30" t="s">
        <v>52</v>
      </c>
      <c r="B29" s="42">
        <f>COUNTIFS(Registro!$D$2:$D$501,A29,Registro!$O$2:$O$501,"Sí")</f>
        <v>0</v>
      </c>
      <c r="C29" s="42"/>
      <c r="D29" s="43">
        <f>IF(B29+C29=0,"Sin refuerzos activos",IF(B29&gt;0,'Aux Refuerzo'!B23 &amp; IF('Aux Refuerzo'!C23&lt;&gt;""," | "&amp;'Aux Refuerzo'!C23,"") &amp; IF('Aux Refuerzo'!D23&lt;&gt;""," | "&amp;'Aux Refuerzo'!D23,"") &amp; IF('Aux Refuerzo'!E23&lt;&gt;""," | "&amp;'Aux Refuerzo'!E23,"") &amp; IF('Aux Refuerzo'!F23&lt;&gt;""," | "&amp;'Aux Refuerzo'!F23,"") &amp; IF('Aux Refuerzo'!M23&lt;&gt;""," | "&amp;'Aux Refuerzo'!M23,"") &amp; IF('Aux Refuerzo'!N23&lt;&gt;""," | "&amp;'Aux Refuerzo'!N23,"") &amp; IF('Aux Refuerzo'!O23&lt;&gt;""," | "&amp;'Aux Refuerzo'!O23,"") &amp; IF('Aux Refuerzo'!P23&lt;&gt;""," | "&amp;'Aux Refuerzo'!P23,"") &amp; IF('Aux Refuerzo'!Q23&lt;&gt;""," | "&amp;'Aux Refuerzo'!Q23,"") &amp; IF('Aux Refuerzo'!R23&lt;&gt;""," | "&amp;'Aux Refuerzo'!R23,"") &amp; IF('Aux Refuerzo'!S23&lt;&gt;""," | "&amp;'Aux Refuerzo'!S23,"") &amp; IF(B29&gt;12," | (+"&amp;(B29-12)&amp;" más)",""),"")&amp;IF(C29&gt;0,IF(B29&gt;0," | ","")&amp;'Aux Refuerzo'!H23 &amp; IF('Aux Refuerzo'!I23&lt;&gt;""," | "&amp;'Aux Refuerzo'!I23,"") &amp; IF('Aux Refuerzo'!J23&lt;&gt;""," | "&amp;'Aux Refuerzo'!J23,"") &amp; IF('Aux Refuerzo'!K23&lt;&gt;""," | "&amp;'Aux Refuerzo'!K23,"") &amp; IF('Aux Refuerzo'!L23&lt;&gt;""," | "&amp;'Aux Refuerzo'!L23,"") &amp; IF('Aux Refuerzo'!T23&lt;&gt;""," | "&amp;'Aux Refuerzo'!T23,"") &amp; IF('Aux Refuerzo'!U23&lt;&gt;""," | "&amp;'Aux Refuerzo'!U23,"") &amp; IF('Aux Refuerzo'!V23&lt;&gt;""," | "&amp;'Aux Refuerzo'!V23,"") &amp; IF('Aux Refuerzo'!W23&lt;&gt;""," | "&amp;'Aux Refuerzo'!W23,"") &amp; IF('Aux Refuerzo'!X23&lt;&gt;""," | "&amp;'Aux Refuerzo'!X23,"") &amp; IF('Aux Refuerzo'!Y23&lt;&gt;""," | "&amp;'Aux Refuerzo'!Y23,"") &amp; IF('Aux Refuerzo'!Z23&lt;&gt;""," | "&amp;'Aux Refuerzo'!Z23,"") &amp; IF(C29&gt;12," | (+"&amp;(C29-12)&amp;" más)",""),""))</f>
      </c>
    </row>
    <row r="30" spans="1:4" ht="19.5" customHeight="1" x14ac:dyDescent="0.2">
      <c r="A30" s="34" t="s">
        <v>53</v>
      </c>
      <c r="B30" s="42">
        <f>COUNTIFS(Registro!$D$2:$D$501,A30,Registro!$O$2:$O$501,"Sí")</f>
        <v>0</v>
      </c>
      <c r="C30" s="42"/>
      <c r="D30" s="43">
        <f>IF(B30+C30=0,"Sin refuerzos activos",IF(B30&gt;0,'Aux Refuerzo'!B24 &amp; IF('Aux Refuerzo'!C24&lt;&gt;""," | "&amp;'Aux Refuerzo'!C24,"") &amp; IF('Aux Refuerzo'!D24&lt;&gt;""," | "&amp;'Aux Refuerzo'!D24,"") &amp; IF('Aux Refuerzo'!E24&lt;&gt;""," | "&amp;'Aux Refuerzo'!E24,"") &amp; IF('Aux Refuerzo'!F24&lt;&gt;""," | "&amp;'Aux Refuerzo'!F24,"") &amp; IF('Aux Refuerzo'!M24&lt;&gt;""," | "&amp;'Aux Refuerzo'!M24,"") &amp; IF('Aux Refuerzo'!N24&lt;&gt;""," | "&amp;'Aux Refuerzo'!N24,"") &amp; IF('Aux Refuerzo'!O24&lt;&gt;""," | "&amp;'Aux Refuerzo'!O24,"") &amp; IF('Aux Refuerzo'!P24&lt;&gt;""," | "&amp;'Aux Refuerzo'!P24,"") &amp; IF('Aux Refuerzo'!Q24&lt;&gt;""," | "&amp;'Aux Refuerzo'!Q24,"") &amp; IF('Aux Refuerzo'!R24&lt;&gt;""," | "&amp;'Aux Refuerzo'!R24,"") &amp; IF('Aux Refuerzo'!S24&lt;&gt;""," | "&amp;'Aux Refuerzo'!S24,"") &amp; IF(B30&gt;12," | (+"&amp;(B30-12)&amp;" más)",""),"")&amp;IF(C30&gt;0,IF(B30&gt;0," | ","")&amp;'Aux Refuerzo'!H24 &amp; IF('Aux Refuerzo'!I24&lt;&gt;""," | "&amp;'Aux Refuerzo'!I24,"") &amp; IF('Aux Refuerzo'!J24&lt;&gt;""," | "&amp;'Aux Refuerzo'!J24,"") &amp; IF('Aux Refuerzo'!K24&lt;&gt;""," | "&amp;'Aux Refuerzo'!K24,"") &amp; IF('Aux Refuerzo'!L24&lt;&gt;""," | "&amp;'Aux Refuerzo'!L24,"") &amp; IF('Aux Refuerzo'!T24&lt;&gt;""," | "&amp;'Aux Refuerzo'!T24,"") &amp; IF('Aux Refuerzo'!U24&lt;&gt;""," | "&amp;'Aux Refuerzo'!U24,"") &amp; IF('Aux Refuerzo'!V24&lt;&gt;""," | "&amp;'Aux Refuerzo'!V24,"") &amp; IF('Aux Refuerzo'!W24&lt;&gt;""," | "&amp;'Aux Refuerzo'!W24,"") &amp; IF('Aux Refuerzo'!X24&lt;&gt;""," | "&amp;'Aux Refuerzo'!X24,"") &amp; IF('Aux Refuerzo'!Y24&lt;&gt;""," | "&amp;'Aux Refuerzo'!Y24,"") &amp; IF('Aux Refuerzo'!Z24&lt;&gt;""," | "&amp;'Aux Refuerzo'!Z24,"") &amp; IF(C30&gt;12," | (+"&amp;(C30-12)&amp;" más)",""),""))</f>
      </c>
    </row>
    <row r="31" spans="1:4" ht="19.5" customHeight="1" x14ac:dyDescent="0.2">
      <c r="A31" s="30" t="s">
        <v>54</v>
      </c>
      <c r="B31" s="42">
        <f>COUNTIFS(Registro!$D$2:$D$501,A31,Registro!$O$2:$O$501,"Sí")</f>
        <v>0</v>
      </c>
      <c r="C31" s="42"/>
      <c r="D31" s="43">
        <f>IF(B31+C31=0,"Sin refuerzos activos",IF(B31&gt;0,'Aux Refuerzo'!B25 &amp; IF('Aux Refuerzo'!C25&lt;&gt;""," | "&amp;'Aux Refuerzo'!C25,"") &amp; IF('Aux Refuerzo'!D25&lt;&gt;""," | "&amp;'Aux Refuerzo'!D25,"") &amp; IF('Aux Refuerzo'!E25&lt;&gt;""," | "&amp;'Aux Refuerzo'!E25,"") &amp; IF('Aux Refuerzo'!F25&lt;&gt;""," | "&amp;'Aux Refuerzo'!F25,"") &amp; IF('Aux Refuerzo'!M25&lt;&gt;""," | "&amp;'Aux Refuerzo'!M25,"") &amp; IF('Aux Refuerzo'!N25&lt;&gt;""," | "&amp;'Aux Refuerzo'!N25,"") &amp; IF('Aux Refuerzo'!O25&lt;&gt;""," | "&amp;'Aux Refuerzo'!O25,"") &amp; IF('Aux Refuerzo'!P25&lt;&gt;""," | "&amp;'Aux Refuerzo'!P25,"") &amp; IF('Aux Refuerzo'!Q25&lt;&gt;""," | "&amp;'Aux Refuerzo'!Q25,"") &amp; IF('Aux Refuerzo'!R25&lt;&gt;""," | "&amp;'Aux Refuerzo'!R25,"") &amp; IF('Aux Refuerzo'!S25&lt;&gt;""," | "&amp;'Aux Refuerzo'!S25,"") &amp; IF(B31&gt;12," | (+"&amp;(B31-12)&amp;" más)",""),"")&amp;IF(C31&gt;0,IF(B31&gt;0," | ","")&amp;'Aux Refuerzo'!H25 &amp; IF('Aux Refuerzo'!I25&lt;&gt;""," | "&amp;'Aux Refuerzo'!I25,"") &amp; IF('Aux Refuerzo'!J25&lt;&gt;""," | "&amp;'Aux Refuerzo'!J25,"") &amp; IF('Aux Refuerzo'!K25&lt;&gt;""," | "&amp;'Aux Refuerzo'!K25,"") &amp; IF('Aux Refuerzo'!L25&lt;&gt;""," | "&amp;'Aux Refuerzo'!L25,"") &amp; IF('Aux Refuerzo'!T25&lt;&gt;""," | "&amp;'Aux Refuerzo'!T25,"") &amp; IF('Aux Refuerzo'!U25&lt;&gt;""," | "&amp;'Aux Refuerzo'!U25,"") &amp; IF('Aux Refuerzo'!V25&lt;&gt;""," | "&amp;'Aux Refuerzo'!V25,"") &amp; IF('Aux Refuerzo'!W25&lt;&gt;""," | "&amp;'Aux Refuerzo'!W25,"") &amp; IF('Aux Refuerzo'!X25&lt;&gt;""," | "&amp;'Aux Refuerzo'!X25,"") &amp; IF('Aux Refuerzo'!Y25&lt;&gt;""," | "&amp;'Aux Refuerzo'!Y25,"") &amp; IF('Aux Refuerzo'!Z25&lt;&gt;""," | "&amp;'Aux Refuerzo'!Z25,"") &amp; IF(C31&gt;12," | (+"&amp;(C31-12)&amp;" más)",""),""))</f>
      </c>
    </row>
    <row r="32" spans="1:4" ht="19.5" customHeight="1" x14ac:dyDescent="0.2">
      <c r="A32" s="34" t="s">
        <v>55</v>
      </c>
      <c r="B32" s="42">
        <f>COUNTIFS(Registro!$D$2:$D$501,A32,Registro!$O$2:$O$501,"Sí")</f>
        <v>0</v>
      </c>
      <c r="C32" s="42"/>
      <c r="D32" s="43">
        <f>IF(B32+C32=0,"Sin refuerzos activos",IF(B32&gt;0,'Aux Refuerzo'!B26 &amp; IF('Aux Refuerzo'!C26&lt;&gt;""," | "&amp;'Aux Refuerzo'!C26,"") &amp; IF('Aux Refuerzo'!D26&lt;&gt;""," | "&amp;'Aux Refuerzo'!D26,"") &amp; IF('Aux Refuerzo'!E26&lt;&gt;""," | "&amp;'Aux Refuerzo'!E26,"") &amp; IF('Aux Refuerzo'!F26&lt;&gt;""," | "&amp;'Aux Refuerzo'!F26,"") &amp; IF('Aux Refuerzo'!M26&lt;&gt;""," | "&amp;'Aux Refuerzo'!M26,"") &amp; IF('Aux Refuerzo'!N26&lt;&gt;""," | "&amp;'Aux Refuerzo'!N26,"") &amp; IF('Aux Refuerzo'!O26&lt;&gt;""," | "&amp;'Aux Refuerzo'!O26,"") &amp; IF('Aux Refuerzo'!P26&lt;&gt;""," | "&amp;'Aux Refuerzo'!P26,"") &amp; IF('Aux Refuerzo'!Q26&lt;&gt;""," | "&amp;'Aux Refuerzo'!Q26,"") &amp; IF('Aux Refuerzo'!R26&lt;&gt;""," | "&amp;'Aux Refuerzo'!R26,"") &amp; IF('Aux Refuerzo'!S26&lt;&gt;""," | "&amp;'Aux Refuerzo'!S26,"") &amp; IF(B32&gt;12," | (+"&amp;(B32-12)&amp;" más)",""),"")&amp;IF(C32&gt;0,IF(B32&gt;0," | ","")&amp;'Aux Refuerzo'!H26 &amp; IF('Aux Refuerzo'!I26&lt;&gt;""," | "&amp;'Aux Refuerzo'!I26,"") &amp; IF('Aux Refuerzo'!J26&lt;&gt;""," | "&amp;'Aux Refuerzo'!J26,"") &amp; IF('Aux Refuerzo'!K26&lt;&gt;""," | "&amp;'Aux Refuerzo'!K26,"") &amp; IF('Aux Refuerzo'!L26&lt;&gt;""," | "&amp;'Aux Refuerzo'!L26,"") &amp; IF('Aux Refuerzo'!T26&lt;&gt;""," | "&amp;'Aux Refuerzo'!T26,"") &amp; IF('Aux Refuerzo'!U26&lt;&gt;""," | "&amp;'Aux Refuerzo'!U26,"") &amp; IF('Aux Refuerzo'!V26&lt;&gt;""," | "&amp;'Aux Refuerzo'!V26,"") &amp; IF('Aux Refuerzo'!W26&lt;&gt;""," | "&amp;'Aux Refuerzo'!W26,"") &amp; IF('Aux Refuerzo'!X26&lt;&gt;""," | "&amp;'Aux Refuerzo'!X26,"") &amp; IF('Aux Refuerzo'!Y26&lt;&gt;""," | "&amp;'Aux Refuerzo'!Y26,"") &amp; IF('Aux Refuerzo'!Z26&lt;&gt;""," | "&amp;'Aux Refuerzo'!Z26,"") &amp; IF(C32&gt;12," | (+"&amp;(C32-12)&amp;" más)",""),""))</f>
      </c>
    </row>
    <row r="33" spans="1:4" ht="19.5" customHeight="1" x14ac:dyDescent="0.2">
      <c r="A33" s="30" t="s">
        <v>56</v>
      </c>
      <c r="B33" s="42">
        <f>COUNTIFS(Registro!$D$2:$D$501,A33,Registro!$O$2:$O$501,"Sí")</f>
        <v>0</v>
      </c>
      <c r="C33" s="42"/>
      <c r="D33" s="43">
        <f>IF(B33+C33=0,"Sin refuerzos activos",IF(B33&gt;0,'Aux Refuerzo'!B27 &amp; IF('Aux Refuerzo'!C27&lt;&gt;""," | "&amp;'Aux Refuerzo'!C27,"") &amp; IF('Aux Refuerzo'!D27&lt;&gt;""," | "&amp;'Aux Refuerzo'!D27,"") &amp; IF('Aux Refuerzo'!E27&lt;&gt;""," | "&amp;'Aux Refuerzo'!E27,"") &amp; IF('Aux Refuerzo'!F27&lt;&gt;""," | "&amp;'Aux Refuerzo'!F27,"") &amp; IF('Aux Refuerzo'!M27&lt;&gt;""," | "&amp;'Aux Refuerzo'!M27,"") &amp; IF('Aux Refuerzo'!N27&lt;&gt;""," | "&amp;'Aux Refuerzo'!N27,"") &amp; IF('Aux Refuerzo'!O27&lt;&gt;""," | "&amp;'Aux Refuerzo'!O27,"") &amp; IF('Aux Refuerzo'!P27&lt;&gt;""," | "&amp;'Aux Refuerzo'!P27,"") &amp; IF('Aux Refuerzo'!Q27&lt;&gt;""," | "&amp;'Aux Refuerzo'!Q27,"") &amp; IF('Aux Refuerzo'!R27&lt;&gt;""," | "&amp;'Aux Refuerzo'!R27,"") &amp; IF('Aux Refuerzo'!S27&lt;&gt;""," | "&amp;'Aux Refuerzo'!S27,"") &amp; IF(B33&gt;12," | (+"&amp;(B33-12)&amp;" más)",""),"")&amp;IF(C33&gt;0,IF(B33&gt;0," | ","")&amp;'Aux Refuerzo'!H27 &amp; IF('Aux Refuerzo'!I27&lt;&gt;""," | "&amp;'Aux Refuerzo'!I27,"") &amp; IF('Aux Refuerzo'!J27&lt;&gt;""," | "&amp;'Aux Refuerzo'!J27,"") &amp; IF('Aux Refuerzo'!K27&lt;&gt;""," | "&amp;'Aux Refuerzo'!K27,"") &amp; IF('Aux Refuerzo'!L27&lt;&gt;""," | "&amp;'Aux Refuerzo'!L27,"") &amp; IF('Aux Refuerzo'!T27&lt;&gt;""," | "&amp;'Aux Refuerzo'!T27,"") &amp; IF('Aux Refuerzo'!U27&lt;&gt;""," | "&amp;'Aux Refuerzo'!U27,"") &amp; IF('Aux Refuerzo'!V27&lt;&gt;""," | "&amp;'Aux Refuerzo'!V27,"") &amp; IF('Aux Refuerzo'!W27&lt;&gt;""," | "&amp;'Aux Refuerzo'!W27,"") &amp; IF('Aux Refuerzo'!X27&lt;&gt;""," | "&amp;'Aux Refuerzo'!X27,"") &amp; IF('Aux Refuerzo'!Y27&lt;&gt;""," | "&amp;'Aux Refuerzo'!Y27,"") &amp; IF('Aux Refuerzo'!Z27&lt;&gt;""," | "&amp;'Aux Refuerzo'!Z27,"") &amp; IF(C33&gt;12," | (+"&amp;(C33-12)&amp;" más)",""),""))</f>
      </c>
    </row>
    <row r="34" spans="1:4" ht="19.5" customHeight="1" x14ac:dyDescent="0.2">
      <c r="A34" s="34" t="s">
        <v>57</v>
      </c>
      <c r="B34" s="42">
        <f>COUNTIFS(Registro!$D$2:$D$501,A34,Registro!$O$2:$O$501,"Sí")</f>
        <v>0</v>
      </c>
      <c r="C34" s="42"/>
      <c r="D34" s="43">
        <f>IF(B34+C34=0,"Sin refuerzos activos",IF(B34&gt;0,'Aux Refuerzo'!B28 &amp; IF('Aux Refuerzo'!C28&lt;&gt;""," | "&amp;'Aux Refuerzo'!C28,"") &amp; IF('Aux Refuerzo'!D28&lt;&gt;""," | "&amp;'Aux Refuerzo'!D28,"") &amp; IF('Aux Refuerzo'!E28&lt;&gt;""," | "&amp;'Aux Refuerzo'!E28,"") &amp; IF('Aux Refuerzo'!F28&lt;&gt;""," | "&amp;'Aux Refuerzo'!F28,"") &amp; IF('Aux Refuerzo'!M28&lt;&gt;""," | "&amp;'Aux Refuerzo'!M28,"") &amp; IF('Aux Refuerzo'!N28&lt;&gt;""," | "&amp;'Aux Refuerzo'!N28,"") &amp; IF('Aux Refuerzo'!O28&lt;&gt;""," | "&amp;'Aux Refuerzo'!O28,"") &amp; IF('Aux Refuerzo'!P28&lt;&gt;""," | "&amp;'Aux Refuerzo'!P28,"") &amp; IF('Aux Refuerzo'!Q28&lt;&gt;""," | "&amp;'Aux Refuerzo'!Q28,"") &amp; IF('Aux Refuerzo'!R28&lt;&gt;""," | "&amp;'Aux Refuerzo'!R28,"") &amp; IF('Aux Refuerzo'!S28&lt;&gt;""," | "&amp;'Aux Refuerzo'!S28,"") &amp; IF(B34&gt;12," | (+"&amp;(B34-12)&amp;" más)",""),"")&amp;IF(C34&gt;0,IF(B34&gt;0," | ","")&amp;'Aux Refuerzo'!H28 &amp; IF('Aux Refuerzo'!I28&lt;&gt;""," | "&amp;'Aux Refuerzo'!I28,"") &amp; IF('Aux Refuerzo'!J28&lt;&gt;""," | "&amp;'Aux Refuerzo'!J28,"") &amp; IF('Aux Refuerzo'!K28&lt;&gt;""," | "&amp;'Aux Refuerzo'!K28,"") &amp; IF('Aux Refuerzo'!L28&lt;&gt;""," | "&amp;'Aux Refuerzo'!L28,"") &amp; IF('Aux Refuerzo'!T28&lt;&gt;""," | "&amp;'Aux Refuerzo'!T28,"") &amp; IF('Aux Refuerzo'!U28&lt;&gt;""," | "&amp;'Aux Refuerzo'!U28,"") &amp; IF('Aux Refuerzo'!V28&lt;&gt;""," | "&amp;'Aux Refuerzo'!V28,"") &amp; IF('Aux Refuerzo'!W28&lt;&gt;""," | "&amp;'Aux Refuerzo'!W28,"") &amp; IF('Aux Refuerzo'!X28&lt;&gt;""," | "&amp;'Aux Refuerzo'!X28,"") &amp; IF('Aux Refuerzo'!Y28&lt;&gt;""," | "&amp;'Aux Refuerzo'!Y28,"") &amp; IF('Aux Refuerzo'!Z28&lt;&gt;""," | "&amp;'Aux Refuerzo'!Z28,"") &amp; IF(C34&gt;12," | (+"&amp;(C34-12)&amp;" más)",""),""))</f>
      </c>
    </row>
    <row r="35" spans="1:4" ht="19.5" customHeight="1" x14ac:dyDescent="0.2">
      <c r="A35" s="30" t="s">
        <v>58</v>
      </c>
      <c r="B35" s="42">
        <f>COUNTIFS(Registro!$D$2:$D$501,A35,Registro!$O$2:$O$501,"Sí")</f>
        <v>0</v>
      </c>
      <c r="C35" s="42"/>
      <c r="D35" s="43">
        <f>IF(B35+C35=0,"Sin refuerzos activos",IF(B35&gt;0,'Aux Refuerzo'!B29 &amp; IF('Aux Refuerzo'!C29&lt;&gt;""," | "&amp;'Aux Refuerzo'!C29,"") &amp; IF('Aux Refuerzo'!D29&lt;&gt;""," | "&amp;'Aux Refuerzo'!D29,"") &amp; IF('Aux Refuerzo'!E29&lt;&gt;""," | "&amp;'Aux Refuerzo'!E29,"") &amp; IF('Aux Refuerzo'!F29&lt;&gt;""," | "&amp;'Aux Refuerzo'!F29,"") &amp; IF('Aux Refuerzo'!M29&lt;&gt;""," | "&amp;'Aux Refuerzo'!M29,"") &amp; IF('Aux Refuerzo'!N29&lt;&gt;""," | "&amp;'Aux Refuerzo'!N29,"") &amp; IF('Aux Refuerzo'!O29&lt;&gt;""," | "&amp;'Aux Refuerzo'!O29,"") &amp; IF('Aux Refuerzo'!P29&lt;&gt;""," | "&amp;'Aux Refuerzo'!P29,"") &amp; IF('Aux Refuerzo'!Q29&lt;&gt;""," | "&amp;'Aux Refuerzo'!Q29,"") &amp; IF('Aux Refuerzo'!R29&lt;&gt;""," | "&amp;'Aux Refuerzo'!R29,"") &amp; IF('Aux Refuerzo'!S29&lt;&gt;""," | "&amp;'Aux Refuerzo'!S29,"") &amp; IF(B35&gt;12," | (+"&amp;(B35-12)&amp;" más)",""),"")&amp;IF(C35&gt;0,IF(B35&gt;0," | ","")&amp;'Aux Refuerzo'!H29 &amp; IF('Aux Refuerzo'!I29&lt;&gt;""," | "&amp;'Aux Refuerzo'!I29,"") &amp; IF('Aux Refuerzo'!J29&lt;&gt;""," | "&amp;'Aux Refuerzo'!J29,"") &amp; IF('Aux Refuerzo'!K29&lt;&gt;""," | "&amp;'Aux Refuerzo'!K29,"") &amp; IF('Aux Refuerzo'!L29&lt;&gt;""," | "&amp;'Aux Refuerzo'!L29,"") &amp; IF('Aux Refuerzo'!T29&lt;&gt;""," | "&amp;'Aux Refuerzo'!T29,"") &amp; IF('Aux Refuerzo'!U29&lt;&gt;""," | "&amp;'Aux Refuerzo'!U29,"") &amp; IF('Aux Refuerzo'!V29&lt;&gt;""," | "&amp;'Aux Refuerzo'!V29,"") &amp; IF('Aux Refuerzo'!W29&lt;&gt;""," | "&amp;'Aux Refuerzo'!W29,"") &amp; IF('Aux Refuerzo'!X29&lt;&gt;""," | "&amp;'Aux Refuerzo'!X29,"") &amp; IF('Aux Refuerzo'!Y29&lt;&gt;""," | "&amp;'Aux Refuerzo'!Y29,"") &amp; IF('Aux Refuerzo'!Z29&lt;&gt;""," | "&amp;'Aux Refuerzo'!Z29,"") &amp; IF(C35&gt;12," | (+"&amp;(C35-12)&amp;" más)",""),""))</f>
      </c>
    </row>
    <row r="36" spans="1:4" ht="19.5" customHeight="1" x14ac:dyDescent="0.2">
      <c r="A36" s="34" t="s">
        <v>59</v>
      </c>
      <c r="B36" s="42">
        <f>COUNTIFS(Registro!$D$2:$D$501,A36,Registro!$O$2:$O$501,"Sí")</f>
        <v>0</v>
      </c>
      <c r="C36" s="42"/>
      <c r="D36" s="43">
        <f>IF(B36+C36=0,"Sin refuerzos activos",IF(B36&gt;0,'Aux Refuerzo'!B30 &amp; IF('Aux Refuerzo'!C30&lt;&gt;""," | "&amp;'Aux Refuerzo'!C30,"") &amp; IF('Aux Refuerzo'!D30&lt;&gt;""," | "&amp;'Aux Refuerzo'!D30,"") &amp; IF('Aux Refuerzo'!E30&lt;&gt;""," | "&amp;'Aux Refuerzo'!E30,"") &amp; IF('Aux Refuerzo'!F30&lt;&gt;""," | "&amp;'Aux Refuerzo'!F30,"") &amp; IF('Aux Refuerzo'!M30&lt;&gt;""," | "&amp;'Aux Refuerzo'!M30,"") &amp; IF('Aux Refuerzo'!N30&lt;&gt;""," | "&amp;'Aux Refuerzo'!N30,"") &amp; IF('Aux Refuerzo'!O30&lt;&gt;""," | "&amp;'Aux Refuerzo'!O30,"") &amp; IF('Aux Refuerzo'!P30&lt;&gt;""," | "&amp;'Aux Refuerzo'!P30,"") &amp; IF('Aux Refuerzo'!Q30&lt;&gt;""," | "&amp;'Aux Refuerzo'!Q30,"") &amp; IF('Aux Refuerzo'!R30&lt;&gt;""," | "&amp;'Aux Refuerzo'!R30,"") &amp; IF('Aux Refuerzo'!S30&lt;&gt;""," | "&amp;'Aux Refuerzo'!S30,"") &amp; IF(B36&gt;12," | (+"&amp;(B36-12)&amp;" más)",""),"")&amp;IF(C36&gt;0,IF(B36&gt;0," | ","")&amp;'Aux Refuerzo'!H30 &amp; IF('Aux Refuerzo'!I30&lt;&gt;""," | "&amp;'Aux Refuerzo'!I30,"") &amp; IF('Aux Refuerzo'!J30&lt;&gt;""," | "&amp;'Aux Refuerzo'!J30,"") &amp; IF('Aux Refuerzo'!K30&lt;&gt;""," | "&amp;'Aux Refuerzo'!K30,"") &amp; IF('Aux Refuerzo'!L30&lt;&gt;""," | "&amp;'Aux Refuerzo'!L30,"") &amp; IF('Aux Refuerzo'!T30&lt;&gt;""," | "&amp;'Aux Refuerzo'!T30,"") &amp; IF('Aux Refuerzo'!U30&lt;&gt;""," | "&amp;'Aux Refuerzo'!U30,"") &amp; IF('Aux Refuerzo'!V30&lt;&gt;""," | "&amp;'Aux Refuerzo'!V30,"") &amp; IF('Aux Refuerzo'!W30&lt;&gt;""," | "&amp;'Aux Refuerzo'!W30,"") &amp; IF('Aux Refuerzo'!X30&lt;&gt;""," | "&amp;'Aux Refuerzo'!X30,"") &amp; IF('Aux Refuerzo'!Y30&lt;&gt;""," | "&amp;'Aux Refuerzo'!Y30,"") &amp; IF('Aux Refuerzo'!Z30&lt;&gt;""," | "&amp;'Aux Refuerzo'!Z30,"") &amp; IF(C36&gt;12," | (+"&amp;(C36-12)&amp;" más)",""),""))</f>
      </c>
    </row>
    <row r="37" spans="1:4" ht="19.5" customHeight="1" x14ac:dyDescent="0.2">
      <c r="A37" s="30" t="s">
        <v>60</v>
      </c>
      <c r="B37" s="42">
        <f>COUNTIFS(Registro!$D$2:$D$501,A37,Registro!$O$2:$O$501,"Sí")</f>
        <v>0</v>
      </c>
      <c r="C37" s="42"/>
      <c r="D37" s="43">
        <f>IF(B37+C37=0,"Sin refuerzos activos",IF(B37&gt;0,'Aux Refuerzo'!B31 &amp; IF('Aux Refuerzo'!C31&lt;&gt;""," | "&amp;'Aux Refuerzo'!C31,"") &amp; IF('Aux Refuerzo'!D31&lt;&gt;""," | "&amp;'Aux Refuerzo'!D31,"") &amp; IF('Aux Refuerzo'!E31&lt;&gt;""," | "&amp;'Aux Refuerzo'!E31,"") &amp; IF('Aux Refuerzo'!F31&lt;&gt;""," | "&amp;'Aux Refuerzo'!F31,"") &amp; IF('Aux Refuerzo'!M31&lt;&gt;""," | "&amp;'Aux Refuerzo'!M31,"") &amp; IF('Aux Refuerzo'!N31&lt;&gt;""," | "&amp;'Aux Refuerzo'!N31,"") &amp; IF('Aux Refuerzo'!O31&lt;&gt;""," | "&amp;'Aux Refuerzo'!O31,"") &amp; IF('Aux Refuerzo'!P31&lt;&gt;""," | "&amp;'Aux Refuerzo'!P31,"") &amp; IF('Aux Refuerzo'!Q31&lt;&gt;""," | "&amp;'Aux Refuerzo'!Q31,"") &amp; IF('Aux Refuerzo'!R31&lt;&gt;""," | "&amp;'Aux Refuerzo'!R31,"") &amp; IF('Aux Refuerzo'!S31&lt;&gt;""," | "&amp;'Aux Refuerzo'!S31,"") &amp; IF(B37&gt;12," | (+"&amp;(B37-12)&amp;" más)",""),"")&amp;IF(C37&gt;0,IF(B37&gt;0," | ","")&amp;'Aux Refuerzo'!H31 &amp; IF('Aux Refuerzo'!I31&lt;&gt;""," | "&amp;'Aux Refuerzo'!I31,"") &amp; IF('Aux Refuerzo'!J31&lt;&gt;""," | "&amp;'Aux Refuerzo'!J31,"") &amp; IF('Aux Refuerzo'!K31&lt;&gt;""," | "&amp;'Aux Refuerzo'!K31,"") &amp; IF('Aux Refuerzo'!L31&lt;&gt;""," | "&amp;'Aux Refuerzo'!L31,"") &amp; IF('Aux Refuerzo'!T31&lt;&gt;""," | "&amp;'Aux Refuerzo'!T31,"") &amp; IF('Aux Refuerzo'!U31&lt;&gt;""," | "&amp;'Aux Refuerzo'!U31,"") &amp; IF('Aux Refuerzo'!V31&lt;&gt;""," | "&amp;'Aux Refuerzo'!V31,"") &amp; IF('Aux Refuerzo'!W31&lt;&gt;""," | "&amp;'Aux Refuerzo'!W31,"") &amp; IF('Aux Refuerzo'!X31&lt;&gt;""," | "&amp;'Aux Refuerzo'!X31,"") &amp; IF('Aux Refuerzo'!Y31&lt;&gt;""," | "&amp;'Aux Refuerzo'!Y31,"") &amp; IF('Aux Refuerzo'!Z31&lt;&gt;""," | "&amp;'Aux Refuerzo'!Z31,"") &amp; IF(C37&gt;12," | (+"&amp;(C37-12)&amp;" más)",""),""))</f>
      </c>
    </row>
    <row r="38" spans="1:4" ht="19.5" customHeight="1" x14ac:dyDescent="0.2">
      <c r="A38" s="34" t="s">
        <v>61</v>
      </c>
      <c r="B38" s="42">
        <f>COUNTIFS(Registro!$D$2:$D$501,A38,Registro!$O$2:$O$501,"Sí")</f>
        <v>0</v>
      </c>
      <c r="C38" s="42"/>
      <c r="D38" s="43">
        <f>IF(B38+C38=0,"Sin refuerzos activos",IF(B38&gt;0,'Aux Refuerzo'!B32 &amp; IF('Aux Refuerzo'!C32&lt;&gt;""," | "&amp;'Aux Refuerzo'!C32,"") &amp; IF('Aux Refuerzo'!D32&lt;&gt;""," | "&amp;'Aux Refuerzo'!D32,"") &amp; IF('Aux Refuerzo'!E32&lt;&gt;""," | "&amp;'Aux Refuerzo'!E32,"") &amp; IF('Aux Refuerzo'!F32&lt;&gt;""," | "&amp;'Aux Refuerzo'!F32,"") &amp; IF('Aux Refuerzo'!M32&lt;&gt;""," | "&amp;'Aux Refuerzo'!M32,"") &amp; IF('Aux Refuerzo'!N32&lt;&gt;""," | "&amp;'Aux Refuerzo'!N32,"") &amp; IF('Aux Refuerzo'!O32&lt;&gt;""," | "&amp;'Aux Refuerzo'!O32,"") &amp; IF('Aux Refuerzo'!P32&lt;&gt;""," | "&amp;'Aux Refuerzo'!P32,"") &amp; IF('Aux Refuerzo'!Q32&lt;&gt;""," | "&amp;'Aux Refuerzo'!Q32,"") &amp; IF('Aux Refuerzo'!R32&lt;&gt;""," | "&amp;'Aux Refuerzo'!R32,"") &amp; IF('Aux Refuerzo'!S32&lt;&gt;""," | "&amp;'Aux Refuerzo'!S32,"") &amp; IF(B38&gt;12," | (+"&amp;(B38-12)&amp;" más)",""),"")&amp;IF(C38&gt;0,IF(B38&gt;0," | ","")&amp;'Aux Refuerzo'!H32 &amp; IF('Aux Refuerzo'!I32&lt;&gt;""," | "&amp;'Aux Refuerzo'!I32,"") &amp; IF('Aux Refuerzo'!J32&lt;&gt;""," | "&amp;'Aux Refuerzo'!J32,"") &amp; IF('Aux Refuerzo'!K32&lt;&gt;""," | "&amp;'Aux Refuerzo'!K32,"") &amp; IF('Aux Refuerzo'!L32&lt;&gt;""," | "&amp;'Aux Refuerzo'!L32,"") &amp; IF('Aux Refuerzo'!T32&lt;&gt;""," | "&amp;'Aux Refuerzo'!T32,"") &amp; IF('Aux Refuerzo'!U32&lt;&gt;""," | "&amp;'Aux Refuerzo'!U32,"") &amp; IF('Aux Refuerzo'!V32&lt;&gt;""," | "&amp;'Aux Refuerzo'!V32,"") &amp; IF('Aux Refuerzo'!W32&lt;&gt;""," | "&amp;'Aux Refuerzo'!W32,"") &amp; IF('Aux Refuerzo'!X32&lt;&gt;""," | "&amp;'Aux Refuerzo'!X32,"") &amp; IF('Aux Refuerzo'!Y32&lt;&gt;""," | "&amp;'Aux Refuerzo'!Y32,"") &amp; IF('Aux Refuerzo'!Z32&lt;&gt;""," | "&amp;'Aux Refuerzo'!Z32,"") &amp; IF(C38&gt;12," | (+"&amp;(C38-12)&amp;" más)",""),""))</f>
      </c>
    </row>
    <row r="39" spans="1:4" ht="19.5" customHeight="1" x14ac:dyDescent="0.2">
      <c r="A39" s="30" t="s">
        <v>62</v>
      </c>
      <c r="B39" s="42">
        <f>COUNTIFS(Registro!$D$2:$D$501,A39,Registro!$O$2:$O$501,"Sí")</f>
        <v>0</v>
      </c>
      <c r="C39" s="42"/>
      <c r="D39" s="43">
        <f>IF(B39+C39=0,"Sin refuerzos activos",IF(B39&gt;0,'Aux Refuerzo'!B33 &amp; IF('Aux Refuerzo'!C33&lt;&gt;""," | "&amp;'Aux Refuerzo'!C33,"") &amp; IF('Aux Refuerzo'!D33&lt;&gt;""," | "&amp;'Aux Refuerzo'!D33,"") &amp; IF('Aux Refuerzo'!E33&lt;&gt;""," | "&amp;'Aux Refuerzo'!E33,"") &amp; IF('Aux Refuerzo'!F33&lt;&gt;""," | "&amp;'Aux Refuerzo'!F33,"") &amp; IF('Aux Refuerzo'!M33&lt;&gt;""," | "&amp;'Aux Refuerzo'!M33,"") &amp; IF('Aux Refuerzo'!N33&lt;&gt;""," | "&amp;'Aux Refuerzo'!N33,"") &amp; IF('Aux Refuerzo'!O33&lt;&gt;""," | "&amp;'Aux Refuerzo'!O33,"") &amp; IF('Aux Refuerzo'!P33&lt;&gt;""," | "&amp;'Aux Refuerzo'!P33,"") &amp; IF('Aux Refuerzo'!Q33&lt;&gt;""," | "&amp;'Aux Refuerzo'!Q33,"") &amp; IF('Aux Refuerzo'!R33&lt;&gt;""," | "&amp;'Aux Refuerzo'!R33,"") &amp; IF('Aux Refuerzo'!S33&lt;&gt;""," | "&amp;'Aux Refuerzo'!S33,"") &amp; IF(B39&gt;12," | (+"&amp;(B39-12)&amp;" más)",""),"")&amp;IF(C39&gt;0,IF(B39&gt;0," | ","")&amp;'Aux Refuerzo'!H33 &amp; IF('Aux Refuerzo'!I33&lt;&gt;""," | "&amp;'Aux Refuerzo'!I33,"") &amp; IF('Aux Refuerzo'!J33&lt;&gt;""," | "&amp;'Aux Refuerzo'!J33,"") &amp; IF('Aux Refuerzo'!K33&lt;&gt;""," | "&amp;'Aux Refuerzo'!K33,"") &amp; IF('Aux Refuerzo'!L33&lt;&gt;""," | "&amp;'Aux Refuerzo'!L33,"") &amp; IF('Aux Refuerzo'!T33&lt;&gt;""," | "&amp;'Aux Refuerzo'!T33,"") &amp; IF('Aux Refuerzo'!U33&lt;&gt;""," | "&amp;'Aux Refuerzo'!U33,"") &amp; IF('Aux Refuerzo'!V33&lt;&gt;""," | "&amp;'Aux Refuerzo'!V33,"") &amp; IF('Aux Refuerzo'!W33&lt;&gt;""," | "&amp;'Aux Refuerzo'!W33,"") &amp; IF('Aux Refuerzo'!X33&lt;&gt;""," | "&amp;'Aux Refuerzo'!X33,"") &amp; IF('Aux Refuerzo'!Y33&lt;&gt;""," | "&amp;'Aux Refuerzo'!Y33,"") &amp; IF('Aux Refuerzo'!Z33&lt;&gt;""," | "&amp;'Aux Refuerzo'!Z33,"") &amp; IF(C39&gt;12," | (+"&amp;(C39-12)&amp;" más)",""),""))</f>
      </c>
    </row>
    <row r="40" spans="1:4" ht="7.5" customHeight="1" x14ac:dyDescent="0.2"/>
    <row r="41" spans="1:4" ht="27.75" customHeight="1" x14ac:dyDescent="0.2">
      <c r="A41" s="50" t="s">
        <v>119</v>
      </c>
      <c r="B41" s="47"/>
      <c r="C41" s="47"/>
      <c r="D41" s="47"/>
    </row>
    <row r="42" spans="1:4" ht="24" customHeight="1" x14ac:dyDescent="0.2">
      <c r="A42" s="44" t="s">
        <v>120</v>
      </c>
      <c r="B42" s="45">
        <f>COUNTIF(Registro!$O$2:$O$501,"Sí")</f>
        <v>0</v>
      </c>
    </row>
    <row r="43" spans="1:4" ht="24" customHeight="1" x14ac:dyDescent="0.2">
      <c r="A43" s="44" t="s">
        <v>121</v>
      </c>
      <c r="B43" s="45">
        <f>COUNTIF('Registro Refuerzo'!$H$2:$H$201,"Activo")</f>
        <v>0</v>
      </c>
    </row>
    <row r="44" spans="1:4" ht="24" customHeight="1" x14ac:dyDescent="0.2">
      <c r="A44" s="44" t="s">
        <v>122</v>
      </c>
      <c r="B44" s="45">
        <f>B42+B43</f>
        <v>0</v>
      </c>
    </row>
  </sheetData>
  <sheetProtection sheet="1" objects="1" scenarios="1" formatCells="1" formatColumns="1" formatRows="1" insertColumns="1" insertRows="1" insertHyperlinks="1" deleteColumns="1" deleteRows="1" sort="1" autoFilter="0" pivotTables="1" selectLockedCells="0" selectUnlockedCells="0"/>
  <mergeCells count="4">
    <mergeCell ref="A1:D1"/>
    <mergeCell ref="A3:D3"/>
    <mergeCell ref="A9:D9"/>
    <mergeCell ref="A41:D41"/>
  </mergeCells>
  <conditionalFormatting sqref="A5:D7">
    <cfRule type="expression" dxfId="1" priority="2">
      <formula>($B5+$C5)&gt;0</formula>
    </cfRule>
  </conditionalFormatting>
  <conditionalFormatting sqref="A11:D39">
    <cfRule type="expression" dxfId="0" priority="3">
      <formula>($B11+$C11)&gt;0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showGridLines="0" tabSelected="1" workbookViewId="0"/>
  </sheetViews>
  <sheetFormatPr baseColWidth="10" defaultRowHeight="16"/>
  <cols>
    <col min="1" max="1" width="32" customWidth="1"/>
    <col min="2" max="2" width="34" customWidth="1"/>
    <col min="3" max="3" width="54" customWidth="1"/>
  </cols>
  <sheetData>
    <row r="1" spans="1:3" ht="32" customHeight="1">
      <c r="A1" s="46" t="inlineStr">
        <is>
          <t xml:space="preserve">REGISTRO DE VACANTES Y REFUERZOS</t>
        </is>
      </c>
      <c r="B1" s="46"/>
      <c r="C1" s="46"/>
    </row>
    <row r="2" spans="1:3" ht="36" customHeight="1">
      <c r="A2" s="69" t="inlineStr">
        <is>
          <t xml:space="preserve">Enseñanzas elementales y profesionales de Música · vacantes de cualquier origen, su vía de cobertura y las horas usadas como refuerzo</t>
        </is>
      </c>
      <c r="B2" s="69"/>
      <c r="C2" s="69"/>
    </row>
    <row r="4" spans="1:3" ht="20" customHeight="1">
      <c r="A4" s="10" t="inlineStr">
        <is>
          <t xml:space="preserve">Centro</t>
        </is>
      </c>
      <c r="B4" s="54"/>
      <c r="C4" s="6" t="inlineStr">
        <is>
          <t xml:space="preserve">obligatorio · escribe aquí el nombre del centro</t>
        </is>
      </c>
    </row>
    <row r="5" spans="1:3" ht="20" customHeight="1">
      <c r="A5" s="10" t="inlineStr">
        <is>
          <t xml:space="preserve">Código del centro</t>
        </is>
      </c>
      <c r="B5" s="54"/>
      <c r="C5" s="6" t="inlineStr">
        <is>
          <t xml:space="preserve">obligatorio · el código de centro de la GVA; aparece en la cabecera de todos los informes</t>
        </is>
      </c>
    </row>
    <row r="6" spans="1:3" ht="20" customHeight="1">
      <c r="A6" s="10" t="inlineStr">
        <is>
          <t xml:space="preserve">Curso académico</t>
        </is>
      </c>
      <c r="B6" s="54" t="inlineStr">
        <is>
          <t xml:space="preserve">2026-2027</t>
        </is>
      </c>
      <c r="C6" s="6" t="inlineStr">
        <is>
          <t xml:space="preserve">revísalo cada septiembre</t>
        </is>
      </c>
    </row>
    <row r="7" spans="1:3" ht="20" customHeight="1">
      <c r="A7" s="10" t="inlineStr">
        <is>
          <t xml:space="preserve">Hoy es</t>
        </is>
      </c>
      <c r="B7" s="21">
        <f>TODAY()</f>
      </c>
      <c r="C7" s="6"/>
    </row>
    <row r="8" spans="1:3" ht="30" customHeight="1">
      <c r="A8" s="10" t="inlineStr">
        <is>
          <t xml:space="preserve">Fin del 2.º trimestre</t>
        </is>
      </c>
      <c r="B8" s="55"/>
      <c r="C8" s="6" t="inlineStr">
        <is>
          <t xml:space="preserve">obligatorio · lo fija el centro en su PGA; habitualmente, el último día lectivo antes de Pascua</t>
        </is>
      </c>
    </row>
    <row r="9" spans="1:3" ht="26" customHeight="1">
      <c r="A9" s="7">
        <f>IF($B$8="","Falta la fecha de fin del 2.º trimestre, aquí arriba","Lista de espera: "&amp;IF(TODAY()&lt;=DATE(IF(MONTH(TODAY())&gt;=9,YEAR(TODAY()),YEAR(TODAY())-1),12,15),"ABIERTA hasta el 15 de diciembre","CERRADA desde el 16 de diciembre")&amp;"      ·      Traslado de expediente: "&amp;IF(TODAY()&lt;=$B$8,"ABIERTO hasta el fin del 2.º trimestre","CERRADO")&amp;IF(AND(TODAY()&gt;DATE(IF(MONTH(TODAY())&gt;=9,YEAR(TODAY()),YEAR(TODAY())-1),12,15),TODAY()&gt;$B$8),"      ·      Solo queda la vía excepcional de la dirección territorial",""))</f>
      </c>
      <c r="B9" s="7"/>
      <c r="C9" s="7"/>
    </row>
    <row r="10" spans="1:3" ht="24" customHeight="1">
      <c r="A10" s="51" t="inlineStr">
        <is>
          <t xml:space="preserve">CÓMO SE CUBRE UNA VACANTE, SEGÚN LA FECHA</t>
        </is>
      </c>
      <c r="B10" s="51"/>
      <c r="C10" s="51"/>
    </row>
    <row r="11" spans="1:3" ht="20" customHeight="1">
      <c r="A11" s="3" t="inlineStr">
        <is>
          <t xml:space="preserve">Plazo</t>
        </is>
      </c>
      <c r="B11" s="3" t="inlineStr">
        <is>
          <t xml:space="preserve">Qué ocurre</t>
        </is>
      </c>
      <c r="C11" s="3" t="inlineStr">
        <is>
          <t xml:space="preserve">Detalle</t>
        </is>
      </c>
    </row>
    <row r="12" spans="1:3" ht="20" customHeight="1">
      <c r="A12" s="6" t="inlineStr">
        <is>
          <t xml:space="preserve">hasta el 30 de noviembre</t>
        </is>
      </c>
      <c r="B12" s="6" t="inlineStr">
        <is>
          <t xml:space="preserve">Renuncia de matrícula</t>
        </is>
      </c>
      <c r="C12" s="6" t="inlineStr">
        <is>
          <t xml:space="preserve">No computa a efectos de permanencia</t>
        </is>
      </c>
    </row>
    <row r="13" spans="1:3" ht="20" customHeight="1">
      <c r="A13" s="6" t="inlineStr">
        <is>
          <t xml:space="preserve">desde el 1 de diciembre</t>
        </is>
      </c>
      <c r="B13" s="6" t="inlineStr">
        <is>
          <t xml:space="preserve">Baja de matrícula</t>
        </is>
      </c>
      <c r="C13" s="6" t="inlineStr">
        <is>
          <t xml:space="preserve">Consume convocatoria</t>
        </is>
      </c>
    </row>
    <row r="14" spans="1:3" ht="20" customHeight="1">
      <c r="A14" s="6" t="inlineStr">
        <is>
          <t xml:space="preserve">hasta el 15 de diciembre</t>
        </is>
      </c>
      <c r="B14" s="6" t="inlineStr">
        <is>
          <t xml:space="preserve">Lista de espera</t>
        </is>
      </c>
      <c r="C14" s="6" t="inlineStr">
        <is>
          <t xml:space="preserve">1.º propio centro · 2.º otros centros</t>
        </is>
      </c>
    </row>
    <row r="15" spans="1:3" ht="20" customHeight="1">
      <c r="A15" s="6" t="inlineStr">
        <is>
          <t xml:space="preserve">hasta el fin del 2.º trimestre</t>
        </is>
      </c>
      <c r="B15" s="6" t="inlineStr">
        <is>
          <t xml:space="preserve">Traslado de expediente</t>
        </is>
      </c>
      <c r="C15" s="6" t="inlineStr">
        <is>
          <t xml:space="preserve">Con lista de espera propia por especialidad</t>
        </is>
      </c>
    </row>
    <row r="16" spans="1:3" ht="20" customHeight="1">
      <c r="A16" s="6" t="inlineStr">
        <is>
          <t xml:space="preserve">después</t>
        </is>
      </c>
      <c r="B16" s="6" t="inlineStr">
        <is>
          <t xml:space="preserve">Solo vía excepcional</t>
        </is>
      </c>
      <c r="C16" s="6" t="inlineStr">
        <is>
          <t xml:space="preserve">Resuelve la dirección territorial</t>
        </is>
      </c>
    </row>
    <row r="18" spans="1:3" ht="20" customHeight="1">
      <c r="A18" s="10" t="inlineStr">
        <is>
          <t xml:space="preserve">Versión 1.1  ·  CC BY 4.0  ·  github.com/JLMirallesB/registro-vacantes-conservatorio</t>
        </is>
      </c>
      <c r="B18" s="10"/>
      <c r="C18" s="10"/>
    </row>
    <row r="19" spans="1:3" ht="20" customHeight="1">
      <c r="A19" s="6" t="inlineStr">
        <is>
          <t xml:space="preserve">Construido sobre la Orden 8/2026, de 24 de abril (DOGV 10352). El detalle del proceso, en la nota de centro.</t>
        </is>
      </c>
      <c r="B19" s="6"/>
      <c r="C19" s="6"/>
    </row>
  </sheetData>
  <sheetProtection sheet="1" objects="1" scenarios="1" formatCells="1" formatColumns="1" formatRows="1" insertColumns="1" insertRows="1" insertHyperlinks="1" deleteColumns="1" deleteRows="1" sort="1" autoFilter="0" pivotTables="1" selectLockedCells="0" selectUnlockedCells="0"/>
  <mergeCells count="6">
    <mergeCell ref="A19:C19"/>
    <mergeCell ref="A1:C1"/>
    <mergeCell ref="A2:C2"/>
    <mergeCell ref="A9:C9"/>
    <mergeCell ref="A10:C10"/>
    <mergeCell ref="A18:C18"/>
  </mergeCells>
  <conditionalFormatting sqref="A9:C9">
    <cfRule type="expression" dxfId="2" priority="3">
      <formula>LEFT($A$9,5)="Falta"</formula>
    </cfRule>
    <cfRule type="expression" dxfId="9" priority="4">
      <formula>TODAY()&gt;DATE(IF(MONTH(TODAY())&gt;=9,YEAR(TODAY()),YEAR(TODAY())-1),12,15)</formula>
    </cfRule>
  </conditionalFormatting>
  <conditionalFormatting sqref="B4">
    <cfRule type="expression" dxfId="2" priority="1">
      <formula>$B$4=""</formula>
    </cfRule>
  </conditionalFormatting>
  <conditionalFormatting sqref="B5">
    <cfRule type="expression" dxfId="2" priority="5">
      <formula>$B$5=""</formula>
    </cfRule>
  </conditionalFormatting>
  <conditionalFormatting sqref="B8">
    <cfRule type="expression" dxfId="2" priority="2">
      <formula>$B$8=""</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1"/>
  <sheetViews>
    <sheetView showGridLines="0" workbookViewId="0">
      <pane ySplit="1" topLeftCell="A2" activePane="bottomLeft" state="frozen"/>
    </sheetView>
  </sheetViews>
  <sheetFormatPr baseColWidth="10" defaultRowHeight="16"/>
  <cols>
    <col min="1" max="1" width="38" customWidth="1"/>
    <col min="2" max="2" width="70" customWidth="1"/>
  </cols>
  <sheetData>
    <row r="1" spans="1:2" ht="27.75" customHeight="1">
      <c r="A1" s="3" t="inlineStr">
        <is>
          <t xml:space="preserve">Docentes del centro</t>
        </is>
      </c>
      <c r="B1" s="3" t="inlineStr">
        <is>
          <t xml:space="preserve"/>
        </is>
      </c>
    </row>
    <row r="2" spans="1:2" ht="30" customHeight="1">
      <c r="A2" s="53" t="inlineStr">
        <is>
          <t xml:space="preserve"/>
        </is>
      </c>
      <c r="B2" s="7" t="inlineStr">
        <is>
          <t xml:space="preserve">Escribe aquí un docente por fila, sin dejar huecos. Esta lista alimenta el desplegable «Nombre del Docente» de las dos hojas de registro.</t>
        </is>
      </c>
    </row>
    <row r="3" spans="1:2">
      <c r="A3" s="53" t="inlineStr">
        <is>
          <t xml:space="preserve"/>
        </is>
      </c>
    </row>
    <row r="4" spans="1:2">
      <c r="A4" s="53" t="inlineStr">
        <is>
          <t xml:space="preserve"/>
        </is>
      </c>
    </row>
    <row r="5" spans="1:2">
      <c r="A5" s="53" t="inlineStr">
        <is>
          <t xml:space="preserve"/>
        </is>
      </c>
    </row>
    <row r="6" spans="1:2">
      <c r="A6" s="53" t="inlineStr">
        <is>
          <t xml:space="preserve"/>
        </is>
      </c>
    </row>
    <row r="7" spans="1:2">
      <c r="A7" s="53" t="inlineStr">
        <is>
          <t xml:space="preserve"/>
        </is>
      </c>
    </row>
    <row r="8" spans="1:2">
      <c r="A8" s="53" t="inlineStr">
        <is>
          <t xml:space="preserve"/>
        </is>
      </c>
    </row>
    <row r="9" spans="1:2">
      <c r="A9" s="53" t="inlineStr">
        <is>
          <t xml:space="preserve"/>
        </is>
      </c>
    </row>
    <row r="10" spans="1:2">
      <c r="A10" s="53" t="inlineStr">
        <is>
          <t xml:space="preserve"/>
        </is>
      </c>
    </row>
    <row r="11" spans="1:2">
      <c r="A11" s="53" t="inlineStr">
        <is>
          <t xml:space="preserve"/>
        </is>
      </c>
    </row>
    <row r="12" spans="1:2">
      <c r="A12" s="53" t="inlineStr">
        <is>
          <t xml:space="preserve"/>
        </is>
      </c>
    </row>
    <row r="13" spans="1:2">
      <c r="A13" s="53" t="inlineStr">
        <is>
          <t xml:space="preserve"/>
        </is>
      </c>
    </row>
    <row r="14" spans="1:2">
      <c r="A14" s="53" t="inlineStr">
        <is>
          <t xml:space="preserve"/>
        </is>
      </c>
    </row>
    <row r="15" spans="1:2">
      <c r="A15" s="53" t="inlineStr">
        <is>
          <t xml:space="preserve"/>
        </is>
      </c>
    </row>
    <row r="16" spans="1:2">
      <c r="A16" s="53" t="inlineStr">
        <is>
          <t xml:space="preserve"/>
        </is>
      </c>
    </row>
    <row r="17" spans="1:2">
      <c r="A17" s="53" t="inlineStr">
        <is>
          <t xml:space="preserve"/>
        </is>
      </c>
    </row>
    <row r="18" spans="1:2">
      <c r="A18" s="53" t="inlineStr">
        <is>
          <t xml:space="preserve"/>
        </is>
      </c>
    </row>
    <row r="19" spans="1:2">
      <c r="A19" s="53" t="inlineStr">
        <is>
          <t xml:space="preserve"/>
        </is>
      </c>
    </row>
    <row r="20" spans="1:2">
      <c r="A20" s="53" t="inlineStr">
        <is>
          <t xml:space="preserve"/>
        </is>
      </c>
    </row>
    <row r="21" spans="1:2">
      <c r="A21" s="53" t="inlineStr">
        <is>
          <t xml:space="preserve"/>
        </is>
      </c>
    </row>
    <row r="22" spans="1:2">
      <c r="A22" s="53" t="inlineStr">
        <is>
          <t xml:space="preserve"/>
        </is>
      </c>
    </row>
    <row r="23" spans="1:2">
      <c r="A23" s="53" t="inlineStr">
        <is>
          <t xml:space="preserve"/>
        </is>
      </c>
    </row>
    <row r="24" spans="1:2">
      <c r="A24" s="53" t="inlineStr">
        <is>
          <t xml:space="preserve"/>
        </is>
      </c>
    </row>
    <row r="25" spans="1:2">
      <c r="A25" s="53" t="inlineStr">
        <is>
          <t xml:space="preserve"/>
        </is>
      </c>
    </row>
    <row r="26" spans="1:2">
      <c r="A26" s="53" t="inlineStr">
        <is>
          <t xml:space="preserve"/>
        </is>
      </c>
    </row>
    <row r="27" spans="1:2">
      <c r="A27" s="53" t="inlineStr">
        <is>
          <t xml:space="preserve"/>
        </is>
      </c>
    </row>
    <row r="28" spans="1:2">
      <c r="A28" s="53" t="inlineStr">
        <is>
          <t xml:space="preserve"/>
        </is>
      </c>
    </row>
    <row r="29" spans="1:2">
      <c r="A29" s="53" t="inlineStr">
        <is>
          <t xml:space="preserve"/>
        </is>
      </c>
    </row>
    <row r="30" spans="1:2">
      <c r="A30" s="53" t="inlineStr">
        <is>
          <t xml:space="preserve"/>
        </is>
      </c>
    </row>
    <row r="31" spans="1:2">
      <c r="A31" s="53" t="inlineStr">
        <is>
          <t xml:space="preserve"/>
        </is>
      </c>
    </row>
    <row r="32" spans="1:2">
      <c r="A32" s="53" t="inlineStr">
        <is>
          <t xml:space="preserve"/>
        </is>
      </c>
    </row>
    <row r="33" spans="1:2">
      <c r="A33" s="53" t="inlineStr">
        <is>
          <t xml:space="preserve"/>
        </is>
      </c>
    </row>
    <row r="34" spans="1:2">
      <c r="A34" s="53" t="inlineStr">
        <is>
          <t xml:space="preserve"/>
        </is>
      </c>
    </row>
    <row r="35" spans="1:2">
      <c r="A35" s="53" t="inlineStr">
        <is>
          <t xml:space="preserve"/>
        </is>
      </c>
    </row>
    <row r="36" spans="1:2">
      <c r="A36" s="53" t="inlineStr">
        <is>
          <t xml:space="preserve"/>
        </is>
      </c>
    </row>
    <row r="37" spans="1:2">
      <c r="A37" s="53" t="inlineStr">
        <is>
          <t xml:space="preserve"/>
        </is>
      </c>
    </row>
    <row r="38" spans="1:2">
      <c r="A38" s="53" t="inlineStr">
        <is>
          <t xml:space="preserve"/>
        </is>
      </c>
    </row>
    <row r="39" spans="1:2">
      <c r="A39" s="53" t="inlineStr">
        <is>
          <t xml:space="preserve"/>
        </is>
      </c>
    </row>
    <row r="40" spans="1:2">
      <c r="A40" s="53" t="inlineStr">
        <is>
          <t xml:space="preserve"/>
        </is>
      </c>
    </row>
    <row r="41" spans="1:2">
      <c r="A41" s="53" t="inlineStr">
        <is>
          <t xml:space="preserve"/>
        </is>
      </c>
    </row>
    <row r="42" spans="1:2">
      <c r="A42" s="53" t="inlineStr">
        <is>
          <t xml:space="preserve"/>
        </is>
      </c>
    </row>
    <row r="43" spans="1:2">
      <c r="A43" s="53" t="inlineStr">
        <is>
          <t xml:space="preserve"/>
        </is>
      </c>
    </row>
    <row r="44" spans="1:2">
      <c r="A44" s="53" t="inlineStr">
        <is>
          <t xml:space="preserve"/>
        </is>
      </c>
    </row>
    <row r="45" spans="1:2">
      <c r="A45" s="53" t="inlineStr">
        <is>
          <t xml:space="preserve"/>
        </is>
      </c>
    </row>
    <row r="46" spans="1:2">
      <c r="A46" s="53" t="inlineStr">
        <is>
          <t xml:space="preserve"/>
        </is>
      </c>
    </row>
    <row r="47" spans="1:2">
      <c r="A47" s="53" t="inlineStr">
        <is>
          <t xml:space="preserve"/>
        </is>
      </c>
    </row>
    <row r="48" spans="1:2">
      <c r="A48" s="53" t="inlineStr">
        <is>
          <t xml:space="preserve"/>
        </is>
      </c>
    </row>
    <row r="49" spans="1:2">
      <c r="A49" s="53" t="inlineStr">
        <is>
          <t xml:space="preserve"/>
        </is>
      </c>
    </row>
    <row r="50" spans="1:2">
      <c r="A50" s="53" t="inlineStr">
        <is>
          <t xml:space="preserve"/>
        </is>
      </c>
    </row>
    <row r="51" spans="1:2">
      <c r="A51" s="53" t="inlineStr">
        <is>
          <t xml:space="preserve"/>
        </is>
      </c>
    </row>
    <row r="52" spans="1:2">
      <c r="A52" s="53" t="inlineStr">
        <is>
          <t xml:space="preserve"/>
        </is>
      </c>
    </row>
    <row r="53" spans="1:2">
      <c r="A53" s="53" t="inlineStr">
        <is>
          <t xml:space="preserve"/>
        </is>
      </c>
    </row>
    <row r="54" spans="1:2">
      <c r="A54" s="53" t="inlineStr">
        <is>
          <t xml:space="preserve"/>
        </is>
      </c>
    </row>
    <row r="55" spans="1:2">
      <c r="A55" s="53" t="inlineStr">
        <is>
          <t xml:space="preserve"/>
        </is>
      </c>
    </row>
    <row r="56" spans="1:2">
      <c r="A56" s="53" t="inlineStr">
        <is>
          <t xml:space="preserve"/>
        </is>
      </c>
    </row>
    <row r="57" spans="1:2">
      <c r="A57" s="53" t="inlineStr">
        <is>
          <t xml:space="preserve"/>
        </is>
      </c>
    </row>
    <row r="58" spans="1:2">
      <c r="A58" s="53" t="inlineStr">
        <is>
          <t xml:space="preserve"/>
        </is>
      </c>
    </row>
    <row r="59" spans="1:2">
      <c r="A59" s="53" t="inlineStr">
        <is>
          <t xml:space="preserve"/>
        </is>
      </c>
    </row>
    <row r="60" spans="1:2">
      <c r="A60" s="53" t="inlineStr">
        <is>
          <t xml:space="preserve"/>
        </is>
      </c>
    </row>
    <row r="61" spans="1:2">
      <c r="A61" s="53" t="inlineStr">
        <is>
          <t xml:space="preserve"/>
        </is>
      </c>
    </row>
    <row r="62" spans="1:2">
      <c r="A62" s="53" t="inlineStr">
        <is>
          <t xml:space="preserve"/>
        </is>
      </c>
    </row>
    <row r="63" spans="1:2">
      <c r="A63" s="53" t="inlineStr">
        <is>
          <t xml:space="preserve"/>
        </is>
      </c>
    </row>
    <row r="64" spans="1:2">
      <c r="A64" s="53" t="inlineStr">
        <is>
          <t xml:space="preserve"/>
        </is>
      </c>
    </row>
    <row r="65" spans="1:2">
      <c r="A65" s="53" t="inlineStr">
        <is>
          <t xml:space="preserve"/>
        </is>
      </c>
    </row>
    <row r="66" spans="1:2">
      <c r="A66" s="53" t="inlineStr">
        <is>
          <t xml:space="preserve"/>
        </is>
      </c>
    </row>
    <row r="67" spans="1:2">
      <c r="A67" s="53" t="inlineStr">
        <is>
          <t xml:space="preserve"/>
        </is>
      </c>
    </row>
    <row r="68" spans="1:2">
      <c r="A68" s="53" t="inlineStr">
        <is>
          <t xml:space="preserve"/>
        </is>
      </c>
    </row>
    <row r="69" spans="1:2">
      <c r="A69" s="53" t="inlineStr">
        <is>
          <t xml:space="preserve"/>
        </is>
      </c>
    </row>
    <row r="70" spans="1:2">
      <c r="A70" s="53" t="inlineStr">
        <is>
          <t xml:space="preserve"/>
        </is>
      </c>
    </row>
    <row r="71" spans="1:2">
      <c r="A71" s="53" t="inlineStr">
        <is>
          <t xml:space="preserve"/>
        </is>
      </c>
    </row>
    <row r="72" spans="1:2">
      <c r="A72" s="53" t="inlineStr">
        <is>
          <t xml:space="preserve"/>
        </is>
      </c>
    </row>
    <row r="73" spans="1:2">
      <c r="A73" s="53" t="inlineStr">
        <is>
          <t xml:space="preserve"/>
        </is>
      </c>
    </row>
    <row r="74" spans="1:2">
      <c r="A74" s="53" t="inlineStr">
        <is>
          <t xml:space="preserve"/>
        </is>
      </c>
    </row>
    <row r="75" spans="1:2">
      <c r="A75" s="53" t="inlineStr">
        <is>
          <t xml:space="preserve"/>
        </is>
      </c>
    </row>
    <row r="76" spans="1:2">
      <c r="A76" s="53" t="inlineStr">
        <is>
          <t xml:space="preserve"/>
        </is>
      </c>
    </row>
    <row r="77" spans="1:2">
      <c r="A77" s="53" t="inlineStr">
        <is>
          <t xml:space="preserve"/>
        </is>
      </c>
    </row>
    <row r="78" spans="1:2">
      <c r="A78" s="53" t="inlineStr">
        <is>
          <t xml:space="preserve"/>
        </is>
      </c>
    </row>
    <row r="79" spans="1:2">
      <c r="A79" s="53" t="inlineStr">
        <is>
          <t xml:space="preserve"/>
        </is>
      </c>
    </row>
    <row r="80" spans="1:2">
      <c r="A80" s="53" t="inlineStr">
        <is>
          <t xml:space="preserve"/>
        </is>
      </c>
    </row>
    <row r="81" spans="1:2">
      <c r="A81" s="53" t="inlineStr">
        <is>
          <t xml:space="preserve"/>
        </is>
      </c>
    </row>
    <row r="82" spans="1:2">
      <c r="A82" s="53" t="inlineStr">
        <is>
          <t xml:space="preserve"/>
        </is>
      </c>
    </row>
    <row r="83" spans="1:2">
      <c r="A83" s="53" t="inlineStr">
        <is>
          <t xml:space="preserve"/>
        </is>
      </c>
    </row>
    <row r="84" spans="1:2">
      <c r="A84" s="53" t="inlineStr">
        <is>
          <t xml:space="preserve"/>
        </is>
      </c>
    </row>
    <row r="85" spans="1:2">
      <c r="A85" s="53" t="inlineStr">
        <is>
          <t xml:space="preserve"/>
        </is>
      </c>
    </row>
    <row r="86" spans="1:2">
      <c r="A86" s="53" t="inlineStr">
        <is>
          <t xml:space="preserve"/>
        </is>
      </c>
    </row>
    <row r="87" spans="1:2">
      <c r="A87" s="53" t="inlineStr">
        <is>
          <t xml:space="preserve"/>
        </is>
      </c>
    </row>
    <row r="88" spans="1:2">
      <c r="A88" s="53" t="inlineStr">
        <is>
          <t xml:space="preserve"/>
        </is>
      </c>
    </row>
    <row r="89" spans="1:2">
      <c r="A89" s="53" t="inlineStr">
        <is>
          <t xml:space="preserve"/>
        </is>
      </c>
    </row>
    <row r="90" spans="1:2">
      <c r="A90" s="53" t="inlineStr">
        <is>
          <t xml:space="preserve"/>
        </is>
      </c>
    </row>
    <row r="91" spans="1:2">
      <c r="A91" s="53" t="inlineStr">
        <is>
          <t xml:space="preserve"/>
        </is>
      </c>
    </row>
    <row r="92" spans="1:2">
      <c r="A92" s="53" t="inlineStr">
        <is>
          <t xml:space="preserve"/>
        </is>
      </c>
    </row>
    <row r="93" spans="1:2">
      <c r="A93" s="53" t="inlineStr">
        <is>
          <t xml:space="preserve"/>
        </is>
      </c>
    </row>
    <row r="94" spans="1:2">
      <c r="A94" s="53" t="inlineStr">
        <is>
          <t xml:space="preserve"/>
        </is>
      </c>
    </row>
    <row r="95" spans="1:2">
      <c r="A95" s="53" t="inlineStr">
        <is>
          <t xml:space="preserve"/>
        </is>
      </c>
    </row>
    <row r="96" spans="1:2">
      <c r="A96" s="53" t="inlineStr">
        <is>
          <t xml:space="preserve"/>
        </is>
      </c>
    </row>
    <row r="97" spans="1:2">
      <c r="A97" s="53" t="inlineStr">
        <is>
          <t xml:space="preserve"/>
        </is>
      </c>
    </row>
    <row r="98" spans="1:2">
      <c r="A98" s="53" t="inlineStr">
        <is>
          <t xml:space="preserve"/>
        </is>
      </c>
    </row>
    <row r="99" spans="1:2">
      <c r="A99" s="53" t="inlineStr">
        <is>
          <t xml:space="preserve"/>
        </is>
      </c>
    </row>
    <row r="100" spans="1:2">
      <c r="A100" s="53" t="inlineStr">
        <is>
          <t xml:space="preserve"/>
        </is>
      </c>
    </row>
    <row r="101" spans="1:2">
      <c r="A101" s="53" t="inlineStr">
        <is>
          <t xml:space="preserve"/>
        </is>
      </c>
    </row>
    <row r="102" spans="1:2">
      <c r="A102" s="53" t="inlineStr">
        <is>
          <t xml:space="preserve"/>
        </is>
      </c>
    </row>
    <row r="103" spans="1:2">
      <c r="A103" s="53" t="inlineStr">
        <is>
          <t xml:space="preserve"/>
        </is>
      </c>
    </row>
    <row r="104" spans="1:2">
      <c r="A104" s="53" t="inlineStr">
        <is>
          <t xml:space="preserve"/>
        </is>
      </c>
    </row>
    <row r="105" spans="1:2">
      <c r="A105" s="53" t="inlineStr">
        <is>
          <t xml:space="preserve"/>
        </is>
      </c>
    </row>
    <row r="106" spans="1:2">
      <c r="A106" s="53" t="inlineStr">
        <is>
          <t xml:space="preserve"/>
        </is>
      </c>
    </row>
    <row r="107" spans="1:2">
      <c r="A107" s="53" t="inlineStr">
        <is>
          <t xml:space="preserve"/>
        </is>
      </c>
    </row>
    <row r="108" spans="1:2">
      <c r="A108" s="53" t="inlineStr">
        <is>
          <t xml:space="preserve"/>
        </is>
      </c>
    </row>
    <row r="109" spans="1:2">
      <c r="A109" s="53" t="inlineStr">
        <is>
          <t xml:space="preserve"/>
        </is>
      </c>
    </row>
    <row r="110" spans="1:2">
      <c r="A110" s="53" t="inlineStr">
        <is>
          <t xml:space="preserve"/>
        </is>
      </c>
    </row>
    <row r="111" spans="1:2">
      <c r="A111" s="53" t="inlineStr">
        <is>
          <t xml:space="preserve"/>
        </is>
      </c>
    </row>
    <row r="112" spans="1:2">
      <c r="A112" s="53" t="inlineStr">
        <is>
          <t xml:space="preserve"/>
        </is>
      </c>
    </row>
    <row r="113" spans="1:2">
      <c r="A113" s="53" t="inlineStr">
        <is>
          <t xml:space="preserve"/>
        </is>
      </c>
    </row>
    <row r="114" spans="1:2">
      <c r="A114" s="53" t="inlineStr">
        <is>
          <t xml:space="preserve"/>
        </is>
      </c>
    </row>
    <row r="115" spans="1:2">
      <c r="A115" s="53" t="inlineStr">
        <is>
          <t xml:space="preserve"/>
        </is>
      </c>
    </row>
    <row r="116" spans="1:2">
      <c r="A116" s="53" t="inlineStr">
        <is>
          <t xml:space="preserve"/>
        </is>
      </c>
    </row>
    <row r="117" spans="1:2">
      <c r="A117" s="53" t="inlineStr">
        <is>
          <t xml:space="preserve"/>
        </is>
      </c>
    </row>
    <row r="118" spans="1:2">
      <c r="A118" s="53" t="inlineStr">
        <is>
          <t xml:space="preserve"/>
        </is>
      </c>
    </row>
    <row r="119" spans="1:2">
      <c r="A119" s="53" t="inlineStr">
        <is>
          <t xml:space="preserve"/>
        </is>
      </c>
    </row>
    <row r="120" spans="1:2">
      <c r="A120" s="53" t="inlineStr">
        <is>
          <t xml:space="preserve"/>
        </is>
      </c>
    </row>
    <row r="121" spans="1:2">
      <c r="A121" s="53" t="inlineStr">
        <is>
          <t xml:space="preserve"/>
        </is>
      </c>
    </row>
    <row r="122" spans="1:2">
      <c r="A122" s="53" t="inlineStr">
        <is>
          <t xml:space="preserve"/>
        </is>
      </c>
    </row>
    <row r="123" spans="1:2">
      <c r="A123" s="53" t="inlineStr">
        <is>
          <t xml:space="preserve"/>
        </is>
      </c>
    </row>
    <row r="124" spans="1:2">
      <c r="A124" s="53" t="inlineStr">
        <is>
          <t xml:space="preserve"/>
        </is>
      </c>
    </row>
    <row r="125" spans="1:2">
      <c r="A125" s="53" t="inlineStr">
        <is>
          <t xml:space="preserve"/>
        </is>
      </c>
    </row>
    <row r="126" spans="1:2">
      <c r="A126" s="53" t="inlineStr">
        <is>
          <t xml:space="preserve"/>
        </is>
      </c>
    </row>
    <row r="127" spans="1:2">
      <c r="A127" s="53" t="inlineStr">
        <is>
          <t xml:space="preserve"/>
        </is>
      </c>
    </row>
    <row r="128" spans="1:2">
      <c r="A128" s="53" t="inlineStr">
        <is>
          <t xml:space="preserve"/>
        </is>
      </c>
    </row>
    <row r="129" spans="1:2">
      <c r="A129" s="53" t="inlineStr">
        <is>
          <t xml:space="preserve"/>
        </is>
      </c>
    </row>
    <row r="130" spans="1:2">
      <c r="A130" s="53" t="inlineStr">
        <is>
          <t xml:space="preserve"/>
        </is>
      </c>
    </row>
    <row r="131" spans="1:2">
      <c r="A131" s="53" t="inlineStr">
        <is>
          <t xml:space="preserve"/>
        </is>
      </c>
    </row>
    <row r="132" spans="1:2">
      <c r="A132" s="53" t="inlineStr">
        <is>
          <t xml:space="preserve"/>
        </is>
      </c>
    </row>
    <row r="133" spans="1:2">
      <c r="A133" s="53" t="inlineStr">
        <is>
          <t xml:space="preserve"/>
        </is>
      </c>
    </row>
    <row r="134" spans="1:2">
      <c r="A134" s="53" t="inlineStr">
        <is>
          <t xml:space="preserve"/>
        </is>
      </c>
    </row>
    <row r="135" spans="1:2">
      <c r="A135" s="53" t="inlineStr">
        <is>
          <t xml:space="preserve"/>
        </is>
      </c>
    </row>
    <row r="136" spans="1:2">
      <c r="A136" s="53" t="inlineStr">
        <is>
          <t xml:space="preserve"/>
        </is>
      </c>
    </row>
    <row r="137" spans="1:2">
      <c r="A137" s="53" t="inlineStr">
        <is>
          <t xml:space="preserve"/>
        </is>
      </c>
    </row>
    <row r="138" spans="1:2">
      <c r="A138" s="53" t="inlineStr">
        <is>
          <t xml:space="preserve"/>
        </is>
      </c>
    </row>
    <row r="139" spans="1:2">
      <c r="A139" s="53" t="inlineStr">
        <is>
          <t xml:space="preserve"/>
        </is>
      </c>
    </row>
    <row r="140" spans="1:2">
      <c r="A140" s="53" t="inlineStr">
        <is>
          <t xml:space="preserve"/>
        </is>
      </c>
    </row>
    <row r="141" spans="1:2">
      <c r="A141" s="53" t="inlineStr">
        <is>
          <t xml:space="preserve"/>
        </is>
      </c>
    </row>
    <row r="142" spans="1:2">
      <c r="A142" s="53" t="inlineStr">
        <is>
          <t xml:space="preserve"/>
        </is>
      </c>
    </row>
    <row r="143" spans="1:2">
      <c r="A143" s="53" t="inlineStr">
        <is>
          <t xml:space="preserve"/>
        </is>
      </c>
    </row>
    <row r="144" spans="1:2">
      <c r="A144" s="53" t="inlineStr">
        <is>
          <t xml:space="preserve"/>
        </is>
      </c>
    </row>
    <row r="145" spans="1:2">
      <c r="A145" s="53" t="inlineStr">
        <is>
          <t xml:space="preserve"/>
        </is>
      </c>
    </row>
    <row r="146" spans="1:2">
      <c r="A146" s="53" t="inlineStr">
        <is>
          <t xml:space="preserve"/>
        </is>
      </c>
    </row>
    <row r="147" spans="1:2">
      <c r="A147" s="53" t="inlineStr">
        <is>
          <t xml:space="preserve"/>
        </is>
      </c>
    </row>
    <row r="148" spans="1:2">
      <c r="A148" s="53" t="inlineStr">
        <is>
          <t xml:space="preserve"/>
        </is>
      </c>
    </row>
    <row r="149" spans="1:2">
      <c r="A149" s="53" t="inlineStr">
        <is>
          <t xml:space="preserve"/>
        </is>
      </c>
    </row>
    <row r="150" spans="1:2">
      <c r="A150" s="53" t="inlineStr">
        <is>
          <t xml:space="preserve"/>
        </is>
      </c>
    </row>
    <row r="151" spans="1:2">
      <c r="A151" s="53" t="inlineStr">
        <is>
          <t xml:space="preserve"/>
        </is>
      </c>
    </row>
    <row r="152" spans="1:2">
      <c r="A152" s="53" t="inlineStr">
        <is>
          <t xml:space="preserve"/>
        </is>
      </c>
    </row>
    <row r="153" spans="1:2">
      <c r="A153" s="53" t="inlineStr">
        <is>
          <t xml:space="preserve"/>
        </is>
      </c>
    </row>
    <row r="154" spans="1:2">
      <c r="A154" s="53" t="inlineStr">
        <is>
          <t xml:space="preserve"/>
        </is>
      </c>
    </row>
    <row r="155" spans="1:2">
      <c r="A155" s="53" t="inlineStr">
        <is>
          <t xml:space="preserve"/>
        </is>
      </c>
    </row>
    <row r="156" spans="1:2">
      <c r="A156" s="53" t="inlineStr">
        <is>
          <t xml:space="preserve"/>
        </is>
      </c>
    </row>
    <row r="157" spans="1:2">
      <c r="A157" s="53" t="inlineStr">
        <is>
          <t xml:space="preserve"/>
        </is>
      </c>
    </row>
    <row r="158" spans="1:2">
      <c r="A158" s="53" t="inlineStr">
        <is>
          <t xml:space="preserve"/>
        </is>
      </c>
    </row>
    <row r="159" spans="1:2">
      <c r="A159" s="53" t="inlineStr">
        <is>
          <t xml:space="preserve"/>
        </is>
      </c>
    </row>
    <row r="160" spans="1:2">
      <c r="A160" s="53" t="inlineStr">
        <is>
          <t xml:space="preserve"/>
        </is>
      </c>
    </row>
    <row r="161" spans="1:2">
      <c r="A161" s="53" t="inlineStr">
        <is>
          <t xml:space="preserve"/>
        </is>
      </c>
    </row>
    <row r="162" spans="1:2">
      <c r="A162" s="53" t="inlineStr">
        <is>
          <t xml:space="preserve"/>
        </is>
      </c>
    </row>
    <row r="163" spans="1:2">
      <c r="A163" s="53" t="inlineStr">
        <is>
          <t xml:space="preserve"/>
        </is>
      </c>
    </row>
    <row r="164" spans="1:2">
      <c r="A164" s="53" t="inlineStr">
        <is>
          <t xml:space="preserve"/>
        </is>
      </c>
    </row>
    <row r="165" spans="1:2">
      <c r="A165" s="53" t="inlineStr">
        <is>
          <t xml:space="preserve"/>
        </is>
      </c>
    </row>
    <row r="166" spans="1:2">
      <c r="A166" s="53" t="inlineStr">
        <is>
          <t xml:space="preserve"/>
        </is>
      </c>
    </row>
    <row r="167" spans="1:2">
      <c r="A167" s="53" t="inlineStr">
        <is>
          <t xml:space="preserve"/>
        </is>
      </c>
    </row>
    <row r="168" spans="1:2">
      <c r="A168" s="53" t="inlineStr">
        <is>
          <t xml:space="preserve"/>
        </is>
      </c>
    </row>
    <row r="169" spans="1:2">
      <c r="A169" s="53" t="inlineStr">
        <is>
          <t xml:space="preserve"/>
        </is>
      </c>
    </row>
    <row r="170" spans="1:2">
      <c r="A170" s="53" t="inlineStr">
        <is>
          <t xml:space="preserve"/>
        </is>
      </c>
    </row>
    <row r="171" spans="1:2">
      <c r="A171" s="53" t="inlineStr">
        <is>
          <t xml:space="preserve"/>
        </is>
      </c>
    </row>
    <row r="172" spans="1:2">
      <c r="A172" s="53" t="inlineStr">
        <is>
          <t xml:space="preserve"/>
        </is>
      </c>
    </row>
    <row r="173" spans="1:2">
      <c r="A173" s="53" t="inlineStr">
        <is>
          <t xml:space="preserve"/>
        </is>
      </c>
    </row>
    <row r="174" spans="1:2">
      <c r="A174" s="53" t="inlineStr">
        <is>
          <t xml:space="preserve"/>
        </is>
      </c>
    </row>
    <row r="175" spans="1:2">
      <c r="A175" s="53" t="inlineStr">
        <is>
          <t xml:space="preserve"/>
        </is>
      </c>
    </row>
    <row r="176" spans="1:2">
      <c r="A176" s="53" t="inlineStr">
        <is>
          <t xml:space="preserve"/>
        </is>
      </c>
    </row>
    <row r="177" spans="1:2">
      <c r="A177" s="53" t="inlineStr">
        <is>
          <t xml:space="preserve"/>
        </is>
      </c>
    </row>
    <row r="178" spans="1:2">
      <c r="A178" s="53" t="inlineStr">
        <is>
          <t xml:space="preserve"/>
        </is>
      </c>
    </row>
    <row r="179" spans="1:2">
      <c r="A179" s="53" t="inlineStr">
        <is>
          <t xml:space="preserve"/>
        </is>
      </c>
    </row>
    <row r="180" spans="1:2">
      <c r="A180" s="53" t="inlineStr">
        <is>
          <t xml:space="preserve"/>
        </is>
      </c>
    </row>
    <row r="181" spans="1:2">
      <c r="A181" s="53" t="inlineStr">
        <is>
          <t xml:space="preserve"/>
        </is>
      </c>
    </row>
    <row r="182" spans="1:2">
      <c r="A182" s="53" t="inlineStr">
        <is>
          <t xml:space="preserve"/>
        </is>
      </c>
    </row>
    <row r="183" spans="1:2">
      <c r="A183" s="53" t="inlineStr">
        <is>
          <t xml:space="preserve"/>
        </is>
      </c>
    </row>
    <row r="184" spans="1:2">
      <c r="A184" s="53" t="inlineStr">
        <is>
          <t xml:space="preserve"/>
        </is>
      </c>
    </row>
    <row r="185" spans="1:2">
      <c r="A185" s="53" t="inlineStr">
        <is>
          <t xml:space="preserve"/>
        </is>
      </c>
    </row>
    <row r="186" spans="1:2">
      <c r="A186" s="53" t="inlineStr">
        <is>
          <t xml:space="preserve"/>
        </is>
      </c>
    </row>
    <row r="187" spans="1:2">
      <c r="A187" s="53" t="inlineStr">
        <is>
          <t xml:space="preserve"/>
        </is>
      </c>
    </row>
    <row r="188" spans="1:2">
      <c r="A188" s="53" t="inlineStr">
        <is>
          <t xml:space="preserve"/>
        </is>
      </c>
    </row>
    <row r="189" spans="1:2">
      <c r="A189" s="53" t="inlineStr">
        <is>
          <t xml:space="preserve"/>
        </is>
      </c>
    </row>
    <row r="190" spans="1:2">
      <c r="A190" s="53" t="inlineStr">
        <is>
          <t xml:space="preserve"/>
        </is>
      </c>
    </row>
    <row r="191" spans="1:2">
      <c r="A191" s="53" t="inlineStr">
        <is>
          <t xml:space="preserve"/>
        </is>
      </c>
    </row>
    <row r="192" spans="1:2">
      <c r="A192" s="53" t="inlineStr">
        <is>
          <t xml:space="preserve"/>
        </is>
      </c>
    </row>
    <row r="193" spans="1:2">
      <c r="A193" s="53" t="inlineStr">
        <is>
          <t xml:space="preserve"/>
        </is>
      </c>
    </row>
    <row r="194" spans="1:2">
      <c r="A194" s="53" t="inlineStr">
        <is>
          <t xml:space="preserve"/>
        </is>
      </c>
    </row>
    <row r="195" spans="1:2">
      <c r="A195" s="53" t="inlineStr">
        <is>
          <t xml:space="preserve"/>
        </is>
      </c>
    </row>
    <row r="196" spans="1:2">
      <c r="A196" s="53" t="inlineStr">
        <is>
          <t xml:space="preserve"/>
        </is>
      </c>
    </row>
    <row r="197" spans="1:2">
      <c r="A197" s="53" t="inlineStr">
        <is>
          <t xml:space="preserve"/>
        </is>
      </c>
    </row>
    <row r="198" spans="1:2">
      <c r="A198" s="53" t="inlineStr">
        <is>
          <t xml:space="preserve"/>
        </is>
      </c>
    </row>
    <row r="199" spans="1:2">
      <c r="A199" s="53" t="inlineStr">
        <is>
          <t xml:space="preserve"/>
        </is>
      </c>
    </row>
    <row r="200" spans="1:2">
      <c r="A200" s="53" t="inlineStr">
        <is>
          <t xml:space="preserve"/>
        </is>
      </c>
    </row>
    <row r="201" spans="1:2">
      <c r="A201" s="53" t="inlineStr">
        <is>
          <t xml:space="preserve"/>
        </is>
      </c>
    </row>
    <row r="202" spans="1:2">
      <c r="A202" s="53" t="inlineStr">
        <is>
          <t xml:space="preserve"/>
        </is>
      </c>
    </row>
    <row r="203" spans="1:2">
      <c r="A203" s="53" t="inlineStr">
        <is>
          <t xml:space="preserve"/>
        </is>
      </c>
    </row>
    <row r="204" spans="1:2">
      <c r="A204" s="53" t="inlineStr">
        <is>
          <t xml:space="preserve"/>
        </is>
      </c>
    </row>
    <row r="205" spans="1:2">
      <c r="A205" s="53" t="inlineStr">
        <is>
          <t xml:space="preserve"/>
        </is>
      </c>
    </row>
    <row r="206" spans="1:2">
      <c r="A206" s="53" t="inlineStr">
        <is>
          <t xml:space="preserve"/>
        </is>
      </c>
    </row>
    <row r="207" spans="1:2">
      <c r="A207" s="53" t="inlineStr">
        <is>
          <t xml:space="preserve"/>
        </is>
      </c>
    </row>
    <row r="208" spans="1:2">
      <c r="A208" s="53" t="inlineStr">
        <is>
          <t xml:space="preserve"/>
        </is>
      </c>
    </row>
    <row r="209" spans="1:2">
      <c r="A209" s="53" t="inlineStr">
        <is>
          <t xml:space="preserve"/>
        </is>
      </c>
    </row>
    <row r="210" spans="1:2">
      <c r="A210" s="53" t="inlineStr">
        <is>
          <t xml:space="preserve"/>
        </is>
      </c>
    </row>
    <row r="211" spans="1:2">
      <c r="A211" s="53" t="inlineStr">
        <is>
          <t xml:space="preserve"/>
        </is>
      </c>
    </row>
    <row r="212" spans="1:2">
      <c r="A212" s="53" t="inlineStr">
        <is>
          <t xml:space="preserve"/>
        </is>
      </c>
    </row>
    <row r="213" spans="1:2">
      <c r="A213" s="53" t="inlineStr">
        <is>
          <t xml:space="preserve"/>
        </is>
      </c>
    </row>
    <row r="214" spans="1:2">
      <c r="A214" s="53" t="inlineStr">
        <is>
          <t xml:space="preserve"/>
        </is>
      </c>
    </row>
    <row r="215" spans="1:2">
      <c r="A215" s="53" t="inlineStr">
        <is>
          <t xml:space="preserve"/>
        </is>
      </c>
    </row>
    <row r="216" spans="1:2">
      <c r="A216" s="53" t="inlineStr">
        <is>
          <t xml:space="preserve"/>
        </is>
      </c>
    </row>
    <row r="217" spans="1:2">
      <c r="A217" s="53" t="inlineStr">
        <is>
          <t xml:space="preserve"/>
        </is>
      </c>
    </row>
    <row r="218" spans="1:2">
      <c r="A218" s="53" t="inlineStr">
        <is>
          <t xml:space="preserve"/>
        </is>
      </c>
    </row>
    <row r="219" spans="1:2">
      <c r="A219" s="53" t="inlineStr">
        <is>
          <t xml:space="preserve"/>
        </is>
      </c>
    </row>
    <row r="220" spans="1:2">
      <c r="A220" s="53" t="inlineStr">
        <is>
          <t xml:space="preserve"/>
        </is>
      </c>
    </row>
    <row r="221" spans="1:2">
      <c r="A221" s="53" t="inlineStr">
        <is>
          <t xml:space="preserve"/>
        </is>
      </c>
    </row>
    <row r="222" spans="1:2">
      <c r="A222" s="53" t="inlineStr">
        <is>
          <t xml:space="preserve"/>
        </is>
      </c>
    </row>
    <row r="223" spans="1:2">
      <c r="A223" s="53" t="inlineStr">
        <is>
          <t xml:space="preserve"/>
        </is>
      </c>
    </row>
    <row r="224" spans="1:2">
      <c r="A224" s="53" t="inlineStr">
        <is>
          <t xml:space="preserve"/>
        </is>
      </c>
    </row>
    <row r="225" spans="1:2">
      <c r="A225" s="53" t="inlineStr">
        <is>
          <t xml:space="preserve"/>
        </is>
      </c>
    </row>
    <row r="226" spans="1:2">
      <c r="A226" s="53" t="inlineStr">
        <is>
          <t xml:space="preserve"/>
        </is>
      </c>
    </row>
    <row r="227" spans="1:2">
      <c r="A227" s="53" t="inlineStr">
        <is>
          <t xml:space="preserve"/>
        </is>
      </c>
    </row>
    <row r="228" spans="1:2">
      <c r="A228" s="53" t="inlineStr">
        <is>
          <t xml:space="preserve"/>
        </is>
      </c>
    </row>
    <row r="229" spans="1:2">
      <c r="A229" s="53" t="inlineStr">
        <is>
          <t xml:space="preserve"/>
        </is>
      </c>
    </row>
    <row r="230" spans="1:2">
      <c r="A230" s="53" t="inlineStr">
        <is>
          <t xml:space="preserve"/>
        </is>
      </c>
    </row>
    <row r="231" spans="1:2">
      <c r="A231" s="53" t="inlineStr">
        <is>
          <t xml:space="preserve"/>
        </is>
      </c>
    </row>
    <row r="232" spans="1:2">
      <c r="A232" s="53" t="inlineStr">
        <is>
          <t xml:space="preserve"/>
        </is>
      </c>
    </row>
    <row r="233" spans="1:2">
      <c r="A233" s="53" t="inlineStr">
        <is>
          <t xml:space="preserve"/>
        </is>
      </c>
    </row>
    <row r="234" spans="1:2">
      <c r="A234" s="53" t="inlineStr">
        <is>
          <t xml:space="preserve"/>
        </is>
      </c>
    </row>
    <row r="235" spans="1:2">
      <c r="A235" s="53" t="inlineStr">
        <is>
          <t xml:space="preserve"/>
        </is>
      </c>
    </row>
    <row r="236" spans="1:2">
      <c r="A236" s="53" t="inlineStr">
        <is>
          <t xml:space="preserve"/>
        </is>
      </c>
    </row>
    <row r="237" spans="1:2">
      <c r="A237" s="53" t="inlineStr">
        <is>
          <t xml:space="preserve"/>
        </is>
      </c>
    </row>
    <row r="238" spans="1:2">
      <c r="A238" s="53" t="inlineStr">
        <is>
          <t xml:space="preserve"/>
        </is>
      </c>
    </row>
    <row r="239" spans="1:2">
      <c r="A239" s="53" t="inlineStr">
        <is>
          <t xml:space="preserve"/>
        </is>
      </c>
    </row>
    <row r="240" spans="1:2">
      <c r="A240" s="53" t="inlineStr">
        <is>
          <t xml:space="preserve"/>
        </is>
      </c>
    </row>
    <row r="241" spans="1:2">
      <c r="A241" s="53" t="inlineStr">
        <is>
          <t xml:space="preserve"/>
        </is>
      </c>
    </row>
    <row r="242" spans="1:2">
      <c r="A242" s="53" t="inlineStr">
        <is>
          <t xml:space="preserve"/>
        </is>
      </c>
    </row>
    <row r="243" spans="1:2">
      <c r="A243" s="53" t="inlineStr">
        <is>
          <t xml:space="preserve"/>
        </is>
      </c>
    </row>
    <row r="244" spans="1:2">
      <c r="A244" s="53" t="inlineStr">
        <is>
          <t xml:space="preserve"/>
        </is>
      </c>
    </row>
    <row r="245" spans="1:2">
      <c r="A245" s="53" t="inlineStr">
        <is>
          <t xml:space="preserve"/>
        </is>
      </c>
    </row>
    <row r="246" spans="1:2">
      <c r="A246" s="53" t="inlineStr">
        <is>
          <t xml:space="preserve"/>
        </is>
      </c>
    </row>
    <row r="247" spans="1:2">
      <c r="A247" s="53" t="inlineStr">
        <is>
          <t xml:space="preserve"/>
        </is>
      </c>
    </row>
    <row r="248" spans="1:2">
      <c r="A248" s="53" t="inlineStr">
        <is>
          <t xml:space="preserve"/>
        </is>
      </c>
    </row>
    <row r="249" spans="1:2">
      <c r="A249" s="53" t="inlineStr">
        <is>
          <t xml:space="preserve"/>
        </is>
      </c>
    </row>
    <row r="250" spans="1:2">
      <c r="A250" s="53" t="inlineStr">
        <is>
          <t xml:space="preserve"/>
        </is>
      </c>
    </row>
    <row r="251" spans="1:2">
      <c r="A251" s="53" t="inlineStr">
        <is>
          <t xml:space="preserve"/>
        </is>
      </c>
    </row>
  </sheetData>
  <sheetProtection sheet="1" objects="1" scenarios="1" formatCells="1" formatColumns="1" formatRows="1" insertColumns="1" insertRows="1" insertHyperlinks="1" deleteColumns="1" deleteRows="1" sort="1" autoFilter="0" pivotTables="1" selectLockedCells="0" selectUnlockedCell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2"/>
  <sheetViews>
    <sheetView showGridLines="0" workbookViewId="0"/>
  </sheetViews>
  <sheetFormatPr baseColWidth="10" defaultRowHeight="16"/>
  <cols>
    <col min="1" max="1" width="34" customWidth="1"/>
    <col min="2" max="2" width="95" customWidth="1"/>
  </cols>
  <sheetData>
    <row r="1" spans="1:2" ht="34" customHeight="1">
      <c r="A1" s="46" t="inlineStr">
        <is>
          <t xml:space="preserve">INSTRUCCIONES</t>
        </is>
      </c>
      <c r="B1" s="46"/>
    </row>
    <row r="2" spans="1:2" ht="26" customHeight="1">
      <c r="A2" s="7" t="inlineStr">
        <is>
          <t xml:space="preserve">Registro de vacantes y refuerzos · léelo una vez antes de empezar</t>
        </is>
      </c>
      <c r="B2" s="7"/>
    </row>
    <row r="3" spans="1:2" ht="8" customHeight="1"/>
    <row r="4" spans="1:2" ht="26" customHeight="1">
      <c r="A4" s="51" t="inlineStr">
        <is>
          <t xml:space="preserve">QUÉ VA EN CADA HOJA</t>
        </is>
      </c>
      <c r="B4" s="51"/>
    </row>
    <row r="5" spans="1:2" ht="50" customHeight="1">
      <c r="A5" s="10" t="inlineStr">
        <is>
          <t xml:space="preserve">La regla</t>
        </is>
      </c>
      <c r="B5" s="6" t="inlineStr">
        <is>
          <t xml:space="preserve">Si un alumno nuevo podría sentarse en esa hora, va a Registro. Si no hay plaza que ofertar (asignaturas que no son de especialidad), va a Registro Refuerzo. Nunca en las dos: el Contador la sumaría dos veces y nadie se daría cuenta.</t>
        </is>
      </c>
    </row>
    <row r="6" spans="1:2" ht="63" customHeight="1">
      <c r="A6" s="10" t="inlineStr">
        <is>
          <t xml:space="preserve">Hoja Registro</t>
        </is>
      </c>
      <c r="B6" s="6" t="inlineStr">
        <is>
          <t xml:space="preserve">Cualquier hueco horario libre que alguien podría ocupar: por baja, renuncia o traslado; porque la plaza no se adjudicó; o porque esa hora nunca tuvo alumnado. Aquí va también el apoyo instrumental a alumnado ya matriculado: se registra como vacante y se marca «No disponible», porque esa hora no se puede ofertar.</t>
        </is>
      </c>
    </row>
    <row r="7" spans="1:2" ht="50" customHeight="1">
      <c r="A7" s="10" t="inlineStr">
        <is>
          <t xml:space="preserve">Hoja Registro Refuerzo</t>
        </is>
      </c>
      <c r="B7" s="6" t="inlineStr">
        <is>
          <t xml:space="preserve">Solo las horas de refuerzo de asignaturas que no son de especialidad —Lenguaje Musical, Armonía/Análisis e Historia—, donde no hay ninguna plaza que ofrecer porque la matrícula va con el instrumento.</t>
        </is>
      </c>
    </row>
    <row r="8" spans="1:2" ht="8" customHeight="1"/>
    <row r="9" spans="1:2" ht="26" customHeight="1">
      <c r="A9" s="51" t="inlineStr">
        <is>
          <t xml:space="preserve">CÓMO SE RELLENA</t>
        </is>
      </c>
      <c r="B9" s="51"/>
    </row>
    <row r="10" spans="1:2" ht="37" customHeight="1">
      <c r="A10" s="10" t="inlineStr">
        <is>
          <t xml:space="preserve">Una fila por especialidad</t>
        </is>
      </c>
      <c r="B10" s="6" t="inlineStr">
        <is>
          <t xml:space="preserve">Cada fila es un hueco horario. Si un alumno se da de baja de dos especialidades, son dos filas: la normativa permite renunciar a cada una por separado.</t>
        </is>
      </c>
    </row>
    <row r="11" spans="1:2" ht="24" customHeight="1">
      <c r="A11" s="10" t="inlineStr">
        <is>
          <t xml:space="preserve">Empieza por la especialidad</t>
        </is>
      </c>
      <c r="B11" s="6" t="inlineStr">
        <is>
          <t xml:space="preserve">Hasta que no la eliges, la fila no se numera ni reclama nada. Es lo que enciende la fila.</t>
        </is>
      </c>
    </row>
    <row r="12" spans="1:2" ht="50" customHeight="1">
      <c r="A12" s="10" t="inlineStr">
        <is>
          <t xml:space="preserve">La columna Comprobación</t>
        </is>
      </c>
      <c r="B12" s="6" t="inlineStr">
        <is>
          <t xml:space="preserve">La última por la derecha. Dice «Falta:» y lo que queda por rellenar, «Revisar:» si hay algo que se contradice, o «Completa». Filtra esa columna y tienes la lista de trabajo pendiente; el Dashboard te dice cuántas filas son.</t>
        </is>
      </c>
    </row>
    <row r="13" spans="1:2" ht="37" customHeight="1">
      <c r="A13" s="10" t="inlineStr">
        <is>
          <t xml:space="preserve">La fecha de hoy, de una tecla</t>
        </is>
      </c>
      <c r="B13" s="6" t="inlineStr">
        <is>
          <t xml:space="preserve">En Windows y en Mac: Ctrl + ; · Ojo en Mac: ⌘ + ; escribe la HORA, no la fecha. No hay calendario desplegable porque Excel no tiene ninguno.</t>
        </is>
      </c>
    </row>
    <row r="14" spans="1:2" ht="63" customHeight="1">
      <c r="A14" s="10" t="inlineStr">
        <is>
          <t xml:space="preserve">Disponible y en refuerzo a la vez</t>
        </is>
      </c>
      <c r="B14" s="6" t="inlineStr">
        <is>
          <t xml:space="preserve">Es normal y correcto: mientras el hueco está libre puede aprovecharse como refuerzo, y sigue estando disponible por si llega un traslado. Cuando se cubra de verdad, pon «No» en «¿En uso como refuerzo?». Si no lo haces, la columna Comprobación te avisará con «Revisar: la plaza ya tiene alumno y sigue marcada como refuerzo».</t>
        </is>
      </c>
    </row>
    <row r="15" spans="1:2" ht="8" customHeight="1"/>
    <row r="16" spans="1:2" ht="26" customHeight="1">
      <c r="A16" s="51" t="inlineStr">
        <is>
          <t xml:space="preserve">LO QUE NO SE TOCA</t>
        </is>
      </c>
      <c r="B16" s="51"/>
    </row>
    <row r="17" spans="1:2" ht="50" customHeight="1">
      <c r="A17" s="10" t="inlineStr">
        <is>
          <t xml:space="preserve">Borra el contenido, nunca la fila</t>
        </is>
      </c>
      <c r="B17" s="6" t="inlineStr">
        <is>
          <t xml:space="preserve">Selecciona y pulsa Supr. Eliminar la fila entera está bloqueado a propósito: encogería el rango de todas las fórmulas del libro y el registro perdería capacidad en silencio. Ordenar también está bloqueado, por la misma razón.</t>
        </is>
      </c>
    </row>
    <row r="18" spans="1:2" ht="63" customHeight="1">
      <c r="A18" s="10" t="inlineStr">
        <is>
          <t xml:space="preserve">Columnas calculadas</t>
        </is>
      </c>
      <c r="B18" s="6" t="inlineStr">
        <is>
          <t xml:space="preserve">«Nº de orden» y «Comprobación» se calculan solas y están bloqueadas. «Nuevo Horario» también se calcula —copia el horario original— pero puedes escribir encima si el horario cambia. Entre las columnas visibles hay otras ocultas que son el motor del Dashboard y de los informes: no las muestres ni las borres.</t>
        </is>
      </c>
    </row>
    <row r="19" spans="1:2" ht="37" customHeight="1">
      <c r="A19" s="10" t="inlineStr">
        <is>
          <t xml:space="preserve">El Nº de orden no identifica</t>
        </is>
      </c>
      <c r="B19" s="6" t="inlineStr">
        <is>
          <t xml:space="preserve">Es la posición en la hoja: si se borra algo, cambia. Para referirte a un caso concreto usa el NIA.</t>
        </is>
      </c>
    </row>
    <row r="20" spans="1:2" ht="63" customHeight="1">
      <c r="A20" s="10" t="inlineStr">
        <is>
          <t xml:space="preserve">Si necesitas desproteger</t>
        </is>
      </c>
      <c r="B20" s="6" t="inlineStr">
        <is>
          <t xml:space="preserve">Revisar → Desproteger hoja. NO hay contraseña: la protección es un seguro contra accidentes, no un candado. Al terminar, vuelve a protegerla desde Revisar → Proteger hoja, sin escribir ninguna contraseña y dejando las casillas como estaban. Y si tocas fórmulas, prueba antes en una copia.</t>
        </is>
      </c>
    </row>
    <row r="21" spans="1:2" ht="8" customHeight="1"/>
    <row r="22" spans="1:2" ht="26" customHeight="1">
      <c r="A22" s="51" t="inlineStr">
        <is>
          <t xml:space="preserve">QUÉ SIGNIFICAN LOS COLORES</t>
        </is>
      </c>
      <c r="B22" s="51"/>
    </row>
    <row r="23" spans="1:2" ht="24" customHeight="1">
      <c r="A23" s="10" t="inlineStr">
        <is>
          <t xml:space="preserve">Ámbar</t>
        </is>
      </c>
      <c r="B23" s="6" t="inlineStr">
        <is>
          <t xml:space="preserve">Falta algo. La fila entera en ámbar pálido; la celda concreta que falta, en ámbar fuerte.</t>
        </is>
      </c>
    </row>
    <row r="24" spans="1:2" ht="24" customHeight="1">
      <c r="A24" s="10" t="inlineStr">
        <is>
          <t xml:space="preserve">Rojo</t>
        </is>
      </c>
      <c r="B24" s="6" t="inlineStr">
        <is>
          <t xml:space="preserve">Hay algo que se contradice. Mira la columna Comprobación, que te dice qué.</t>
        </is>
      </c>
    </row>
    <row r="25" spans="1:2" ht="24" customHeight="1">
      <c r="A25" s="10" t="inlineStr">
        <is>
          <t xml:space="preserve">Verde</t>
        </is>
      </c>
      <c r="B25" s="6" t="inlineStr">
        <is>
          <t xml:space="preserve">Vacante disponible y con todos sus datos.</t>
        </is>
      </c>
    </row>
    <row r="26" spans="1:2" ht="24" customHeight="1">
      <c r="A26" s="10" t="inlineStr">
        <is>
          <t xml:space="preserve">Crema</t>
        </is>
      </c>
      <c r="B26" s="6" t="inlineStr">
        <is>
          <t xml:space="preserve">En trámite.</t>
        </is>
      </c>
    </row>
    <row r="27" spans="1:2" ht="24" customHeight="1">
      <c r="A27" s="10" t="inlineStr">
        <is>
          <t xml:space="preserve">Gris apagado</t>
        </is>
      </c>
      <c r="B27" s="6" t="inlineStr">
        <is>
          <t xml:space="preserve">No disponible: la fila se aparta de la vista porque ya no requiere acción.</t>
        </is>
      </c>
    </row>
    <row r="28" spans="1:2" ht="37" customHeight="1">
      <c r="A28" s="10" t="inlineStr">
        <is>
          <t xml:space="preserve">Rojo en la Portada</t>
        </is>
      </c>
      <c r="B28" s="6" t="inlineStr">
        <is>
          <t xml:space="preserve">Falta el nombre del centro, su código, o la fecha de fin del 2.º trimestre. Sin esa fecha, el aviso de plazos del Dashboard no puede funcionar.</t>
        </is>
      </c>
    </row>
    <row r="29" spans="1:2" ht="8" customHeight="1"/>
    <row r="30" spans="1:2" ht="26" customHeight="1">
      <c r="A30" s="51" t="inlineStr">
        <is>
          <t xml:space="preserve">CADA CURSO, Y CUANDO CAMBIE ALGO</t>
        </is>
      </c>
      <c r="B30" s="51"/>
    </row>
    <row r="31" spans="1:2" ht="37" customHeight="1">
      <c r="A31" s="10" t="inlineStr">
        <is>
          <t xml:space="preserve">En septiembre</t>
        </is>
      </c>
      <c r="B31" s="6" t="inlineStr">
        <is>
          <t xml:space="preserve">Actualiza en la Portada el curso académico y la fecha de fin del 2.º trimestre, que la fija cada centro en su PGA. El nombre y el código del centro se ponen una sola vez.</t>
        </is>
      </c>
    </row>
    <row r="32" spans="1:2" ht="63" customHeight="1">
      <c r="A32" s="10" t="inlineStr">
        <is>
          <t xml:space="preserve">Hoja Docentes</t>
        </is>
      </c>
      <c r="B32" s="6" t="inlineStr">
        <is>
          <t xml:space="preserve">No hace falta meterlos todos de golpe. Si ya tienes la lista en otro Excel, pégala; si no, ve añadiendo cada docente la primera vez que lo necesites y aparecerá en el desplegable. Eso sí: uno por fila y sin dejar huecos, porque el desplegable cuenta las filas escritas y un hueco corta la lista.</t>
        </is>
      </c>
    </row>
    <row r="33" spans="1:2" ht="50" customHeight="1">
      <c r="A33" s="10" t="inlineStr">
        <is>
          <t xml:space="preserve">Quién puede escribir en el libro</t>
        </is>
      </c>
      <c r="B33" s="6" t="inlineStr">
        <is>
          <t xml:space="preserve">La lista está en el Dashboard, al final del todo, bajo el rótulo «QUIÉN PUEDE ESCRIBIR EN EL LIBRO» (filas 44 a 50). Cámbiala ahí y los desplegables de las dos hojas de registro se actualizan solos. Hay dos casillas libres para añadir las tuyas.</t>
        </is>
      </c>
    </row>
    <row r="34" spans="1:2" ht="50" customHeight="1">
      <c r="A34" s="10" t="inlineStr">
        <is>
          <t xml:space="preserve">Añadir o quitar una especialidad</t>
        </is>
      </c>
      <c r="B34" s="6" t="inlineStr">
        <is>
          <t xml:space="preserve">No lo hagas a mano. Obliga a tocar seis hojas cuadrando la correspondencia de filas una a una, y si solo cambias la lista de Validaciones el Dashboard queda desalineado sin dar ningún error. Pídeselo a quien mantiene el libro, o abre un aviso en el repositorio.</t>
        </is>
      </c>
    </row>
    <row r="35" spans="1:2" ht="8" customHeight="1"/>
    <row r="36" spans="1:2" ht="26" customHeight="1">
      <c r="A36" s="51" t="inlineStr">
        <is>
          <t xml:space="preserve">QUIÉN LO HA HECHO</t>
        </is>
      </c>
      <c r="B36" s="51"/>
    </row>
    <row r="37" spans="1:2" ht="24" customHeight="1">
      <c r="A37" s="10" t="inlineStr">
        <is>
          <t xml:space="preserve">Autor</t>
        </is>
      </c>
      <c r="B37" s="6" t="inlineStr">
        <is>
          <t xml:space="preserve">Versión 1.1 · Excel creado por José Luis Miralles Bono; con ayuda de Claude.</t>
        </is>
      </c>
    </row>
    <row r="38" spans="1:2" ht="24" customHeight="1">
      <c r="A38" s="10" t="inlineStr">
        <is>
          <t xml:space="preserve">Contacto</t>
        </is>
      </c>
      <c r="B38" s="6" t="inlineStr">
        <is>
          <t xml:space="preserve">joseluismirallesbono@gmail.com</t>
        </is>
      </c>
    </row>
    <row r="39" spans="1:2" ht="37" customHeight="1">
      <c r="A39" s="10" t="inlineStr">
        <is>
          <t xml:space="preserve">Repositorio</t>
        </is>
      </c>
      <c r="B39" s="6" t="inlineStr">
        <is>
          <t xml:space="preserve">https://github.com/JLMirallesB/registro-vacantes-conservatorio  ·  ahí están las versiones, los avisos de fallos y las mejoras en marcha.</t>
        </is>
      </c>
    </row>
    <row r="40" spans="1:2" ht="24" customHeight="1">
      <c r="A40" s="10" t="inlineStr">
        <is>
          <t xml:space="preserve">Licencia</t>
        </is>
      </c>
      <c r="B40" s="6" t="inlineStr">
        <is>
          <t xml:space="preserve">CC BY 4.0 (Creative Commons Reconocimiento). Puedes usarlo, adaptarlo y repartirlo, también con fines comerciales, siempre que reconozcas la autoría e indiques si lo has cambiado.</t>
        </is>
      </c>
    </row>
    <row r="41" spans="1:2" ht="24" customHeight="1">
      <c r="A41" s="10" t="inlineStr">
        <is>
          <t xml:space="preserve">¿Te ha servido?</t>
        </is>
      </c>
      <c r="B41" s="6" t="inlineStr">
        <is>
          <t xml:space="preserve">Invítame a una orxata: https://ko-fi.com/miralles</t>
        </is>
      </c>
    </row>
    <row r="42" spans="1:2" ht="26" customHeight="1">
      <c r="A42" s="7" t="inlineStr">
        <is>
          <t xml:space="preserve">Los plazos para cubrir una vacante están en la Portada, y el Dashboard te dice cuáles siguen abiertos hoy.</t>
        </is>
      </c>
      <c r="B42" s="7"/>
    </row>
  </sheetData>
  <sheetProtection sheet="1" objects="1" scenarios="1" formatCells="1" formatColumns="1" formatRows="1" insertColumns="1" insertRows="1" insertHyperlinks="1" deleteColumns="1" deleteRows="1" sort="1" autoFilter="0" pivotTables="1" selectLockedCells="0" selectUnlockedCells="0"/>
  <mergeCells count="9">
    <mergeCell ref="A1:B1"/>
    <mergeCell ref="A2:B2"/>
    <mergeCell ref="A4:B4"/>
    <mergeCell ref="A9:B9"/>
    <mergeCell ref="A16:B16"/>
    <mergeCell ref="A22:B22"/>
    <mergeCell ref="A30:B30"/>
    <mergeCell ref="A36:B36"/>
    <mergeCell ref="A42:B4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L163"/>
  <sheetViews>
    <sheetView showGridLines="0" workbookViewId="0">
      <pane ySplit="12" topLeftCell="A13" activePane="bottomLeft" state="frozen"/>
    </sheetView>
  </sheetViews>
  <sheetFormatPr baseColWidth="10" defaultRowHeight="16"/>
  <cols>
    <col min="1" max="1" width="6" customWidth="1"/>
    <col min="2" max="2" width="14" customWidth="1"/>
    <col min="3" max="3" width="14" customWidth="1"/>
    <col min="4" max="4" width="34" customWidth="1"/>
    <col min="5" max="5" width="26" customWidth="1"/>
    <col min="6" max="6" width="22" customWidth="1"/>
    <col min="7" max="7" width="14" customWidth="1"/>
    <col min="8" max="8" width="32" customWidth="1"/>
    <col min="9" max="12" width="9" hidden="1" customWidth="1"/>
  </cols>
  <sheetData>
    <row r="1" spans="1:8" ht="30" customHeight="1">
      <c r="A1" s="46" t="inlineStr">
        <is>
          <t xml:space="preserve">BAJAS DEL CENTRO</t>
        </is>
      </c>
      <c r="B1" s="46"/>
      <c r="C1" s="46"/>
      <c r="D1" s="46"/>
      <c r="E1" s="46"/>
      <c r="F1" s="46"/>
      <c r="G1" s="46"/>
      <c r="H1" s="46"/>
    </row>
    <row r="2" spans="1:8" ht="20" customHeight="1">
      <c r="A2" s="7">
        <f>"Centro: "&amp;IF(Portada!$B$4="","(sin indicar)",Portada!$B$4)&amp;"      ·      Código: "&amp;IF(Portada!$B$5="","(sin indicar)",Portada!$B$5)&amp;"      ·      Curso "&amp;Portada!$B$6</f>
      </c>
      <c r="B2" s="7"/>
      <c r="C2" s="7"/>
      <c r="D2" s="7"/>
      <c r="E2" s="7"/>
      <c r="F2" s="7"/>
      <c r="G2" s="7"/>
      <c r="H2" s="7"/>
    </row>
    <row r="3" spans="1:8" ht="22" customHeight="1">
      <c r="A3" s="10" t="inlineStr">
        <is>
          <t xml:space="preserve">Datos personales:</t>
        </is>
      </c>
      <c r="B3" s="54" t="inlineStr">
        <is>
          <t xml:space="preserve">Visibles</t>
        </is>
      </c>
      <c r="C3" s="7"/>
      <c r="D3" s="7"/>
      <c r="E3" s="7"/>
      <c r="F3" s="7"/>
      <c r="G3" s="7"/>
      <c r="H3" s="7"/>
    </row>
    <row r="4" spans="1:8" ht="22" customHeight="1">
      <c r="A4" s="51">
        <f>IF($B$3="Anonimizados","··· DATOS ANONIMIZADOS ···","··· CONTIENE DATOS PERSONALES ···")</f>
      </c>
      <c r="B4" s="51"/>
      <c r="C4" s="51"/>
      <c r="D4" s="51"/>
      <c r="E4" s="51"/>
      <c r="F4" s="51"/>
      <c r="G4" s="51"/>
      <c r="H4" s="51"/>
    </row>
    <row r="6" spans="1:8" ht="18" customHeight="1">
      <c r="A6" s="10" t="inlineStr">
        <is>
          <t xml:space="preserve">Total de bajas:</t>
        </is>
      </c>
      <c r="E6" s="11">
        <f>COUNT(Registro!$AE$2:$AE$501)</f>
      </c>
    </row>
    <row r="7" spans="1:8" ht="18" customHeight="1">
      <c r="A7" s="10" t="inlineStr">
        <is>
          <t xml:space="preserve">Renuncias (hasta el 30 de noviembre):</t>
        </is>
      </c>
      <c r="E7" s="11">
        <f>COUNTIF(Registro!$I$2:$I$501,"Renuncia (hasta 30 nov)")</f>
      </c>
    </row>
    <row r="8" spans="1:8" ht="18" customHeight="1">
      <c r="A8" s="10" t="inlineStr">
        <is>
          <t xml:space="preserve">Bajas (desde el 1 de diciembre):</t>
        </is>
      </c>
      <c r="E8" s="11">
        <f>COUNTIF(Registro!$I$2:$I$501,"Baja (desde 1 dic)")</f>
      </c>
    </row>
    <row r="9" spans="1:8" ht="18" customHeight="1">
      <c r="A9" s="10" t="inlineStr">
        <is>
          <t xml:space="preserve">Renuncias excepcionales (art. 25.3):</t>
        </is>
      </c>
      <c r="E9" s="11">
        <f>COUNTIF(Registro!$I$2:$I$501,"Renuncia excepcional (art. 25.3)")</f>
      </c>
    </row>
    <row r="10" spans="1:8" ht="18" customHeight="1">
      <c r="A10" s="10" t="inlineStr">
        <is>
          <t xml:space="preserve">Traslados de expediente:</t>
        </is>
      </c>
      <c r="E10" s="11">
        <f>COUNTIF(Registro!$I$2:$I$501,"Traslado de expediente")</f>
      </c>
    </row>
    <row r="12" spans="1:8" ht="32" customHeight="1">
      <c r="A12" s="3" t="inlineStr">
        <is>
          <t xml:space="preserve">Nº</t>
        </is>
      </c>
      <c r="B12" s="3" t="inlineStr">
        <is>
          <t xml:space="preserve">Fecha</t>
        </is>
      </c>
      <c r="C12" s="3" t="inlineStr">
        <is>
          <t xml:space="preserve">Curso</t>
        </is>
      </c>
      <c r="D12" s="3" t="inlineStr">
        <is>
          <t xml:space="preserve">Especialidad</t>
        </is>
      </c>
      <c r="E12" s="3" t="inlineStr">
        <is>
          <t xml:space="preserve">Apellidos</t>
        </is>
      </c>
      <c r="F12" s="3" t="inlineStr">
        <is>
          <t xml:space="preserve">Nombre</t>
        </is>
      </c>
      <c r="G12" s="3" t="inlineStr">
        <is>
          <t xml:space="preserve">NIA</t>
        </is>
      </c>
      <c r="H12" s="3" t="inlineStr">
        <is>
          <t xml:space="preserve">Motivo</t>
        </is>
      </c>
    </row>
    <row r="13" spans="1:8">
      <c r="A13" s="6">
        <f>IF($I13="","",1)</f>
      </c>
      <c r="B13" s="6">
        <f>IF($I13="","",INDEX(Registro!$B$2:$B$501,$I13))</f>
      </c>
      <c r="C13" s="6">
        <f>IF($I13="","",INDEX(Registro!$H$2:$H$501,$I13))</f>
      </c>
      <c r="D13" s="6">
        <f>IF($I13="","",INDEX(Registro!$D$2:$D$501,$I13))</f>
      </c>
      <c r="E13" s="6">
        <f>IF($B$3="Anonimizados",IF($J13="","",IF(ISERROR(FIND(" ",$J13)),$J13,LEFT($J13,FIND(" ",$J13)-1)&amp;" "&amp;MID($J13,FIND(" ",$J13)+1,1)&amp;REPT("*",LEN($J13)-FIND(" ",$J13)-1))),$J13)</f>
      </c>
      <c r="F13" s="6">
        <f>IF($B$3="Anonimizados",IF($K13="","",IF(ISERROR(FIND(" ",$K13)),LEFT($K13,1)&amp;REPT("*",LEN($K13)-1),LEFT($K13,1)&amp;REPT("*",FIND(" ",$K13)-2)&amp;" "&amp;MID($K13,FIND(" ",$K13)+1,1)&amp;REPT("*",LEN($K13)-FIND(" ",$K13)-1))),$K13)</f>
      </c>
      <c r="G13" s="6">
        <f>IF($B$3="Anonimizados",IF($L13="","",IF(LEN($L13)&lt;6,LEFT($L13,1)&amp;REPT("*",LEN($L13)-1),LEFT($L13,1)&amp;"****"&amp;MID($L13,6,LEN($L13)-5))),$L13)</f>
      </c>
      <c r="H13" s="6">
        <f>IF($I13="","",INDEX(Registro!$I$2:$I$501,$I13))</f>
      </c>
      <c r="I13" s="0">
        <f>IFERROR(MATCH(1,Registro!$AE$2:$AE$501,0),"")</f>
      </c>
      <c r="J13" s="0">
        <f>IF($I13="","",INDEX(Registro!$E$2:$E$501,$I13))</f>
      </c>
      <c r="K13" s="0">
        <f>IF($I13="","",INDEX(Registro!$F$2:$F$501,$I13))</f>
      </c>
      <c r="L13" s="0">
        <f>IF($I13="","",INDEX(Registro!$G$2:$G$501,$I13))</f>
      </c>
    </row>
    <row r="14" spans="1:8">
      <c r="A14" s="6">
        <f>IF($I14="","",2)</f>
      </c>
      <c r="B14" s="6">
        <f>IF($I14="","",INDEX(Registro!$B$2:$B$501,$I14))</f>
      </c>
      <c r="C14" s="6">
        <f>IF($I14="","",INDEX(Registro!$H$2:$H$501,$I14))</f>
      </c>
      <c r="D14" s="6">
        <f>IF($I14="","",INDEX(Registro!$D$2:$D$501,$I14))</f>
      </c>
      <c r="E14" s="6">
        <f>IF($B$3="Anonimizados",IF($J14="","",IF(ISERROR(FIND(" ",$J14)),$J14,LEFT($J14,FIND(" ",$J14)-1)&amp;" "&amp;MID($J14,FIND(" ",$J14)+1,1)&amp;REPT("*",LEN($J14)-FIND(" ",$J14)-1))),$J14)</f>
      </c>
      <c r="F14" s="6">
        <f>IF($B$3="Anonimizados",IF($K14="","",IF(ISERROR(FIND(" ",$K14)),LEFT($K14,1)&amp;REPT("*",LEN($K14)-1),LEFT($K14,1)&amp;REPT("*",FIND(" ",$K14)-2)&amp;" "&amp;MID($K14,FIND(" ",$K14)+1,1)&amp;REPT("*",LEN($K14)-FIND(" ",$K14)-1))),$K14)</f>
      </c>
      <c r="G14" s="6">
        <f>IF($B$3="Anonimizados",IF($L14="","",IF(LEN($L14)&lt;6,LEFT($L14,1)&amp;REPT("*",LEN($L14)-1),LEFT($L14,1)&amp;"****"&amp;MID($L14,6,LEN($L14)-5))),$L14)</f>
      </c>
      <c r="H14" s="6">
        <f>IF($I14="","",INDEX(Registro!$I$2:$I$501,$I14))</f>
      </c>
      <c r="I14" s="0">
        <f>IFERROR(MATCH(2,Registro!$AE$2:$AE$501,0),"")</f>
      </c>
      <c r="J14" s="0">
        <f>IF($I14="","",INDEX(Registro!$E$2:$E$501,$I14))</f>
      </c>
      <c r="K14" s="0">
        <f>IF($I14="","",INDEX(Registro!$F$2:$F$501,$I14))</f>
      </c>
      <c r="L14" s="0">
        <f>IF($I14="","",INDEX(Registro!$G$2:$G$501,$I14))</f>
      </c>
    </row>
    <row r="15" spans="1:8">
      <c r="A15" s="6">
        <f>IF($I15="","",3)</f>
      </c>
      <c r="B15" s="6">
        <f>IF($I15="","",INDEX(Registro!$B$2:$B$501,$I15))</f>
      </c>
      <c r="C15" s="6">
        <f>IF($I15="","",INDEX(Registro!$H$2:$H$501,$I15))</f>
      </c>
      <c r="D15" s="6">
        <f>IF($I15="","",INDEX(Registro!$D$2:$D$501,$I15))</f>
      </c>
      <c r="E15" s="6">
        <f>IF($B$3="Anonimizados",IF($J15="","",IF(ISERROR(FIND(" ",$J15)),$J15,LEFT($J15,FIND(" ",$J15)-1)&amp;" "&amp;MID($J15,FIND(" ",$J15)+1,1)&amp;REPT("*",LEN($J15)-FIND(" ",$J15)-1))),$J15)</f>
      </c>
      <c r="F15" s="6">
        <f>IF($B$3="Anonimizados",IF($K15="","",IF(ISERROR(FIND(" ",$K15)),LEFT($K15,1)&amp;REPT("*",LEN($K15)-1),LEFT($K15,1)&amp;REPT("*",FIND(" ",$K15)-2)&amp;" "&amp;MID($K15,FIND(" ",$K15)+1,1)&amp;REPT("*",LEN($K15)-FIND(" ",$K15)-1))),$K15)</f>
      </c>
      <c r="G15" s="6">
        <f>IF($B$3="Anonimizados",IF($L15="","",IF(LEN($L15)&lt;6,LEFT($L15,1)&amp;REPT("*",LEN($L15)-1),LEFT($L15,1)&amp;"****"&amp;MID($L15,6,LEN($L15)-5))),$L15)</f>
      </c>
      <c r="H15" s="6">
        <f>IF($I15="","",INDEX(Registro!$I$2:$I$501,$I15))</f>
      </c>
      <c r="I15" s="0">
        <f>IFERROR(MATCH(3,Registro!$AE$2:$AE$501,0),"")</f>
      </c>
      <c r="J15" s="0">
        <f>IF($I15="","",INDEX(Registro!$E$2:$E$501,$I15))</f>
      </c>
      <c r="K15" s="0">
        <f>IF($I15="","",INDEX(Registro!$F$2:$F$501,$I15))</f>
      </c>
      <c r="L15" s="0">
        <f>IF($I15="","",INDEX(Registro!$G$2:$G$501,$I15))</f>
      </c>
    </row>
    <row r="16" spans="1:8">
      <c r="A16" s="6">
        <f>IF($I16="","",4)</f>
      </c>
      <c r="B16" s="6">
        <f>IF($I16="","",INDEX(Registro!$B$2:$B$501,$I16))</f>
      </c>
      <c r="C16" s="6">
        <f>IF($I16="","",INDEX(Registro!$H$2:$H$501,$I16))</f>
      </c>
      <c r="D16" s="6">
        <f>IF($I16="","",INDEX(Registro!$D$2:$D$501,$I16))</f>
      </c>
      <c r="E16" s="6">
        <f>IF($B$3="Anonimizados",IF($J16="","",IF(ISERROR(FIND(" ",$J16)),$J16,LEFT($J16,FIND(" ",$J16)-1)&amp;" "&amp;MID($J16,FIND(" ",$J16)+1,1)&amp;REPT("*",LEN($J16)-FIND(" ",$J16)-1))),$J16)</f>
      </c>
      <c r="F16" s="6">
        <f>IF($B$3="Anonimizados",IF($K16="","",IF(ISERROR(FIND(" ",$K16)),LEFT($K16,1)&amp;REPT("*",LEN($K16)-1),LEFT($K16,1)&amp;REPT("*",FIND(" ",$K16)-2)&amp;" "&amp;MID($K16,FIND(" ",$K16)+1,1)&amp;REPT("*",LEN($K16)-FIND(" ",$K16)-1))),$K16)</f>
      </c>
      <c r="G16" s="6">
        <f>IF($B$3="Anonimizados",IF($L16="","",IF(LEN($L16)&lt;6,LEFT($L16,1)&amp;REPT("*",LEN($L16)-1),LEFT($L16,1)&amp;"****"&amp;MID($L16,6,LEN($L16)-5))),$L16)</f>
      </c>
      <c r="H16" s="6">
        <f>IF($I16="","",INDEX(Registro!$I$2:$I$501,$I16))</f>
      </c>
      <c r="I16" s="0">
        <f>IFERROR(MATCH(4,Registro!$AE$2:$AE$501,0),"")</f>
      </c>
      <c r="J16" s="0">
        <f>IF($I16="","",INDEX(Registro!$E$2:$E$501,$I16))</f>
      </c>
      <c r="K16" s="0">
        <f>IF($I16="","",INDEX(Registro!$F$2:$F$501,$I16))</f>
      </c>
      <c r="L16" s="0">
        <f>IF($I16="","",INDEX(Registro!$G$2:$G$501,$I16))</f>
      </c>
    </row>
    <row r="17" spans="1:8">
      <c r="A17" s="6">
        <f>IF($I17="","",5)</f>
      </c>
      <c r="B17" s="6">
        <f>IF($I17="","",INDEX(Registro!$B$2:$B$501,$I17))</f>
      </c>
      <c r="C17" s="6">
        <f>IF($I17="","",INDEX(Registro!$H$2:$H$501,$I17))</f>
      </c>
      <c r="D17" s="6">
        <f>IF($I17="","",INDEX(Registro!$D$2:$D$501,$I17))</f>
      </c>
      <c r="E17" s="6">
        <f>IF($B$3="Anonimizados",IF($J17="","",IF(ISERROR(FIND(" ",$J17)),$J17,LEFT($J17,FIND(" ",$J17)-1)&amp;" "&amp;MID($J17,FIND(" ",$J17)+1,1)&amp;REPT("*",LEN($J17)-FIND(" ",$J17)-1))),$J17)</f>
      </c>
      <c r="F17" s="6">
        <f>IF($B$3="Anonimizados",IF($K17="","",IF(ISERROR(FIND(" ",$K17)),LEFT($K17,1)&amp;REPT("*",LEN($K17)-1),LEFT($K17,1)&amp;REPT("*",FIND(" ",$K17)-2)&amp;" "&amp;MID($K17,FIND(" ",$K17)+1,1)&amp;REPT("*",LEN($K17)-FIND(" ",$K17)-1))),$K17)</f>
      </c>
      <c r="G17" s="6">
        <f>IF($B$3="Anonimizados",IF($L17="","",IF(LEN($L17)&lt;6,LEFT($L17,1)&amp;REPT("*",LEN($L17)-1),LEFT($L17,1)&amp;"****"&amp;MID($L17,6,LEN($L17)-5))),$L17)</f>
      </c>
      <c r="H17" s="6">
        <f>IF($I17="","",INDEX(Registro!$I$2:$I$501,$I17))</f>
      </c>
      <c r="I17" s="0">
        <f>IFERROR(MATCH(5,Registro!$AE$2:$AE$501,0),"")</f>
      </c>
      <c r="J17" s="0">
        <f>IF($I17="","",INDEX(Registro!$E$2:$E$501,$I17))</f>
      </c>
      <c r="K17" s="0">
        <f>IF($I17="","",INDEX(Registro!$F$2:$F$501,$I17))</f>
      </c>
      <c r="L17" s="0">
        <f>IF($I17="","",INDEX(Registro!$G$2:$G$501,$I17))</f>
      </c>
    </row>
    <row r="18" spans="1:8">
      <c r="A18" s="6">
        <f>IF($I18="","",6)</f>
      </c>
      <c r="B18" s="6">
        <f>IF($I18="","",INDEX(Registro!$B$2:$B$501,$I18))</f>
      </c>
      <c r="C18" s="6">
        <f>IF($I18="","",INDEX(Registro!$H$2:$H$501,$I18))</f>
      </c>
      <c r="D18" s="6">
        <f>IF($I18="","",INDEX(Registro!$D$2:$D$501,$I18))</f>
      </c>
      <c r="E18" s="6">
        <f>IF($B$3="Anonimizados",IF($J18="","",IF(ISERROR(FIND(" ",$J18)),$J18,LEFT($J18,FIND(" ",$J18)-1)&amp;" "&amp;MID($J18,FIND(" ",$J18)+1,1)&amp;REPT("*",LEN($J18)-FIND(" ",$J18)-1))),$J18)</f>
      </c>
      <c r="F18" s="6">
        <f>IF($B$3="Anonimizados",IF($K18="","",IF(ISERROR(FIND(" ",$K18)),LEFT($K18,1)&amp;REPT("*",LEN($K18)-1),LEFT($K18,1)&amp;REPT("*",FIND(" ",$K18)-2)&amp;" "&amp;MID($K18,FIND(" ",$K18)+1,1)&amp;REPT("*",LEN($K18)-FIND(" ",$K18)-1))),$K18)</f>
      </c>
      <c r="G18" s="6">
        <f>IF($B$3="Anonimizados",IF($L18="","",IF(LEN($L18)&lt;6,LEFT($L18,1)&amp;REPT("*",LEN($L18)-1),LEFT($L18,1)&amp;"****"&amp;MID($L18,6,LEN($L18)-5))),$L18)</f>
      </c>
      <c r="H18" s="6">
        <f>IF($I18="","",INDEX(Registro!$I$2:$I$501,$I18))</f>
      </c>
      <c r="I18" s="0">
        <f>IFERROR(MATCH(6,Registro!$AE$2:$AE$501,0),"")</f>
      </c>
      <c r="J18" s="0">
        <f>IF($I18="","",INDEX(Registro!$E$2:$E$501,$I18))</f>
      </c>
      <c r="K18" s="0">
        <f>IF($I18="","",INDEX(Registro!$F$2:$F$501,$I18))</f>
      </c>
      <c r="L18" s="0">
        <f>IF($I18="","",INDEX(Registro!$G$2:$G$501,$I18))</f>
      </c>
    </row>
    <row r="19" spans="1:8">
      <c r="A19" s="6">
        <f>IF($I19="","",7)</f>
      </c>
      <c r="B19" s="6">
        <f>IF($I19="","",INDEX(Registro!$B$2:$B$501,$I19))</f>
      </c>
      <c r="C19" s="6">
        <f>IF($I19="","",INDEX(Registro!$H$2:$H$501,$I19))</f>
      </c>
      <c r="D19" s="6">
        <f>IF($I19="","",INDEX(Registro!$D$2:$D$501,$I19))</f>
      </c>
      <c r="E19" s="6">
        <f>IF($B$3="Anonimizados",IF($J19="","",IF(ISERROR(FIND(" ",$J19)),$J19,LEFT($J19,FIND(" ",$J19)-1)&amp;" "&amp;MID($J19,FIND(" ",$J19)+1,1)&amp;REPT("*",LEN($J19)-FIND(" ",$J19)-1))),$J19)</f>
      </c>
      <c r="F19" s="6">
        <f>IF($B$3="Anonimizados",IF($K19="","",IF(ISERROR(FIND(" ",$K19)),LEFT($K19,1)&amp;REPT("*",LEN($K19)-1),LEFT($K19,1)&amp;REPT("*",FIND(" ",$K19)-2)&amp;" "&amp;MID($K19,FIND(" ",$K19)+1,1)&amp;REPT("*",LEN($K19)-FIND(" ",$K19)-1))),$K19)</f>
      </c>
      <c r="G19" s="6">
        <f>IF($B$3="Anonimizados",IF($L19="","",IF(LEN($L19)&lt;6,LEFT($L19,1)&amp;REPT("*",LEN($L19)-1),LEFT($L19,1)&amp;"****"&amp;MID($L19,6,LEN($L19)-5))),$L19)</f>
      </c>
      <c r="H19" s="6">
        <f>IF($I19="","",INDEX(Registro!$I$2:$I$501,$I19))</f>
      </c>
      <c r="I19" s="0">
        <f>IFERROR(MATCH(7,Registro!$AE$2:$AE$501,0),"")</f>
      </c>
      <c r="J19" s="0">
        <f>IF($I19="","",INDEX(Registro!$E$2:$E$501,$I19))</f>
      </c>
      <c r="K19" s="0">
        <f>IF($I19="","",INDEX(Registro!$F$2:$F$501,$I19))</f>
      </c>
      <c r="L19" s="0">
        <f>IF($I19="","",INDEX(Registro!$G$2:$G$501,$I19))</f>
      </c>
    </row>
    <row r="20" spans="1:8">
      <c r="A20" s="6">
        <f>IF($I20="","",8)</f>
      </c>
      <c r="B20" s="6">
        <f>IF($I20="","",INDEX(Registro!$B$2:$B$501,$I20))</f>
      </c>
      <c r="C20" s="6">
        <f>IF($I20="","",INDEX(Registro!$H$2:$H$501,$I20))</f>
      </c>
      <c r="D20" s="6">
        <f>IF($I20="","",INDEX(Registro!$D$2:$D$501,$I20))</f>
      </c>
      <c r="E20" s="6">
        <f>IF($B$3="Anonimizados",IF($J20="","",IF(ISERROR(FIND(" ",$J20)),$J20,LEFT($J20,FIND(" ",$J20)-1)&amp;" "&amp;MID($J20,FIND(" ",$J20)+1,1)&amp;REPT("*",LEN($J20)-FIND(" ",$J20)-1))),$J20)</f>
      </c>
      <c r="F20" s="6">
        <f>IF($B$3="Anonimizados",IF($K20="","",IF(ISERROR(FIND(" ",$K20)),LEFT($K20,1)&amp;REPT("*",LEN($K20)-1),LEFT($K20,1)&amp;REPT("*",FIND(" ",$K20)-2)&amp;" "&amp;MID($K20,FIND(" ",$K20)+1,1)&amp;REPT("*",LEN($K20)-FIND(" ",$K20)-1))),$K20)</f>
      </c>
      <c r="G20" s="6">
        <f>IF($B$3="Anonimizados",IF($L20="","",IF(LEN($L20)&lt;6,LEFT($L20,1)&amp;REPT("*",LEN($L20)-1),LEFT($L20,1)&amp;"****"&amp;MID($L20,6,LEN($L20)-5))),$L20)</f>
      </c>
      <c r="H20" s="6">
        <f>IF($I20="","",INDEX(Registro!$I$2:$I$501,$I20))</f>
      </c>
      <c r="I20" s="0">
        <f>IFERROR(MATCH(8,Registro!$AE$2:$AE$501,0),"")</f>
      </c>
      <c r="J20" s="0">
        <f>IF($I20="","",INDEX(Registro!$E$2:$E$501,$I20))</f>
      </c>
      <c r="K20" s="0">
        <f>IF($I20="","",INDEX(Registro!$F$2:$F$501,$I20))</f>
      </c>
      <c r="L20" s="0">
        <f>IF($I20="","",INDEX(Registro!$G$2:$G$501,$I20))</f>
      </c>
    </row>
    <row r="21" spans="1:8">
      <c r="A21" s="6">
        <f>IF($I21="","",9)</f>
      </c>
      <c r="B21" s="6">
        <f>IF($I21="","",INDEX(Registro!$B$2:$B$501,$I21))</f>
      </c>
      <c r="C21" s="6">
        <f>IF($I21="","",INDEX(Registro!$H$2:$H$501,$I21))</f>
      </c>
      <c r="D21" s="6">
        <f>IF($I21="","",INDEX(Registro!$D$2:$D$501,$I21))</f>
      </c>
      <c r="E21" s="6">
        <f>IF($B$3="Anonimizados",IF($J21="","",IF(ISERROR(FIND(" ",$J21)),$J21,LEFT($J21,FIND(" ",$J21)-1)&amp;" "&amp;MID($J21,FIND(" ",$J21)+1,1)&amp;REPT("*",LEN($J21)-FIND(" ",$J21)-1))),$J21)</f>
      </c>
      <c r="F21" s="6">
        <f>IF($B$3="Anonimizados",IF($K21="","",IF(ISERROR(FIND(" ",$K21)),LEFT($K21,1)&amp;REPT("*",LEN($K21)-1),LEFT($K21,1)&amp;REPT("*",FIND(" ",$K21)-2)&amp;" "&amp;MID($K21,FIND(" ",$K21)+1,1)&amp;REPT("*",LEN($K21)-FIND(" ",$K21)-1))),$K21)</f>
      </c>
      <c r="G21" s="6">
        <f>IF($B$3="Anonimizados",IF($L21="","",IF(LEN($L21)&lt;6,LEFT($L21,1)&amp;REPT("*",LEN($L21)-1),LEFT($L21,1)&amp;"****"&amp;MID($L21,6,LEN($L21)-5))),$L21)</f>
      </c>
      <c r="H21" s="6">
        <f>IF($I21="","",INDEX(Registro!$I$2:$I$501,$I21))</f>
      </c>
      <c r="I21" s="0">
        <f>IFERROR(MATCH(9,Registro!$AE$2:$AE$501,0),"")</f>
      </c>
      <c r="J21" s="0">
        <f>IF($I21="","",INDEX(Registro!$E$2:$E$501,$I21))</f>
      </c>
      <c r="K21" s="0">
        <f>IF($I21="","",INDEX(Registro!$F$2:$F$501,$I21))</f>
      </c>
      <c r="L21" s="0">
        <f>IF($I21="","",INDEX(Registro!$G$2:$G$501,$I21))</f>
      </c>
    </row>
    <row r="22" spans="1:8">
      <c r="A22" s="6">
        <f>IF($I22="","",10)</f>
      </c>
      <c r="B22" s="6">
        <f>IF($I22="","",INDEX(Registro!$B$2:$B$501,$I22))</f>
      </c>
      <c r="C22" s="6">
        <f>IF($I22="","",INDEX(Registro!$H$2:$H$501,$I22))</f>
      </c>
      <c r="D22" s="6">
        <f>IF($I22="","",INDEX(Registro!$D$2:$D$501,$I22))</f>
      </c>
      <c r="E22" s="6">
        <f>IF($B$3="Anonimizados",IF($J22="","",IF(ISERROR(FIND(" ",$J22)),$J22,LEFT($J22,FIND(" ",$J22)-1)&amp;" "&amp;MID($J22,FIND(" ",$J22)+1,1)&amp;REPT("*",LEN($J22)-FIND(" ",$J22)-1))),$J22)</f>
      </c>
      <c r="F22" s="6">
        <f>IF($B$3="Anonimizados",IF($K22="","",IF(ISERROR(FIND(" ",$K22)),LEFT($K22,1)&amp;REPT("*",LEN($K22)-1),LEFT($K22,1)&amp;REPT("*",FIND(" ",$K22)-2)&amp;" "&amp;MID($K22,FIND(" ",$K22)+1,1)&amp;REPT("*",LEN($K22)-FIND(" ",$K22)-1))),$K22)</f>
      </c>
      <c r="G22" s="6">
        <f>IF($B$3="Anonimizados",IF($L22="","",IF(LEN($L22)&lt;6,LEFT($L22,1)&amp;REPT("*",LEN($L22)-1),LEFT($L22,1)&amp;"****"&amp;MID($L22,6,LEN($L22)-5))),$L22)</f>
      </c>
      <c r="H22" s="6">
        <f>IF($I22="","",INDEX(Registro!$I$2:$I$501,$I22))</f>
      </c>
      <c r="I22" s="0">
        <f>IFERROR(MATCH(10,Registro!$AE$2:$AE$501,0),"")</f>
      </c>
      <c r="J22" s="0">
        <f>IF($I22="","",INDEX(Registro!$E$2:$E$501,$I22))</f>
      </c>
      <c r="K22" s="0">
        <f>IF($I22="","",INDEX(Registro!$F$2:$F$501,$I22))</f>
      </c>
      <c r="L22" s="0">
        <f>IF($I22="","",INDEX(Registro!$G$2:$G$501,$I22))</f>
      </c>
    </row>
    <row r="23" spans="1:8">
      <c r="A23" s="6">
        <f>IF($I23="","",11)</f>
      </c>
      <c r="B23" s="6">
        <f>IF($I23="","",INDEX(Registro!$B$2:$B$501,$I23))</f>
      </c>
      <c r="C23" s="6">
        <f>IF($I23="","",INDEX(Registro!$H$2:$H$501,$I23))</f>
      </c>
      <c r="D23" s="6">
        <f>IF($I23="","",INDEX(Registro!$D$2:$D$501,$I23))</f>
      </c>
      <c r="E23" s="6">
        <f>IF($B$3="Anonimizados",IF($J23="","",IF(ISERROR(FIND(" ",$J23)),$J23,LEFT($J23,FIND(" ",$J23)-1)&amp;" "&amp;MID($J23,FIND(" ",$J23)+1,1)&amp;REPT("*",LEN($J23)-FIND(" ",$J23)-1))),$J23)</f>
      </c>
      <c r="F23" s="6">
        <f>IF($B$3="Anonimizados",IF($K23="","",IF(ISERROR(FIND(" ",$K23)),LEFT($K23,1)&amp;REPT("*",LEN($K23)-1),LEFT($K23,1)&amp;REPT("*",FIND(" ",$K23)-2)&amp;" "&amp;MID($K23,FIND(" ",$K23)+1,1)&amp;REPT("*",LEN($K23)-FIND(" ",$K23)-1))),$K23)</f>
      </c>
      <c r="G23" s="6">
        <f>IF($B$3="Anonimizados",IF($L23="","",IF(LEN($L23)&lt;6,LEFT($L23,1)&amp;REPT("*",LEN($L23)-1),LEFT($L23,1)&amp;"****"&amp;MID($L23,6,LEN($L23)-5))),$L23)</f>
      </c>
      <c r="H23" s="6">
        <f>IF($I23="","",INDEX(Registro!$I$2:$I$501,$I23))</f>
      </c>
      <c r="I23" s="0">
        <f>IFERROR(MATCH(11,Registro!$AE$2:$AE$501,0),"")</f>
      </c>
      <c r="J23" s="0">
        <f>IF($I23="","",INDEX(Registro!$E$2:$E$501,$I23))</f>
      </c>
      <c r="K23" s="0">
        <f>IF($I23="","",INDEX(Registro!$F$2:$F$501,$I23))</f>
      </c>
      <c r="L23" s="0">
        <f>IF($I23="","",INDEX(Registro!$G$2:$G$501,$I23))</f>
      </c>
    </row>
    <row r="24" spans="1:8">
      <c r="A24" s="6">
        <f>IF($I24="","",12)</f>
      </c>
      <c r="B24" s="6">
        <f>IF($I24="","",INDEX(Registro!$B$2:$B$501,$I24))</f>
      </c>
      <c r="C24" s="6">
        <f>IF($I24="","",INDEX(Registro!$H$2:$H$501,$I24))</f>
      </c>
      <c r="D24" s="6">
        <f>IF($I24="","",INDEX(Registro!$D$2:$D$501,$I24))</f>
      </c>
      <c r="E24" s="6">
        <f>IF($B$3="Anonimizados",IF($J24="","",IF(ISERROR(FIND(" ",$J24)),$J24,LEFT($J24,FIND(" ",$J24)-1)&amp;" "&amp;MID($J24,FIND(" ",$J24)+1,1)&amp;REPT("*",LEN($J24)-FIND(" ",$J24)-1))),$J24)</f>
      </c>
      <c r="F24" s="6">
        <f>IF($B$3="Anonimizados",IF($K24="","",IF(ISERROR(FIND(" ",$K24)),LEFT($K24,1)&amp;REPT("*",LEN($K24)-1),LEFT($K24,1)&amp;REPT("*",FIND(" ",$K24)-2)&amp;" "&amp;MID($K24,FIND(" ",$K24)+1,1)&amp;REPT("*",LEN($K24)-FIND(" ",$K24)-1))),$K24)</f>
      </c>
      <c r="G24" s="6">
        <f>IF($B$3="Anonimizados",IF($L24="","",IF(LEN($L24)&lt;6,LEFT($L24,1)&amp;REPT("*",LEN($L24)-1),LEFT($L24,1)&amp;"****"&amp;MID($L24,6,LEN($L24)-5))),$L24)</f>
      </c>
      <c r="H24" s="6">
        <f>IF($I24="","",INDEX(Registro!$I$2:$I$501,$I24))</f>
      </c>
      <c r="I24" s="0">
        <f>IFERROR(MATCH(12,Registro!$AE$2:$AE$501,0),"")</f>
      </c>
      <c r="J24" s="0">
        <f>IF($I24="","",INDEX(Registro!$E$2:$E$501,$I24))</f>
      </c>
      <c r="K24" s="0">
        <f>IF($I24="","",INDEX(Registro!$F$2:$F$501,$I24))</f>
      </c>
      <c r="L24" s="0">
        <f>IF($I24="","",INDEX(Registro!$G$2:$G$501,$I24))</f>
      </c>
    </row>
    <row r="25" spans="1:8">
      <c r="A25" s="6">
        <f>IF($I25="","",13)</f>
      </c>
      <c r="B25" s="6">
        <f>IF($I25="","",INDEX(Registro!$B$2:$B$501,$I25))</f>
      </c>
      <c r="C25" s="6">
        <f>IF($I25="","",INDEX(Registro!$H$2:$H$501,$I25))</f>
      </c>
      <c r="D25" s="6">
        <f>IF($I25="","",INDEX(Registro!$D$2:$D$501,$I25))</f>
      </c>
      <c r="E25" s="6">
        <f>IF($B$3="Anonimizados",IF($J25="","",IF(ISERROR(FIND(" ",$J25)),$J25,LEFT($J25,FIND(" ",$J25)-1)&amp;" "&amp;MID($J25,FIND(" ",$J25)+1,1)&amp;REPT("*",LEN($J25)-FIND(" ",$J25)-1))),$J25)</f>
      </c>
      <c r="F25" s="6">
        <f>IF($B$3="Anonimizados",IF($K25="","",IF(ISERROR(FIND(" ",$K25)),LEFT($K25,1)&amp;REPT("*",LEN($K25)-1),LEFT($K25,1)&amp;REPT("*",FIND(" ",$K25)-2)&amp;" "&amp;MID($K25,FIND(" ",$K25)+1,1)&amp;REPT("*",LEN($K25)-FIND(" ",$K25)-1))),$K25)</f>
      </c>
      <c r="G25" s="6">
        <f>IF($B$3="Anonimizados",IF($L25="","",IF(LEN($L25)&lt;6,LEFT($L25,1)&amp;REPT("*",LEN($L25)-1),LEFT($L25,1)&amp;"****"&amp;MID($L25,6,LEN($L25)-5))),$L25)</f>
      </c>
      <c r="H25" s="6">
        <f>IF($I25="","",INDEX(Registro!$I$2:$I$501,$I25))</f>
      </c>
      <c r="I25" s="0">
        <f>IFERROR(MATCH(13,Registro!$AE$2:$AE$501,0),"")</f>
      </c>
      <c r="J25" s="0">
        <f>IF($I25="","",INDEX(Registro!$E$2:$E$501,$I25))</f>
      </c>
      <c r="K25" s="0">
        <f>IF($I25="","",INDEX(Registro!$F$2:$F$501,$I25))</f>
      </c>
      <c r="L25" s="0">
        <f>IF($I25="","",INDEX(Registro!$G$2:$G$501,$I25))</f>
      </c>
    </row>
    <row r="26" spans="1:8">
      <c r="A26" s="6">
        <f>IF($I26="","",14)</f>
      </c>
      <c r="B26" s="6">
        <f>IF($I26="","",INDEX(Registro!$B$2:$B$501,$I26))</f>
      </c>
      <c r="C26" s="6">
        <f>IF($I26="","",INDEX(Registro!$H$2:$H$501,$I26))</f>
      </c>
      <c r="D26" s="6">
        <f>IF($I26="","",INDEX(Registro!$D$2:$D$501,$I26))</f>
      </c>
      <c r="E26" s="6">
        <f>IF($B$3="Anonimizados",IF($J26="","",IF(ISERROR(FIND(" ",$J26)),$J26,LEFT($J26,FIND(" ",$J26)-1)&amp;" "&amp;MID($J26,FIND(" ",$J26)+1,1)&amp;REPT("*",LEN($J26)-FIND(" ",$J26)-1))),$J26)</f>
      </c>
      <c r="F26" s="6">
        <f>IF($B$3="Anonimizados",IF($K26="","",IF(ISERROR(FIND(" ",$K26)),LEFT($K26,1)&amp;REPT("*",LEN($K26)-1),LEFT($K26,1)&amp;REPT("*",FIND(" ",$K26)-2)&amp;" "&amp;MID($K26,FIND(" ",$K26)+1,1)&amp;REPT("*",LEN($K26)-FIND(" ",$K26)-1))),$K26)</f>
      </c>
      <c r="G26" s="6">
        <f>IF($B$3="Anonimizados",IF($L26="","",IF(LEN($L26)&lt;6,LEFT($L26,1)&amp;REPT("*",LEN($L26)-1),LEFT($L26,1)&amp;"****"&amp;MID($L26,6,LEN($L26)-5))),$L26)</f>
      </c>
      <c r="H26" s="6">
        <f>IF($I26="","",INDEX(Registro!$I$2:$I$501,$I26))</f>
      </c>
      <c r="I26" s="0">
        <f>IFERROR(MATCH(14,Registro!$AE$2:$AE$501,0),"")</f>
      </c>
      <c r="J26" s="0">
        <f>IF($I26="","",INDEX(Registro!$E$2:$E$501,$I26))</f>
      </c>
      <c r="K26" s="0">
        <f>IF($I26="","",INDEX(Registro!$F$2:$F$501,$I26))</f>
      </c>
      <c r="L26" s="0">
        <f>IF($I26="","",INDEX(Registro!$G$2:$G$501,$I26))</f>
      </c>
    </row>
    <row r="27" spans="1:8">
      <c r="A27" s="6">
        <f>IF($I27="","",15)</f>
      </c>
      <c r="B27" s="6">
        <f>IF($I27="","",INDEX(Registro!$B$2:$B$501,$I27))</f>
      </c>
      <c r="C27" s="6">
        <f>IF($I27="","",INDEX(Registro!$H$2:$H$501,$I27))</f>
      </c>
      <c r="D27" s="6">
        <f>IF($I27="","",INDEX(Registro!$D$2:$D$501,$I27))</f>
      </c>
      <c r="E27" s="6">
        <f>IF($B$3="Anonimizados",IF($J27="","",IF(ISERROR(FIND(" ",$J27)),$J27,LEFT($J27,FIND(" ",$J27)-1)&amp;" "&amp;MID($J27,FIND(" ",$J27)+1,1)&amp;REPT("*",LEN($J27)-FIND(" ",$J27)-1))),$J27)</f>
      </c>
      <c r="F27" s="6">
        <f>IF($B$3="Anonimizados",IF($K27="","",IF(ISERROR(FIND(" ",$K27)),LEFT($K27,1)&amp;REPT("*",LEN($K27)-1),LEFT($K27,1)&amp;REPT("*",FIND(" ",$K27)-2)&amp;" "&amp;MID($K27,FIND(" ",$K27)+1,1)&amp;REPT("*",LEN($K27)-FIND(" ",$K27)-1))),$K27)</f>
      </c>
      <c r="G27" s="6">
        <f>IF($B$3="Anonimizados",IF($L27="","",IF(LEN($L27)&lt;6,LEFT($L27,1)&amp;REPT("*",LEN($L27)-1),LEFT($L27,1)&amp;"****"&amp;MID($L27,6,LEN($L27)-5))),$L27)</f>
      </c>
      <c r="H27" s="6">
        <f>IF($I27="","",INDEX(Registro!$I$2:$I$501,$I27))</f>
      </c>
      <c r="I27" s="0">
        <f>IFERROR(MATCH(15,Registro!$AE$2:$AE$501,0),"")</f>
      </c>
      <c r="J27" s="0">
        <f>IF($I27="","",INDEX(Registro!$E$2:$E$501,$I27))</f>
      </c>
      <c r="K27" s="0">
        <f>IF($I27="","",INDEX(Registro!$F$2:$F$501,$I27))</f>
      </c>
      <c r="L27" s="0">
        <f>IF($I27="","",INDEX(Registro!$G$2:$G$501,$I27))</f>
      </c>
    </row>
    <row r="28" spans="1:8">
      <c r="A28" s="6">
        <f>IF($I28="","",16)</f>
      </c>
      <c r="B28" s="6">
        <f>IF($I28="","",INDEX(Registro!$B$2:$B$501,$I28))</f>
      </c>
      <c r="C28" s="6">
        <f>IF($I28="","",INDEX(Registro!$H$2:$H$501,$I28))</f>
      </c>
      <c r="D28" s="6">
        <f>IF($I28="","",INDEX(Registro!$D$2:$D$501,$I28))</f>
      </c>
      <c r="E28" s="6">
        <f>IF($B$3="Anonimizados",IF($J28="","",IF(ISERROR(FIND(" ",$J28)),$J28,LEFT($J28,FIND(" ",$J28)-1)&amp;" "&amp;MID($J28,FIND(" ",$J28)+1,1)&amp;REPT("*",LEN($J28)-FIND(" ",$J28)-1))),$J28)</f>
      </c>
      <c r="F28" s="6">
        <f>IF($B$3="Anonimizados",IF($K28="","",IF(ISERROR(FIND(" ",$K28)),LEFT($K28,1)&amp;REPT("*",LEN($K28)-1),LEFT($K28,1)&amp;REPT("*",FIND(" ",$K28)-2)&amp;" "&amp;MID($K28,FIND(" ",$K28)+1,1)&amp;REPT("*",LEN($K28)-FIND(" ",$K28)-1))),$K28)</f>
      </c>
      <c r="G28" s="6">
        <f>IF($B$3="Anonimizados",IF($L28="","",IF(LEN($L28)&lt;6,LEFT($L28,1)&amp;REPT("*",LEN($L28)-1),LEFT($L28,1)&amp;"****"&amp;MID($L28,6,LEN($L28)-5))),$L28)</f>
      </c>
      <c r="H28" s="6">
        <f>IF($I28="","",INDEX(Registro!$I$2:$I$501,$I28))</f>
      </c>
      <c r="I28" s="0">
        <f>IFERROR(MATCH(16,Registro!$AE$2:$AE$501,0),"")</f>
      </c>
      <c r="J28" s="0">
        <f>IF($I28="","",INDEX(Registro!$E$2:$E$501,$I28))</f>
      </c>
      <c r="K28" s="0">
        <f>IF($I28="","",INDEX(Registro!$F$2:$F$501,$I28))</f>
      </c>
      <c r="L28" s="0">
        <f>IF($I28="","",INDEX(Registro!$G$2:$G$501,$I28))</f>
      </c>
    </row>
    <row r="29" spans="1:8">
      <c r="A29" s="6">
        <f>IF($I29="","",17)</f>
      </c>
      <c r="B29" s="6">
        <f>IF($I29="","",INDEX(Registro!$B$2:$B$501,$I29))</f>
      </c>
      <c r="C29" s="6">
        <f>IF($I29="","",INDEX(Registro!$H$2:$H$501,$I29))</f>
      </c>
      <c r="D29" s="6">
        <f>IF($I29="","",INDEX(Registro!$D$2:$D$501,$I29))</f>
      </c>
      <c r="E29" s="6">
        <f>IF($B$3="Anonimizados",IF($J29="","",IF(ISERROR(FIND(" ",$J29)),$J29,LEFT($J29,FIND(" ",$J29)-1)&amp;" "&amp;MID($J29,FIND(" ",$J29)+1,1)&amp;REPT("*",LEN($J29)-FIND(" ",$J29)-1))),$J29)</f>
      </c>
      <c r="F29" s="6">
        <f>IF($B$3="Anonimizados",IF($K29="","",IF(ISERROR(FIND(" ",$K29)),LEFT($K29,1)&amp;REPT("*",LEN($K29)-1),LEFT($K29,1)&amp;REPT("*",FIND(" ",$K29)-2)&amp;" "&amp;MID($K29,FIND(" ",$K29)+1,1)&amp;REPT("*",LEN($K29)-FIND(" ",$K29)-1))),$K29)</f>
      </c>
      <c r="G29" s="6">
        <f>IF($B$3="Anonimizados",IF($L29="","",IF(LEN($L29)&lt;6,LEFT($L29,1)&amp;REPT("*",LEN($L29)-1),LEFT($L29,1)&amp;"****"&amp;MID($L29,6,LEN($L29)-5))),$L29)</f>
      </c>
      <c r="H29" s="6">
        <f>IF($I29="","",INDEX(Registro!$I$2:$I$501,$I29))</f>
      </c>
      <c r="I29" s="0">
        <f>IFERROR(MATCH(17,Registro!$AE$2:$AE$501,0),"")</f>
      </c>
      <c r="J29" s="0">
        <f>IF($I29="","",INDEX(Registro!$E$2:$E$501,$I29))</f>
      </c>
      <c r="K29" s="0">
        <f>IF($I29="","",INDEX(Registro!$F$2:$F$501,$I29))</f>
      </c>
      <c r="L29" s="0">
        <f>IF($I29="","",INDEX(Registro!$G$2:$G$501,$I29))</f>
      </c>
    </row>
    <row r="30" spans="1:8">
      <c r="A30" s="6">
        <f>IF($I30="","",18)</f>
      </c>
      <c r="B30" s="6">
        <f>IF($I30="","",INDEX(Registro!$B$2:$B$501,$I30))</f>
      </c>
      <c r="C30" s="6">
        <f>IF($I30="","",INDEX(Registro!$H$2:$H$501,$I30))</f>
      </c>
      <c r="D30" s="6">
        <f>IF($I30="","",INDEX(Registro!$D$2:$D$501,$I30))</f>
      </c>
      <c r="E30" s="6">
        <f>IF($B$3="Anonimizados",IF($J30="","",IF(ISERROR(FIND(" ",$J30)),$J30,LEFT($J30,FIND(" ",$J30)-1)&amp;" "&amp;MID($J30,FIND(" ",$J30)+1,1)&amp;REPT("*",LEN($J30)-FIND(" ",$J30)-1))),$J30)</f>
      </c>
      <c r="F30" s="6">
        <f>IF($B$3="Anonimizados",IF($K30="","",IF(ISERROR(FIND(" ",$K30)),LEFT($K30,1)&amp;REPT("*",LEN($K30)-1),LEFT($K30,1)&amp;REPT("*",FIND(" ",$K30)-2)&amp;" "&amp;MID($K30,FIND(" ",$K30)+1,1)&amp;REPT("*",LEN($K30)-FIND(" ",$K30)-1))),$K30)</f>
      </c>
      <c r="G30" s="6">
        <f>IF($B$3="Anonimizados",IF($L30="","",IF(LEN($L30)&lt;6,LEFT($L30,1)&amp;REPT("*",LEN($L30)-1),LEFT($L30,1)&amp;"****"&amp;MID($L30,6,LEN($L30)-5))),$L30)</f>
      </c>
      <c r="H30" s="6">
        <f>IF($I30="","",INDEX(Registro!$I$2:$I$501,$I30))</f>
      </c>
      <c r="I30" s="0">
        <f>IFERROR(MATCH(18,Registro!$AE$2:$AE$501,0),"")</f>
      </c>
      <c r="J30" s="0">
        <f>IF($I30="","",INDEX(Registro!$E$2:$E$501,$I30))</f>
      </c>
      <c r="K30" s="0">
        <f>IF($I30="","",INDEX(Registro!$F$2:$F$501,$I30))</f>
      </c>
      <c r="L30" s="0">
        <f>IF($I30="","",INDEX(Registro!$G$2:$G$501,$I30))</f>
      </c>
    </row>
    <row r="31" spans="1:8">
      <c r="A31" s="6">
        <f>IF($I31="","",19)</f>
      </c>
      <c r="B31" s="6">
        <f>IF($I31="","",INDEX(Registro!$B$2:$B$501,$I31))</f>
      </c>
      <c r="C31" s="6">
        <f>IF($I31="","",INDEX(Registro!$H$2:$H$501,$I31))</f>
      </c>
      <c r="D31" s="6">
        <f>IF($I31="","",INDEX(Registro!$D$2:$D$501,$I31))</f>
      </c>
      <c r="E31" s="6">
        <f>IF($B$3="Anonimizados",IF($J31="","",IF(ISERROR(FIND(" ",$J31)),$J31,LEFT($J31,FIND(" ",$J31)-1)&amp;" "&amp;MID($J31,FIND(" ",$J31)+1,1)&amp;REPT("*",LEN($J31)-FIND(" ",$J31)-1))),$J31)</f>
      </c>
      <c r="F31" s="6">
        <f>IF($B$3="Anonimizados",IF($K31="","",IF(ISERROR(FIND(" ",$K31)),LEFT($K31,1)&amp;REPT("*",LEN($K31)-1),LEFT($K31,1)&amp;REPT("*",FIND(" ",$K31)-2)&amp;" "&amp;MID($K31,FIND(" ",$K31)+1,1)&amp;REPT("*",LEN($K31)-FIND(" ",$K31)-1))),$K31)</f>
      </c>
      <c r="G31" s="6">
        <f>IF($B$3="Anonimizados",IF($L31="","",IF(LEN($L31)&lt;6,LEFT($L31,1)&amp;REPT("*",LEN($L31)-1),LEFT($L31,1)&amp;"****"&amp;MID($L31,6,LEN($L31)-5))),$L31)</f>
      </c>
      <c r="H31" s="6">
        <f>IF($I31="","",INDEX(Registro!$I$2:$I$501,$I31))</f>
      </c>
      <c r="I31" s="0">
        <f>IFERROR(MATCH(19,Registro!$AE$2:$AE$501,0),"")</f>
      </c>
      <c r="J31" s="0">
        <f>IF($I31="","",INDEX(Registro!$E$2:$E$501,$I31))</f>
      </c>
      <c r="K31" s="0">
        <f>IF($I31="","",INDEX(Registro!$F$2:$F$501,$I31))</f>
      </c>
      <c r="L31" s="0">
        <f>IF($I31="","",INDEX(Registro!$G$2:$G$501,$I31))</f>
      </c>
    </row>
    <row r="32" spans="1:8">
      <c r="A32" s="6">
        <f>IF($I32="","",20)</f>
      </c>
      <c r="B32" s="6">
        <f>IF($I32="","",INDEX(Registro!$B$2:$B$501,$I32))</f>
      </c>
      <c r="C32" s="6">
        <f>IF($I32="","",INDEX(Registro!$H$2:$H$501,$I32))</f>
      </c>
      <c r="D32" s="6">
        <f>IF($I32="","",INDEX(Registro!$D$2:$D$501,$I32))</f>
      </c>
      <c r="E32" s="6">
        <f>IF($B$3="Anonimizados",IF($J32="","",IF(ISERROR(FIND(" ",$J32)),$J32,LEFT($J32,FIND(" ",$J32)-1)&amp;" "&amp;MID($J32,FIND(" ",$J32)+1,1)&amp;REPT("*",LEN($J32)-FIND(" ",$J32)-1))),$J32)</f>
      </c>
      <c r="F32" s="6">
        <f>IF($B$3="Anonimizados",IF($K32="","",IF(ISERROR(FIND(" ",$K32)),LEFT($K32,1)&amp;REPT("*",LEN($K32)-1),LEFT($K32,1)&amp;REPT("*",FIND(" ",$K32)-2)&amp;" "&amp;MID($K32,FIND(" ",$K32)+1,1)&amp;REPT("*",LEN($K32)-FIND(" ",$K32)-1))),$K32)</f>
      </c>
      <c r="G32" s="6">
        <f>IF($B$3="Anonimizados",IF($L32="","",IF(LEN($L32)&lt;6,LEFT($L32,1)&amp;REPT("*",LEN($L32)-1),LEFT($L32,1)&amp;"****"&amp;MID($L32,6,LEN($L32)-5))),$L32)</f>
      </c>
      <c r="H32" s="6">
        <f>IF($I32="","",INDEX(Registro!$I$2:$I$501,$I32))</f>
      </c>
      <c r="I32" s="0">
        <f>IFERROR(MATCH(20,Registro!$AE$2:$AE$501,0),"")</f>
      </c>
      <c r="J32" s="0">
        <f>IF($I32="","",INDEX(Registro!$E$2:$E$501,$I32))</f>
      </c>
      <c r="K32" s="0">
        <f>IF($I32="","",INDEX(Registro!$F$2:$F$501,$I32))</f>
      </c>
      <c r="L32" s="0">
        <f>IF($I32="","",INDEX(Registro!$G$2:$G$501,$I32))</f>
      </c>
    </row>
    <row r="33" spans="1:8">
      <c r="A33" s="6">
        <f>IF($I33="","",21)</f>
      </c>
      <c r="B33" s="6">
        <f>IF($I33="","",INDEX(Registro!$B$2:$B$501,$I33))</f>
      </c>
      <c r="C33" s="6">
        <f>IF($I33="","",INDEX(Registro!$H$2:$H$501,$I33))</f>
      </c>
      <c r="D33" s="6">
        <f>IF($I33="","",INDEX(Registro!$D$2:$D$501,$I33))</f>
      </c>
      <c r="E33" s="6">
        <f>IF($B$3="Anonimizados",IF($J33="","",IF(ISERROR(FIND(" ",$J33)),$J33,LEFT($J33,FIND(" ",$J33)-1)&amp;" "&amp;MID($J33,FIND(" ",$J33)+1,1)&amp;REPT("*",LEN($J33)-FIND(" ",$J33)-1))),$J33)</f>
      </c>
      <c r="F33" s="6">
        <f>IF($B$3="Anonimizados",IF($K33="","",IF(ISERROR(FIND(" ",$K33)),LEFT($K33,1)&amp;REPT("*",LEN($K33)-1),LEFT($K33,1)&amp;REPT("*",FIND(" ",$K33)-2)&amp;" "&amp;MID($K33,FIND(" ",$K33)+1,1)&amp;REPT("*",LEN($K33)-FIND(" ",$K33)-1))),$K33)</f>
      </c>
      <c r="G33" s="6">
        <f>IF($B$3="Anonimizados",IF($L33="","",IF(LEN($L33)&lt;6,LEFT($L33,1)&amp;REPT("*",LEN($L33)-1),LEFT($L33,1)&amp;"****"&amp;MID($L33,6,LEN($L33)-5))),$L33)</f>
      </c>
      <c r="H33" s="6">
        <f>IF($I33="","",INDEX(Registro!$I$2:$I$501,$I33))</f>
      </c>
      <c r="I33" s="0">
        <f>IFERROR(MATCH(21,Registro!$AE$2:$AE$501,0),"")</f>
      </c>
      <c r="J33" s="0">
        <f>IF($I33="","",INDEX(Registro!$E$2:$E$501,$I33))</f>
      </c>
      <c r="K33" s="0">
        <f>IF($I33="","",INDEX(Registro!$F$2:$F$501,$I33))</f>
      </c>
      <c r="L33" s="0">
        <f>IF($I33="","",INDEX(Registro!$G$2:$G$501,$I33))</f>
      </c>
    </row>
    <row r="34" spans="1:8">
      <c r="A34" s="6">
        <f>IF($I34="","",22)</f>
      </c>
      <c r="B34" s="6">
        <f>IF($I34="","",INDEX(Registro!$B$2:$B$501,$I34))</f>
      </c>
      <c r="C34" s="6">
        <f>IF($I34="","",INDEX(Registro!$H$2:$H$501,$I34))</f>
      </c>
      <c r="D34" s="6">
        <f>IF($I34="","",INDEX(Registro!$D$2:$D$501,$I34))</f>
      </c>
      <c r="E34" s="6">
        <f>IF($B$3="Anonimizados",IF($J34="","",IF(ISERROR(FIND(" ",$J34)),$J34,LEFT($J34,FIND(" ",$J34)-1)&amp;" "&amp;MID($J34,FIND(" ",$J34)+1,1)&amp;REPT("*",LEN($J34)-FIND(" ",$J34)-1))),$J34)</f>
      </c>
      <c r="F34" s="6">
        <f>IF($B$3="Anonimizados",IF($K34="","",IF(ISERROR(FIND(" ",$K34)),LEFT($K34,1)&amp;REPT("*",LEN($K34)-1),LEFT($K34,1)&amp;REPT("*",FIND(" ",$K34)-2)&amp;" "&amp;MID($K34,FIND(" ",$K34)+1,1)&amp;REPT("*",LEN($K34)-FIND(" ",$K34)-1))),$K34)</f>
      </c>
      <c r="G34" s="6">
        <f>IF($B$3="Anonimizados",IF($L34="","",IF(LEN($L34)&lt;6,LEFT($L34,1)&amp;REPT("*",LEN($L34)-1),LEFT($L34,1)&amp;"****"&amp;MID($L34,6,LEN($L34)-5))),$L34)</f>
      </c>
      <c r="H34" s="6">
        <f>IF($I34="","",INDEX(Registro!$I$2:$I$501,$I34))</f>
      </c>
      <c r="I34" s="0">
        <f>IFERROR(MATCH(22,Registro!$AE$2:$AE$501,0),"")</f>
      </c>
      <c r="J34" s="0">
        <f>IF($I34="","",INDEX(Registro!$E$2:$E$501,$I34))</f>
      </c>
      <c r="K34" s="0">
        <f>IF($I34="","",INDEX(Registro!$F$2:$F$501,$I34))</f>
      </c>
      <c r="L34" s="0">
        <f>IF($I34="","",INDEX(Registro!$G$2:$G$501,$I34))</f>
      </c>
    </row>
    <row r="35" spans="1:8">
      <c r="A35" s="6">
        <f>IF($I35="","",23)</f>
      </c>
      <c r="B35" s="6">
        <f>IF($I35="","",INDEX(Registro!$B$2:$B$501,$I35))</f>
      </c>
      <c r="C35" s="6">
        <f>IF($I35="","",INDEX(Registro!$H$2:$H$501,$I35))</f>
      </c>
      <c r="D35" s="6">
        <f>IF($I35="","",INDEX(Registro!$D$2:$D$501,$I35))</f>
      </c>
      <c r="E35" s="6">
        <f>IF($B$3="Anonimizados",IF($J35="","",IF(ISERROR(FIND(" ",$J35)),$J35,LEFT($J35,FIND(" ",$J35)-1)&amp;" "&amp;MID($J35,FIND(" ",$J35)+1,1)&amp;REPT("*",LEN($J35)-FIND(" ",$J35)-1))),$J35)</f>
      </c>
      <c r="F35" s="6">
        <f>IF($B$3="Anonimizados",IF($K35="","",IF(ISERROR(FIND(" ",$K35)),LEFT($K35,1)&amp;REPT("*",LEN($K35)-1),LEFT($K35,1)&amp;REPT("*",FIND(" ",$K35)-2)&amp;" "&amp;MID($K35,FIND(" ",$K35)+1,1)&amp;REPT("*",LEN($K35)-FIND(" ",$K35)-1))),$K35)</f>
      </c>
      <c r="G35" s="6">
        <f>IF($B$3="Anonimizados",IF($L35="","",IF(LEN($L35)&lt;6,LEFT($L35,1)&amp;REPT("*",LEN($L35)-1),LEFT($L35,1)&amp;"****"&amp;MID($L35,6,LEN($L35)-5))),$L35)</f>
      </c>
      <c r="H35" s="6">
        <f>IF($I35="","",INDEX(Registro!$I$2:$I$501,$I35))</f>
      </c>
      <c r="I35" s="0">
        <f>IFERROR(MATCH(23,Registro!$AE$2:$AE$501,0),"")</f>
      </c>
      <c r="J35" s="0">
        <f>IF($I35="","",INDEX(Registro!$E$2:$E$501,$I35))</f>
      </c>
      <c r="K35" s="0">
        <f>IF($I35="","",INDEX(Registro!$F$2:$F$501,$I35))</f>
      </c>
      <c r="L35" s="0">
        <f>IF($I35="","",INDEX(Registro!$G$2:$G$501,$I35))</f>
      </c>
    </row>
    <row r="36" spans="1:8">
      <c r="A36" s="6">
        <f>IF($I36="","",24)</f>
      </c>
      <c r="B36" s="6">
        <f>IF($I36="","",INDEX(Registro!$B$2:$B$501,$I36))</f>
      </c>
      <c r="C36" s="6">
        <f>IF($I36="","",INDEX(Registro!$H$2:$H$501,$I36))</f>
      </c>
      <c r="D36" s="6">
        <f>IF($I36="","",INDEX(Registro!$D$2:$D$501,$I36))</f>
      </c>
      <c r="E36" s="6">
        <f>IF($B$3="Anonimizados",IF($J36="","",IF(ISERROR(FIND(" ",$J36)),$J36,LEFT($J36,FIND(" ",$J36)-1)&amp;" "&amp;MID($J36,FIND(" ",$J36)+1,1)&amp;REPT("*",LEN($J36)-FIND(" ",$J36)-1))),$J36)</f>
      </c>
      <c r="F36" s="6">
        <f>IF($B$3="Anonimizados",IF($K36="","",IF(ISERROR(FIND(" ",$K36)),LEFT($K36,1)&amp;REPT("*",LEN($K36)-1),LEFT($K36,1)&amp;REPT("*",FIND(" ",$K36)-2)&amp;" "&amp;MID($K36,FIND(" ",$K36)+1,1)&amp;REPT("*",LEN($K36)-FIND(" ",$K36)-1))),$K36)</f>
      </c>
      <c r="G36" s="6">
        <f>IF($B$3="Anonimizados",IF($L36="","",IF(LEN($L36)&lt;6,LEFT($L36,1)&amp;REPT("*",LEN($L36)-1),LEFT($L36,1)&amp;"****"&amp;MID($L36,6,LEN($L36)-5))),$L36)</f>
      </c>
      <c r="H36" s="6">
        <f>IF($I36="","",INDEX(Registro!$I$2:$I$501,$I36))</f>
      </c>
      <c r="I36" s="0">
        <f>IFERROR(MATCH(24,Registro!$AE$2:$AE$501,0),"")</f>
      </c>
      <c r="J36" s="0">
        <f>IF($I36="","",INDEX(Registro!$E$2:$E$501,$I36))</f>
      </c>
      <c r="K36" s="0">
        <f>IF($I36="","",INDEX(Registro!$F$2:$F$501,$I36))</f>
      </c>
      <c r="L36" s="0">
        <f>IF($I36="","",INDEX(Registro!$G$2:$G$501,$I36))</f>
      </c>
    </row>
    <row r="37" spans="1:8">
      <c r="A37" s="6">
        <f>IF($I37="","",25)</f>
      </c>
      <c r="B37" s="6">
        <f>IF($I37="","",INDEX(Registro!$B$2:$B$501,$I37))</f>
      </c>
      <c r="C37" s="6">
        <f>IF($I37="","",INDEX(Registro!$H$2:$H$501,$I37))</f>
      </c>
      <c r="D37" s="6">
        <f>IF($I37="","",INDEX(Registro!$D$2:$D$501,$I37))</f>
      </c>
      <c r="E37" s="6">
        <f>IF($B$3="Anonimizados",IF($J37="","",IF(ISERROR(FIND(" ",$J37)),$J37,LEFT($J37,FIND(" ",$J37)-1)&amp;" "&amp;MID($J37,FIND(" ",$J37)+1,1)&amp;REPT("*",LEN($J37)-FIND(" ",$J37)-1))),$J37)</f>
      </c>
      <c r="F37" s="6">
        <f>IF($B$3="Anonimizados",IF($K37="","",IF(ISERROR(FIND(" ",$K37)),LEFT($K37,1)&amp;REPT("*",LEN($K37)-1),LEFT($K37,1)&amp;REPT("*",FIND(" ",$K37)-2)&amp;" "&amp;MID($K37,FIND(" ",$K37)+1,1)&amp;REPT("*",LEN($K37)-FIND(" ",$K37)-1))),$K37)</f>
      </c>
      <c r="G37" s="6">
        <f>IF($B$3="Anonimizados",IF($L37="","",IF(LEN($L37)&lt;6,LEFT($L37,1)&amp;REPT("*",LEN($L37)-1),LEFT($L37,1)&amp;"****"&amp;MID($L37,6,LEN($L37)-5))),$L37)</f>
      </c>
      <c r="H37" s="6">
        <f>IF($I37="","",INDEX(Registro!$I$2:$I$501,$I37))</f>
      </c>
      <c r="I37" s="0">
        <f>IFERROR(MATCH(25,Registro!$AE$2:$AE$501,0),"")</f>
      </c>
      <c r="J37" s="0">
        <f>IF($I37="","",INDEX(Registro!$E$2:$E$501,$I37))</f>
      </c>
      <c r="K37" s="0">
        <f>IF($I37="","",INDEX(Registro!$F$2:$F$501,$I37))</f>
      </c>
      <c r="L37" s="0">
        <f>IF($I37="","",INDEX(Registro!$G$2:$G$501,$I37))</f>
      </c>
    </row>
    <row r="38" spans="1:8">
      <c r="A38" s="6">
        <f>IF($I38="","",26)</f>
      </c>
      <c r="B38" s="6">
        <f>IF($I38="","",INDEX(Registro!$B$2:$B$501,$I38))</f>
      </c>
      <c r="C38" s="6">
        <f>IF($I38="","",INDEX(Registro!$H$2:$H$501,$I38))</f>
      </c>
      <c r="D38" s="6">
        <f>IF($I38="","",INDEX(Registro!$D$2:$D$501,$I38))</f>
      </c>
      <c r="E38" s="6">
        <f>IF($B$3="Anonimizados",IF($J38="","",IF(ISERROR(FIND(" ",$J38)),$J38,LEFT($J38,FIND(" ",$J38)-1)&amp;" "&amp;MID($J38,FIND(" ",$J38)+1,1)&amp;REPT("*",LEN($J38)-FIND(" ",$J38)-1))),$J38)</f>
      </c>
      <c r="F38" s="6">
        <f>IF($B$3="Anonimizados",IF($K38="","",IF(ISERROR(FIND(" ",$K38)),LEFT($K38,1)&amp;REPT("*",LEN($K38)-1),LEFT($K38,1)&amp;REPT("*",FIND(" ",$K38)-2)&amp;" "&amp;MID($K38,FIND(" ",$K38)+1,1)&amp;REPT("*",LEN($K38)-FIND(" ",$K38)-1))),$K38)</f>
      </c>
      <c r="G38" s="6">
        <f>IF($B$3="Anonimizados",IF($L38="","",IF(LEN($L38)&lt;6,LEFT($L38,1)&amp;REPT("*",LEN($L38)-1),LEFT($L38,1)&amp;"****"&amp;MID($L38,6,LEN($L38)-5))),$L38)</f>
      </c>
      <c r="H38" s="6">
        <f>IF($I38="","",INDEX(Registro!$I$2:$I$501,$I38))</f>
      </c>
      <c r="I38" s="0">
        <f>IFERROR(MATCH(26,Registro!$AE$2:$AE$501,0),"")</f>
      </c>
      <c r="J38" s="0">
        <f>IF($I38="","",INDEX(Registro!$E$2:$E$501,$I38))</f>
      </c>
      <c r="K38" s="0">
        <f>IF($I38="","",INDEX(Registro!$F$2:$F$501,$I38))</f>
      </c>
      <c r="L38" s="0">
        <f>IF($I38="","",INDEX(Registro!$G$2:$G$501,$I38))</f>
      </c>
    </row>
    <row r="39" spans="1:8">
      <c r="A39" s="6">
        <f>IF($I39="","",27)</f>
      </c>
      <c r="B39" s="6">
        <f>IF($I39="","",INDEX(Registro!$B$2:$B$501,$I39))</f>
      </c>
      <c r="C39" s="6">
        <f>IF($I39="","",INDEX(Registro!$H$2:$H$501,$I39))</f>
      </c>
      <c r="D39" s="6">
        <f>IF($I39="","",INDEX(Registro!$D$2:$D$501,$I39))</f>
      </c>
      <c r="E39" s="6">
        <f>IF($B$3="Anonimizados",IF($J39="","",IF(ISERROR(FIND(" ",$J39)),$J39,LEFT($J39,FIND(" ",$J39)-1)&amp;" "&amp;MID($J39,FIND(" ",$J39)+1,1)&amp;REPT("*",LEN($J39)-FIND(" ",$J39)-1))),$J39)</f>
      </c>
      <c r="F39" s="6">
        <f>IF($B$3="Anonimizados",IF($K39="","",IF(ISERROR(FIND(" ",$K39)),LEFT($K39,1)&amp;REPT("*",LEN($K39)-1),LEFT($K39,1)&amp;REPT("*",FIND(" ",$K39)-2)&amp;" "&amp;MID($K39,FIND(" ",$K39)+1,1)&amp;REPT("*",LEN($K39)-FIND(" ",$K39)-1))),$K39)</f>
      </c>
      <c r="G39" s="6">
        <f>IF($B$3="Anonimizados",IF($L39="","",IF(LEN($L39)&lt;6,LEFT($L39,1)&amp;REPT("*",LEN($L39)-1),LEFT($L39,1)&amp;"****"&amp;MID($L39,6,LEN($L39)-5))),$L39)</f>
      </c>
      <c r="H39" s="6">
        <f>IF($I39="","",INDEX(Registro!$I$2:$I$501,$I39))</f>
      </c>
      <c r="I39" s="0">
        <f>IFERROR(MATCH(27,Registro!$AE$2:$AE$501,0),"")</f>
      </c>
      <c r="J39" s="0">
        <f>IF($I39="","",INDEX(Registro!$E$2:$E$501,$I39))</f>
      </c>
      <c r="K39" s="0">
        <f>IF($I39="","",INDEX(Registro!$F$2:$F$501,$I39))</f>
      </c>
      <c r="L39" s="0">
        <f>IF($I39="","",INDEX(Registro!$G$2:$G$501,$I39))</f>
      </c>
    </row>
    <row r="40" spans="1:8">
      <c r="A40" s="6">
        <f>IF($I40="","",28)</f>
      </c>
      <c r="B40" s="6">
        <f>IF($I40="","",INDEX(Registro!$B$2:$B$501,$I40))</f>
      </c>
      <c r="C40" s="6">
        <f>IF($I40="","",INDEX(Registro!$H$2:$H$501,$I40))</f>
      </c>
      <c r="D40" s="6">
        <f>IF($I40="","",INDEX(Registro!$D$2:$D$501,$I40))</f>
      </c>
      <c r="E40" s="6">
        <f>IF($B$3="Anonimizados",IF($J40="","",IF(ISERROR(FIND(" ",$J40)),$J40,LEFT($J40,FIND(" ",$J40)-1)&amp;" "&amp;MID($J40,FIND(" ",$J40)+1,1)&amp;REPT("*",LEN($J40)-FIND(" ",$J40)-1))),$J40)</f>
      </c>
      <c r="F40" s="6">
        <f>IF($B$3="Anonimizados",IF($K40="","",IF(ISERROR(FIND(" ",$K40)),LEFT($K40,1)&amp;REPT("*",LEN($K40)-1),LEFT($K40,1)&amp;REPT("*",FIND(" ",$K40)-2)&amp;" "&amp;MID($K40,FIND(" ",$K40)+1,1)&amp;REPT("*",LEN($K40)-FIND(" ",$K40)-1))),$K40)</f>
      </c>
      <c r="G40" s="6">
        <f>IF($B$3="Anonimizados",IF($L40="","",IF(LEN($L40)&lt;6,LEFT($L40,1)&amp;REPT("*",LEN($L40)-1),LEFT($L40,1)&amp;"****"&amp;MID($L40,6,LEN($L40)-5))),$L40)</f>
      </c>
      <c r="H40" s="6">
        <f>IF($I40="","",INDEX(Registro!$I$2:$I$501,$I40))</f>
      </c>
      <c r="I40" s="0">
        <f>IFERROR(MATCH(28,Registro!$AE$2:$AE$501,0),"")</f>
      </c>
      <c r="J40" s="0">
        <f>IF($I40="","",INDEX(Registro!$E$2:$E$501,$I40))</f>
      </c>
      <c r="K40" s="0">
        <f>IF($I40="","",INDEX(Registro!$F$2:$F$501,$I40))</f>
      </c>
      <c r="L40" s="0">
        <f>IF($I40="","",INDEX(Registro!$G$2:$G$501,$I40))</f>
      </c>
    </row>
    <row r="41" spans="1:8">
      <c r="A41" s="6">
        <f>IF($I41="","",29)</f>
      </c>
      <c r="B41" s="6">
        <f>IF($I41="","",INDEX(Registro!$B$2:$B$501,$I41))</f>
      </c>
      <c r="C41" s="6">
        <f>IF($I41="","",INDEX(Registro!$H$2:$H$501,$I41))</f>
      </c>
      <c r="D41" s="6">
        <f>IF($I41="","",INDEX(Registro!$D$2:$D$501,$I41))</f>
      </c>
      <c r="E41" s="6">
        <f>IF($B$3="Anonimizados",IF($J41="","",IF(ISERROR(FIND(" ",$J41)),$J41,LEFT($J41,FIND(" ",$J41)-1)&amp;" "&amp;MID($J41,FIND(" ",$J41)+1,1)&amp;REPT("*",LEN($J41)-FIND(" ",$J41)-1))),$J41)</f>
      </c>
      <c r="F41" s="6">
        <f>IF($B$3="Anonimizados",IF($K41="","",IF(ISERROR(FIND(" ",$K41)),LEFT($K41,1)&amp;REPT("*",LEN($K41)-1),LEFT($K41,1)&amp;REPT("*",FIND(" ",$K41)-2)&amp;" "&amp;MID($K41,FIND(" ",$K41)+1,1)&amp;REPT("*",LEN($K41)-FIND(" ",$K41)-1))),$K41)</f>
      </c>
      <c r="G41" s="6">
        <f>IF($B$3="Anonimizados",IF($L41="","",IF(LEN($L41)&lt;6,LEFT($L41,1)&amp;REPT("*",LEN($L41)-1),LEFT($L41,1)&amp;"****"&amp;MID($L41,6,LEN($L41)-5))),$L41)</f>
      </c>
      <c r="H41" s="6">
        <f>IF($I41="","",INDEX(Registro!$I$2:$I$501,$I41))</f>
      </c>
      <c r="I41" s="0">
        <f>IFERROR(MATCH(29,Registro!$AE$2:$AE$501,0),"")</f>
      </c>
      <c r="J41" s="0">
        <f>IF($I41="","",INDEX(Registro!$E$2:$E$501,$I41))</f>
      </c>
      <c r="K41" s="0">
        <f>IF($I41="","",INDEX(Registro!$F$2:$F$501,$I41))</f>
      </c>
      <c r="L41" s="0">
        <f>IF($I41="","",INDEX(Registro!$G$2:$G$501,$I41))</f>
      </c>
    </row>
    <row r="42" spans="1:8">
      <c r="A42" s="6">
        <f>IF($I42="","",30)</f>
      </c>
      <c r="B42" s="6">
        <f>IF($I42="","",INDEX(Registro!$B$2:$B$501,$I42))</f>
      </c>
      <c r="C42" s="6">
        <f>IF($I42="","",INDEX(Registro!$H$2:$H$501,$I42))</f>
      </c>
      <c r="D42" s="6">
        <f>IF($I42="","",INDEX(Registro!$D$2:$D$501,$I42))</f>
      </c>
      <c r="E42" s="6">
        <f>IF($B$3="Anonimizados",IF($J42="","",IF(ISERROR(FIND(" ",$J42)),$J42,LEFT($J42,FIND(" ",$J42)-1)&amp;" "&amp;MID($J42,FIND(" ",$J42)+1,1)&amp;REPT("*",LEN($J42)-FIND(" ",$J42)-1))),$J42)</f>
      </c>
      <c r="F42" s="6">
        <f>IF($B$3="Anonimizados",IF($K42="","",IF(ISERROR(FIND(" ",$K42)),LEFT($K42,1)&amp;REPT("*",LEN($K42)-1),LEFT($K42,1)&amp;REPT("*",FIND(" ",$K42)-2)&amp;" "&amp;MID($K42,FIND(" ",$K42)+1,1)&amp;REPT("*",LEN($K42)-FIND(" ",$K42)-1))),$K42)</f>
      </c>
      <c r="G42" s="6">
        <f>IF($B$3="Anonimizados",IF($L42="","",IF(LEN($L42)&lt;6,LEFT($L42,1)&amp;REPT("*",LEN($L42)-1),LEFT($L42,1)&amp;"****"&amp;MID($L42,6,LEN($L42)-5))),$L42)</f>
      </c>
      <c r="H42" s="6">
        <f>IF($I42="","",INDEX(Registro!$I$2:$I$501,$I42))</f>
      </c>
      <c r="I42" s="0">
        <f>IFERROR(MATCH(30,Registro!$AE$2:$AE$501,0),"")</f>
      </c>
      <c r="J42" s="0">
        <f>IF($I42="","",INDEX(Registro!$E$2:$E$501,$I42))</f>
      </c>
      <c r="K42" s="0">
        <f>IF($I42="","",INDEX(Registro!$F$2:$F$501,$I42))</f>
      </c>
      <c r="L42" s="0">
        <f>IF($I42="","",INDEX(Registro!$G$2:$G$501,$I42))</f>
      </c>
    </row>
    <row r="43" spans="1:8">
      <c r="A43" s="6">
        <f>IF($I43="","",31)</f>
      </c>
      <c r="B43" s="6">
        <f>IF($I43="","",INDEX(Registro!$B$2:$B$501,$I43))</f>
      </c>
      <c r="C43" s="6">
        <f>IF($I43="","",INDEX(Registro!$H$2:$H$501,$I43))</f>
      </c>
      <c r="D43" s="6">
        <f>IF($I43="","",INDEX(Registro!$D$2:$D$501,$I43))</f>
      </c>
      <c r="E43" s="6">
        <f>IF($B$3="Anonimizados",IF($J43="","",IF(ISERROR(FIND(" ",$J43)),$J43,LEFT($J43,FIND(" ",$J43)-1)&amp;" "&amp;MID($J43,FIND(" ",$J43)+1,1)&amp;REPT("*",LEN($J43)-FIND(" ",$J43)-1))),$J43)</f>
      </c>
      <c r="F43" s="6">
        <f>IF($B$3="Anonimizados",IF($K43="","",IF(ISERROR(FIND(" ",$K43)),LEFT($K43,1)&amp;REPT("*",LEN($K43)-1),LEFT($K43,1)&amp;REPT("*",FIND(" ",$K43)-2)&amp;" "&amp;MID($K43,FIND(" ",$K43)+1,1)&amp;REPT("*",LEN($K43)-FIND(" ",$K43)-1))),$K43)</f>
      </c>
      <c r="G43" s="6">
        <f>IF($B$3="Anonimizados",IF($L43="","",IF(LEN($L43)&lt;6,LEFT($L43,1)&amp;REPT("*",LEN($L43)-1),LEFT($L43,1)&amp;"****"&amp;MID($L43,6,LEN($L43)-5))),$L43)</f>
      </c>
      <c r="H43" s="6">
        <f>IF($I43="","",INDEX(Registro!$I$2:$I$501,$I43))</f>
      </c>
      <c r="I43" s="0">
        <f>IFERROR(MATCH(31,Registro!$AE$2:$AE$501,0),"")</f>
      </c>
      <c r="J43" s="0">
        <f>IF($I43="","",INDEX(Registro!$E$2:$E$501,$I43))</f>
      </c>
      <c r="K43" s="0">
        <f>IF($I43="","",INDEX(Registro!$F$2:$F$501,$I43))</f>
      </c>
      <c r="L43" s="0">
        <f>IF($I43="","",INDEX(Registro!$G$2:$G$501,$I43))</f>
      </c>
    </row>
    <row r="44" spans="1:8">
      <c r="A44" s="6">
        <f>IF($I44="","",32)</f>
      </c>
      <c r="B44" s="6">
        <f>IF($I44="","",INDEX(Registro!$B$2:$B$501,$I44))</f>
      </c>
      <c r="C44" s="6">
        <f>IF($I44="","",INDEX(Registro!$H$2:$H$501,$I44))</f>
      </c>
      <c r="D44" s="6">
        <f>IF($I44="","",INDEX(Registro!$D$2:$D$501,$I44))</f>
      </c>
      <c r="E44" s="6">
        <f>IF($B$3="Anonimizados",IF($J44="","",IF(ISERROR(FIND(" ",$J44)),$J44,LEFT($J44,FIND(" ",$J44)-1)&amp;" "&amp;MID($J44,FIND(" ",$J44)+1,1)&amp;REPT("*",LEN($J44)-FIND(" ",$J44)-1))),$J44)</f>
      </c>
      <c r="F44" s="6">
        <f>IF($B$3="Anonimizados",IF($K44="","",IF(ISERROR(FIND(" ",$K44)),LEFT($K44,1)&amp;REPT("*",LEN($K44)-1),LEFT($K44,1)&amp;REPT("*",FIND(" ",$K44)-2)&amp;" "&amp;MID($K44,FIND(" ",$K44)+1,1)&amp;REPT("*",LEN($K44)-FIND(" ",$K44)-1))),$K44)</f>
      </c>
      <c r="G44" s="6">
        <f>IF($B$3="Anonimizados",IF($L44="","",IF(LEN($L44)&lt;6,LEFT($L44,1)&amp;REPT("*",LEN($L44)-1),LEFT($L44,1)&amp;"****"&amp;MID($L44,6,LEN($L44)-5))),$L44)</f>
      </c>
      <c r="H44" s="6">
        <f>IF($I44="","",INDEX(Registro!$I$2:$I$501,$I44))</f>
      </c>
      <c r="I44" s="0">
        <f>IFERROR(MATCH(32,Registro!$AE$2:$AE$501,0),"")</f>
      </c>
      <c r="J44" s="0">
        <f>IF($I44="","",INDEX(Registro!$E$2:$E$501,$I44))</f>
      </c>
      <c r="K44" s="0">
        <f>IF($I44="","",INDEX(Registro!$F$2:$F$501,$I44))</f>
      </c>
      <c r="L44" s="0">
        <f>IF($I44="","",INDEX(Registro!$G$2:$G$501,$I44))</f>
      </c>
    </row>
    <row r="45" spans="1:8">
      <c r="A45" s="6">
        <f>IF($I45="","",33)</f>
      </c>
      <c r="B45" s="6">
        <f>IF($I45="","",INDEX(Registro!$B$2:$B$501,$I45))</f>
      </c>
      <c r="C45" s="6">
        <f>IF($I45="","",INDEX(Registro!$H$2:$H$501,$I45))</f>
      </c>
      <c r="D45" s="6">
        <f>IF($I45="","",INDEX(Registro!$D$2:$D$501,$I45))</f>
      </c>
      <c r="E45" s="6">
        <f>IF($B$3="Anonimizados",IF($J45="","",IF(ISERROR(FIND(" ",$J45)),$J45,LEFT($J45,FIND(" ",$J45)-1)&amp;" "&amp;MID($J45,FIND(" ",$J45)+1,1)&amp;REPT("*",LEN($J45)-FIND(" ",$J45)-1))),$J45)</f>
      </c>
      <c r="F45" s="6">
        <f>IF($B$3="Anonimizados",IF($K45="","",IF(ISERROR(FIND(" ",$K45)),LEFT($K45,1)&amp;REPT("*",LEN($K45)-1),LEFT($K45,1)&amp;REPT("*",FIND(" ",$K45)-2)&amp;" "&amp;MID($K45,FIND(" ",$K45)+1,1)&amp;REPT("*",LEN($K45)-FIND(" ",$K45)-1))),$K45)</f>
      </c>
      <c r="G45" s="6">
        <f>IF($B$3="Anonimizados",IF($L45="","",IF(LEN($L45)&lt;6,LEFT($L45,1)&amp;REPT("*",LEN($L45)-1),LEFT($L45,1)&amp;"****"&amp;MID($L45,6,LEN($L45)-5))),$L45)</f>
      </c>
      <c r="H45" s="6">
        <f>IF($I45="","",INDEX(Registro!$I$2:$I$501,$I45))</f>
      </c>
      <c r="I45" s="0">
        <f>IFERROR(MATCH(33,Registro!$AE$2:$AE$501,0),"")</f>
      </c>
      <c r="J45" s="0">
        <f>IF($I45="","",INDEX(Registro!$E$2:$E$501,$I45))</f>
      </c>
      <c r="K45" s="0">
        <f>IF($I45="","",INDEX(Registro!$F$2:$F$501,$I45))</f>
      </c>
      <c r="L45" s="0">
        <f>IF($I45="","",INDEX(Registro!$G$2:$G$501,$I45))</f>
      </c>
    </row>
    <row r="46" spans="1:8">
      <c r="A46" s="6">
        <f>IF($I46="","",34)</f>
      </c>
      <c r="B46" s="6">
        <f>IF($I46="","",INDEX(Registro!$B$2:$B$501,$I46))</f>
      </c>
      <c r="C46" s="6">
        <f>IF($I46="","",INDEX(Registro!$H$2:$H$501,$I46))</f>
      </c>
      <c r="D46" s="6">
        <f>IF($I46="","",INDEX(Registro!$D$2:$D$501,$I46))</f>
      </c>
      <c r="E46" s="6">
        <f>IF($B$3="Anonimizados",IF($J46="","",IF(ISERROR(FIND(" ",$J46)),$J46,LEFT($J46,FIND(" ",$J46)-1)&amp;" "&amp;MID($J46,FIND(" ",$J46)+1,1)&amp;REPT("*",LEN($J46)-FIND(" ",$J46)-1))),$J46)</f>
      </c>
      <c r="F46" s="6">
        <f>IF($B$3="Anonimizados",IF($K46="","",IF(ISERROR(FIND(" ",$K46)),LEFT($K46,1)&amp;REPT("*",LEN($K46)-1),LEFT($K46,1)&amp;REPT("*",FIND(" ",$K46)-2)&amp;" "&amp;MID($K46,FIND(" ",$K46)+1,1)&amp;REPT("*",LEN($K46)-FIND(" ",$K46)-1))),$K46)</f>
      </c>
      <c r="G46" s="6">
        <f>IF($B$3="Anonimizados",IF($L46="","",IF(LEN($L46)&lt;6,LEFT($L46,1)&amp;REPT("*",LEN($L46)-1),LEFT($L46,1)&amp;"****"&amp;MID($L46,6,LEN($L46)-5))),$L46)</f>
      </c>
      <c r="H46" s="6">
        <f>IF($I46="","",INDEX(Registro!$I$2:$I$501,$I46))</f>
      </c>
      <c r="I46" s="0">
        <f>IFERROR(MATCH(34,Registro!$AE$2:$AE$501,0),"")</f>
      </c>
      <c r="J46" s="0">
        <f>IF($I46="","",INDEX(Registro!$E$2:$E$501,$I46))</f>
      </c>
      <c r="K46" s="0">
        <f>IF($I46="","",INDEX(Registro!$F$2:$F$501,$I46))</f>
      </c>
      <c r="L46" s="0">
        <f>IF($I46="","",INDEX(Registro!$G$2:$G$501,$I46))</f>
      </c>
    </row>
    <row r="47" spans="1:8">
      <c r="A47" s="6">
        <f>IF($I47="","",35)</f>
      </c>
      <c r="B47" s="6">
        <f>IF($I47="","",INDEX(Registro!$B$2:$B$501,$I47))</f>
      </c>
      <c r="C47" s="6">
        <f>IF($I47="","",INDEX(Registro!$H$2:$H$501,$I47))</f>
      </c>
      <c r="D47" s="6">
        <f>IF($I47="","",INDEX(Registro!$D$2:$D$501,$I47))</f>
      </c>
      <c r="E47" s="6">
        <f>IF($B$3="Anonimizados",IF($J47="","",IF(ISERROR(FIND(" ",$J47)),$J47,LEFT($J47,FIND(" ",$J47)-1)&amp;" "&amp;MID($J47,FIND(" ",$J47)+1,1)&amp;REPT("*",LEN($J47)-FIND(" ",$J47)-1))),$J47)</f>
      </c>
      <c r="F47" s="6">
        <f>IF($B$3="Anonimizados",IF($K47="","",IF(ISERROR(FIND(" ",$K47)),LEFT($K47,1)&amp;REPT("*",LEN($K47)-1),LEFT($K47,1)&amp;REPT("*",FIND(" ",$K47)-2)&amp;" "&amp;MID($K47,FIND(" ",$K47)+1,1)&amp;REPT("*",LEN($K47)-FIND(" ",$K47)-1))),$K47)</f>
      </c>
      <c r="G47" s="6">
        <f>IF($B$3="Anonimizados",IF($L47="","",IF(LEN($L47)&lt;6,LEFT($L47,1)&amp;REPT("*",LEN($L47)-1),LEFT($L47,1)&amp;"****"&amp;MID($L47,6,LEN($L47)-5))),$L47)</f>
      </c>
      <c r="H47" s="6">
        <f>IF($I47="","",INDEX(Registro!$I$2:$I$501,$I47))</f>
      </c>
      <c r="I47" s="0">
        <f>IFERROR(MATCH(35,Registro!$AE$2:$AE$501,0),"")</f>
      </c>
      <c r="J47" s="0">
        <f>IF($I47="","",INDEX(Registro!$E$2:$E$501,$I47))</f>
      </c>
      <c r="K47" s="0">
        <f>IF($I47="","",INDEX(Registro!$F$2:$F$501,$I47))</f>
      </c>
      <c r="L47" s="0">
        <f>IF($I47="","",INDEX(Registro!$G$2:$G$501,$I47))</f>
      </c>
    </row>
    <row r="48" spans="1:8">
      <c r="A48" s="6">
        <f>IF($I48="","",36)</f>
      </c>
      <c r="B48" s="6">
        <f>IF($I48="","",INDEX(Registro!$B$2:$B$501,$I48))</f>
      </c>
      <c r="C48" s="6">
        <f>IF($I48="","",INDEX(Registro!$H$2:$H$501,$I48))</f>
      </c>
      <c r="D48" s="6">
        <f>IF($I48="","",INDEX(Registro!$D$2:$D$501,$I48))</f>
      </c>
      <c r="E48" s="6">
        <f>IF($B$3="Anonimizados",IF($J48="","",IF(ISERROR(FIND(" ",$J48)),$J48,LEFT($J48,FIND(" ",$J48)-1)&amp;" "&amp;MID($J48,FIND(" ",$J48)+1,1)&amp;REPT("*",LEN($J48)-FIND(" ",$J48)-1))),$J48)</f>
      </c>
      <c r="F48" s="6">
        <f>IF($B$3="Anonimizados",IF($K48="","",IF(ISERROR(FIND(" ",$K48)),LEFT($K48,1)&amp;REPT("*",LEN($K48)-1),LEFT($K48,1)&amp;REPT("*",FIND(" ",$K48)-2)&amp;" "&amp;MID($K48,FIND(" ",$K48)+1,1)&amp;REPT("*",LEN($K48)-FIND(" ",$K48)-1))),$K48)</f>
      </c>
      <c r="G48" s="6">
        <f>IF($B$3="Anonimizados",IF($L48="","",IF(LEN($L48)&lt;6,LEFT($L48,1)&amp;REPT("*",LEN($L48)-1),LEFT($L48,1)&amp;"****"&amp;MID($L48,6,LEN($L48)-5))),$L48)</f>
      </c>
      <c r="H48" s="6">
        <f>IF($I48="","",INDEX(Registro!$I$2:$I$501,$I48))</f>
      </c>
      <c r="I48" s="0">
        <f>IFERROR(MATCH(36,Registro!$AE$2:$AE$501,0),"")</f>
      </c>
      <c r="J48" s="0">
        <f>IF($I48="","",INDEX(Registro!$E$2:$E$501,$I48))</f>
      </c>
      <c r="K48" s="0">
        <f>IF($I48="","",INDEX(Registro!$F$2:$F$501,$I48))</f>
      </c>
      <c r="L48" s="0">
        <f>IF($I48="","",INDEX(Registro!$G$2:$G$501,$I48))</f>
      </c>
    </row>
    <row r="49" spans="1:8">
      <c r="A49" s="6">
        <f>IF($I49="","",37)</f>
      </c>
      <c r="B49" s="6">
        <f>IF($I49="","",INDEX(Registro!$B$2:$B$501,$I49))</f>
      </c>
      <c r="C49" s="6">
        <f>IF($I49="","",INDEX(Registro!$H$2:$H$501,$I49))</f>
      </c>
      <c r="D49" s="6">
        <f>IF($I49="","",INDEX(Registro!$D$2:$D$501,$I49))</f>
      </c>
      <c r="E49" s="6">
        <f>IF($B$3="Anonimizados",IF($J49="","",IF(ISERROR(FIND(" ",$J49)),$J49,LEFT($J49,FIND(" ",$J49)-1)&amp;" "&amp;MID($J49,FIND(" ",$J49)+1,1)&amp;REPT("*",LEN($J49)-FIND(" ",$J49)-1))),$J49)</f>
      </c>
      <c r="F49" s="6">
        <f>IF($B$3="Anonimizados",IF($K49="","",IF(ISERROR(FIND(" ",$K49)),LEFT($K49,1)&amp;REPT("*",LEN($K49)-1),LEFT($K49,1)&amp;REPT("*",FIND(" ",$K49)-2)&amp;" "&amp;MID($K49,FIND(" ",$K49)+1,1)&amp;REPT("*",LEN($K49)-FIND(" ",$K49)-1))),$K49)</f>
      </c>
      <c r="G49" s="6">
        <f>IF($B$3="Anonimizados",IF($L49="","",IF(LEN($L49)&lt;6,LEFT($L49,1)&amp;REPT("*",LEN($L49)-1),LEFT($L49,1)&amp;"****"&amp;MID($L49,6,LEN($L49)-5))),$L49)</f>
      </c>
      <c r="H49" s="6">
        <f>IF($I49="","",INDEX(Registro!$I$2:$I$501,$I49))</f>
      </c>
      <c r="I49" s="0">
        <f>IFERROR(MATCH(37,Registro!$AE$2:$AE$501,0),"")</f>
      </c>
      <c r="J49" s="0">
        <f>IF($I49="","",INDEX(Registro!$E$2:$E$501,$I49))</f>
      </c>
      <c r="K49" s="0">
        <f>IF($I49="","",INDEX(Registro!$F$2:$F$501,$I49))</f>
      </c>
      <c r="L49" s="0">
        <f>IF($I49="","",INDEX(Registro!$G$2:$G$501,$I49))</f>
      </c>
    </row>
    <row r="50" spans="1:8">
      <c r="A50" s="6">
        <f>IF($I50="","",38)</f>
      </c>
      <c r="B50" s="6">
        <f>IF($I50="","",INDEX(Registro!$B$2:$B$501,$I50))</f>
      </c>
      <c r="C50" s="6">
        <f>IF($I50="","",INDEX(Registro!$H$2:$H$501,$I50))</f>
      </c>
      <c r="D50" s="6">
        <f>IF($I50="","",INDEX(Registro!$D$2:$D$501,$I50))</f>
      </c>
      <c r="E50" s="6">
        <f>IF($B$3="Anonimizados",IF($J50="","",IF(ISERROR(FIND(" ",$J50)),$J50,LEFT($J50,FIND(" ",$J50)-1)&amp;" "&amp;MID($J50,FIND(" ",$J50)+1,1)&amp;REPT("*",LEN($J50)-FIND(" ",$J50)-1))),$J50)</f>
      </c>
      <c r="F50" s="6">
        <f>IF($B$3="Anonimizados",IF($K50="","",IF(ISERROR(FIND(" ",$K50)),LEFT($K50,1)&amp;REPT("*",LEN($K50)-1),LEFT($K50,1)&amp;REPT("*",FIND(" ",$K50)-2)&amp;" "&amp;MID($K50,FIND(" ",$K50)+1,1)&amp;REPT("*",LEN($K50)-FIND(" ",$K50)-1))),$K50)</f>
      </c>
      <c r="G50" s="6">
        <f>IF($B$3="Anonimizados",IF($L50="","",IF(LEN($L50)&lt;6,LEFT($L50,1)&amp;REPT("*",LEN($L50)-1),LEFT($L50,1)&amp;"****"&amp;MID($L50,6,LEN($L50)-5))),$L50)</f>
      </c>
      <c r="H50" s="6">
        <f>IF($I50="","",INDEX(Registro!$I$2:$I$501,$I50))</f>
      </c>
      <c r="I50" s="0">
        <f>IFERROR(MATCH(38,Registro!$AE$2:$AE$501,0),"")</f>
      </c>
      <c r="J50" s="0">
        <f>IF($I50="","",INDEX(Registro!$E$2:$E$501,$I50))</f>
      </c>
      <c r="K50" s="0">
        <f>IF($I50="","",INDEX(Registro!$F$2:$F$501,$I50))</f>
      </c>
      <c r="L50" s="0">
        <f>IF($I50="","",INDEX(Registro!$G$2:$G$501,$I50))</f>
      </c>
    </row>
    <row r="51" spans="1:8">
      <c r="A51" s="6">
        <f>IF($I51="","",39)</f>
      </c>
      <c r="B51" s="6">
        <f>IF($I51="","",INDEX(Registro!$B$2:$B$501,$I51))</f>
      </c>
      <c r="C51" s="6">
        <f>IF($I51="","",INDEX(Registro!$H$2:$H$501,$I51))</f>
      </c>
      <c r="D51" s="6">
        <f>IF($I51="","",INDEX(Registro!$D$2:$D$501,$I51))</f>
      </c>
      <c r="E51" s="6">
        <f>IF($B$3="Anonimizados",IF($J51="","",IF(ISERROR(FIND(" ",$J51)),$J51,LEFT($J51,FIND(" ",$J51)-1)&amp;" "&amp;MID($J51,FIND(" ",$J51)+1,1)&amp;REPT("*",LEN($J51)-FIND(" ",$J51)-1))),$J51)</f>
      </c>
      <c r="F51" s="6">
        <f>IF($B$3="Anonimizados",IF($K51="","",IF(ISERROR(FIND(" ",$K51)),LEFT($K51,1)&amp;REPT("*",LEN($K51)-1),LEFT($K51,1)&amp;REPT("*",FIND(" ",$K51)-2)&amp;" "&amp;MID($K51,FIND(" ",$K51)+1,1)&amp;REPT("*",LEN($K51)-FIND(" ",$K51)-1))),$K51)</f>
      </c>
      <c r="G51" s="6">
        <f>IF($B$3="Anonimizados",IF($L51="","",IF(LEN($L51)&lt;6,LEFT($L51,1)&amp;REPT("*",LEN($L51)-1),LEFT($L51,1)&amp;"****"&amp;MID($L51,6,LEN($L51)-5))),$L51)</f>
      </c>
      <c r="H51" s="6">
        <f>IF($I51="","",INDEX(Registro!$I$2:$I$501,$I51))</f>
      </c>
      <c r="I51" s="0">
        <f>IFERROR(MATCH(39,Registro!$AE$2:$AE$501,0),"")</f>
      </c>
      <c r="J51" s="0">
        <f>IF($I51="","",INDEX(Registro!$E$2:$E$501,$I51))</f>
      </c>
      <c r="K51" s="0">
        <f>IF($I51="","",INDEX(Registro!$F$2:$F$501,$I51))</f>
      </c>
      <c r="L51" s="0">
        <f>IF($I51="","",INDEX(Registro!$G$2:$G$501,$I51))</f>
      </c>
    </row>
    <row r="52" spans="1:8">
      <c r="A52" s="6">
        <f>IF($I52="","",40)</f>
      </c>
      <c r="B52" s="6">
        <f>IF($I52="","",INDEX(Registro!$B$2:$B$501,$I52))</f>
      </c>
      <c r="C52" s="6">
        <f>IF($I52="","",INDEX(Registro!$H$2:$H$501,$I52))</f>
      </c>
      <c r="D52" s="6">
        <f>IF($I52="","",INDEX(Registro!$D$2:$D$501,$I52))</f>
      </c>
      <c r="E52" s="6">
        <f>IF($B$3="Anonimizados",IF($J52="","",IF(ISERROR(FIND(" ",$J52)),$J52,LEFT($J52,FIND(" ",$J52)-1)&amp;" "&amp;MID($J52,FIND(" ",$J52)+1,1)&amp;REPT("*",LEN($J52)-FIND(" ",$J52)-1))),$J52)</f>
      </c>
      <c r="F52" s="6">
        <f>IF($B$3="Anonimizados",IF($K52="","",IF(ISERROR(FIND(" ",$K52)),LEFT($K52,1)&amp;REPT("*",LEN($K52)-1),LEFT($K52,1)&amp;REPT("*",FIND(" ",$K52)-2)&amp;" "&amp;MID($K52,FIND(" ",$K52)+1,1)&amp;REPT("*",LEN($K52)-FIND(" ",$K52)-1))),$K52)</f>
      </c>
      <c r="G52" s="6">
        <f>IF($B$3="Anonimizados",IF($L52="","",IF(LEN($L52)&lt;6,LEFT($L52,1)&amp;REPT("*",LEN($L52)-1),LEFT($L52,1)&amp;"****"&amp;MID($L52,6,LEN($L52)-5))),$L52)</f>
      </c>
      <c r="H52" s="6">
        <f>IF($I52="","",INDEX(Registro!$I$2:$I$501,$I52))</f>
      </c>
      <c r="I52" s="0">
        <f>IFERROR(MATCH(40,Registro!$AE$2:$AE$501,0),"")</f>
      </c>
      <c r="J52" s="0">
        <f>IF($I52="","",INDEX(Registro!$E$2:$E$501,$I52))</f>
      </c>
      <c r="K52" s="0">
        <f>IF($I52="","",INDEX(Registro!$F$2:$F$501,$I52))</f>
      </c>
      <c r="L52" s="0">
        <f>IF($I52="","",INDEX(Registro!$G$2:$G$501,$I52))</f>
      </c>
    </row>
    <row r="53" spans="1:8">
      <c r="A53" s="6">
        <f>IF($I53="","",41)</f>
      </c>
      <c r="B53" s="6">
        <f>IF($I53="","",INDEX(Registro!$B$2:$B$501,$I53))</f>
      </c>
      <c r="C53" s="6">
        <f>IF($I53="","",INDEX(Registro!$H$2:$H$501,$I53))</f>
      </c>
      <c r="D53" s="6">
        <f>IF($I53="","",INDEX(Registro!$D$2:$D$501,$I53))</f>
      </c>
      <c r="E53" s="6">
        <f>IF($B$3="Anonimizados",IF($J53="","",IF(ISERROR(FIND(" ",$J53)),$J53,LEFT($J53,FIND(" ",$J53)-1)&amp;" "&amp;MID($J53,FIND(" ",$J53)+1,1)&amp;REPT("*",LEN($J53)-FIND(" ",$J53)-1))),$J53)</f>
      </c>
      <c r="F53" s="6">
        <f>IF($B$3="Anonimizados",IF($K53="","",IF(ISERROR(FIND(" ",$K53)),LEFT($K53,1)&amp;REPT("*",LEN($K53)-1),LEFT($K53,1)&amp;REPT("*",FIND(" ",$K53)-2)&amp;" "&amp;MID($K53,FIND(" ",$K53)+1,1)&amp;REPT("*",LEN($K53)-FIND(" ",$K53)-1))),$K53)</f>
      </c>
      <c r="G53" s="6">
        <f>IF($B$3="Anonimizados",IF($L53="","",IF(LEN($L53)&lt;6,LEFT($L53,1)&amp;REPT("*",LEN($L53)-1),LEFT($L53,1)&amp;"****"&amp;MID($L53,6,LEN($L53)-5))),$L53)</f>
      </c>
      <c r="H53" s="6">
        <f>IF($I53="","",INDEX(Registro!$I$2:$I$501,$I53))</f>
      </c>
      <c r="I53" s="0">
        <f>IFERROR(MATCH(41,Registro!$AE$2:$AE$501,0),"")</f>
      </c>
      <c r="J53" s="0">
        <f>IF($I53="","",INDEX(Registro!$E$2:$E$501,$I53))</f>
      </c>
      <c r="K53" s="0">
        <f>IF($I53="","",INDEX(Registro!$F$2:$F$501,$I53))</f>
      </c>
      <c r="L53" s="0">
        <f>IF($I53="","",INDEX(Registro!$G$2:$G$501,$I53))</f>
      </c>
    </row>
    <row r="54" spans="1:8">
      <c r="A54" s="6">
        <f>IF($I54="","",42)</f>
      </c>
      <c r="B54" s="6">
        <f>IF($I54="","",INDEX(Registro!$B$2:$B$501,$I54))</f>
      </c>
      <c r="C54" s="6">
        <f>IF($I54="","",INDEX(Registro!$H$2:$H$501,$I54))</f>
      </c>
      <c r="D54" s="6">
        <f>IF($I54="","",INDEX(Registro!$D$2:$D$501,$I54))</f>
      </c>
      <c r="E54" s="6">
        <f>IF($B$3="Anonimizados",IF($J54="","",IF(ISERROR(FIND(" ",$J54)),$J54,LEFT($J54,FIND(" ",$J54)-1)&amp;" "&amp;MID($J54,FIND(" ",$J54)+1,1)&amp;REPT("*",LEN($J54)-FIND(" ",$J54)-1))),$J54)</f>
      </c>
      <c r="F54" s="6">
        <f>IF($B$3="Anonimizados",IF($K54="","",IF(ISERROR(FIND(" ",$K54)),LEFT($K54,1)&amp;REPT("*",LEN($K54)-1),LEFT($K54,1)&amp;REPT("*",FIND(" ",$K54)-2)&amp;" "&amp;MID($K54,FIND(" ",$K54)+1,1)&amp;REPT("*",LEN($K54)-FIND(" ",$K54)-1))),$K54)</f>
      </c>
      <c r="G54" s="6">
        <f>IF($B$3="Anonimizados",IF($L54="","",IF(LEN($L54)&lt;6,LEFT($L54,1)&amp;REPT("*",LEN($L54)-1),LEFT($L54,1)&amp;"****"&amp;MID($L54,6,LEN($L54)-5))),$L54)</f>
      </c>
      <c r="H54" s="6">
        <f>IF($I54="","",INDEX(Registro!$I$2:$I$501,$I54))</f>
      </c>
      <c r="I54" s="0">
        <f>IFERROR(MATCH(42,Registro!$AE$2:$AE$501,0),"")</f>
      </c>
      <c r="J54" s="0">
        <f>IF($I54="","",INDEX(Registro!$E$2:$E$501,$I54))</f>
      </c>
      <c r="K54" s="0">
        <f>IF($I54="","",INDEX(Registro!$F$2:$F$501,$I54))</f>
      </c>
      <c r="L54" s="0">
        <f>IF($I54="","",INDEX(Registro!$G$2:$G$501,$I54))</f>
      </c>
    </row>
    <row r="55" spans="1:8">
      <c r="A55" s="6">
        <f>IF($I55="","",43)</f>
      </c>
      <c r="B55" s="6">
        <f>IF($I55="","",INDEX(Registro!$B$2:$B$501,$I55))</f>
      </c>
      <c r="C55" s="6">
        <f>IF($I55="","",INDEX(Registro!$H$2:$H$501,$I55))</f>
      </c>
      <c r="D55" s="6">
        <f>IF($I55="","",INDEX(Registro!$D$2:$D$501,$I55))</f>
      </c>
      <c r="E55" s="6">
        <f>IF($B$3="Anonimizados",IF($J55="","",IF(ISERROR(FIND(" ",$J55)),$J55,LEFT($J55,FIND(" ",$J55)-1)&amp;" "&amp;MID($J55,FIND(" ",$J55)+1,1)&amp;REPT("*",LEN($J55)-FIND(" ",$J55)-1))),$J55)</f>
      </c>
      <c r="F55" s="6">
        <f>IF($B$3="Anonimizados",IF($K55="","",IF(ISERROR(FIND(" ",$K55)),LEFT($K55,1)&amp;REPT("*",LEN($K55)-1),LEFT($K55,1)&amp;REPT("*",FIND(" ",$K55)-2)&amp;" "&amp;MID($K55,FIND(" ",$K55)+1,1)&amp;REPT("*",LEN($K55)-FIND(" ",$K55)-1))),$K55)</f>
      </c>
      <c r="G55" s="6">
        <f>IF($B$3="Anonimizados",IF($L55="","",IF(LEN($L55)&lt;6,LEFT($L55,1)&amp;REPT("*",LEN($L55)-1),LEFT($L55,1)&amp;"****"&amp;MID($L55,6,LEN($L55)-5))),$L55)</f>
      </c>
      <c r="H55" s="6">
        <f>IF($I55="","",INDEX(Registro!$I$2:$I$501,$I55))</f>
      </c>
      <c r="I55" s="0">
        <f>IFERROR(MATCH(43,Registro!$AE$2:$AE$501,0),"")</f>
      </c>
      <c r="J55" s="0">
        <f>IF($I55="","",INDEX(Registro!$E$2:$E$501,$I55))</f>
      </c>
      <c r="K55" s="0">
        <f>IF($I55="","",INDEX(Registro!$F$2:$F$501,$I55))</f>
      </c>
      <c r="L55" s="0">
        <f>IF($I55="","",INDEX(Registro!$G$2:$G$501,$I55))</f>
      </c>
    </row>
    <row r="56" spans="1:8">
      <c r="A56" s="6">
        <f>IF($I56="","",44)</f>
      </c>
      <c r="B56" s="6">
        <f>IF($I56="","",INDEX(Registro!$B$2:$B$501,$I56))</f>
      </c>
      <c r="C56" s="6">
        <f>IF($I56="","",INDEX(Registro!$H$2:$H$501,$I56))</f>
      </c>
      <c r="D56" s="6">
        <f>IF($I56="","",INDEX(Registro!$D$2:$D$501,$I56))</f>
      </c>
      <c r="E56" s="6">
        <f>IF($B$3="Anonimizados",IF($J56="","",IF(ISERROR(FIND(" ",$J56)),$J56,LEFT($J56,FIND(" ",$J56)-1)&amp;" "&amp;MID($J56,FIND(" ",$J56)+1,1)&amp;REPT("*",LEN($J56)-FIND(" ",$J56)-1))),$J56)</f>
      </c>
      <c r="F56" s="6">
        <f>IF($B$3="Anonimizados",IF($K56="","",IF(ISERROR(FIND(" ",$K56)),LEFT($K56,1)&amp;REPT("*",LEN($K56)-1),LEFT($K56,1)&amp;REPT("*",FIND(" ",$K56)-2)&amp;" "&amp;MID($K56,FIND(" ",$K56)+1,1)&amp;REPT("*",LEN($K56)-FIND(" ",$K56)-1))),$K56)</f>
      </c>
      <c r="G56" s="6">
        <f>IF($B$3="Anonimizados",IF($L56="","",IF(LEN($L56)&lt;6,LEFT($L56,1)&amp;REPT("*",LEN($L56)-1),LEFT($L56,1)&amp;"****"&amp;MID($L56,6,LEN($L56)-5))),$L56)</f>
      </c>
      <c r="H56" s="6">
        <f>IF($I56="","",INDEX(Registro!$I$2:$I$501,$I56))</f>
      </c>
      <c r="I56" s="0">
        <f>IFERROR(MATCH(44,Registro!$AE$2:$AE$501,0),"")</f>
      </c>
      <c r="J56" s="0">
        <f>IF($I56="","",INDEX(Registro!$E$2:$E$501,$I56))</f>
      </c>
      <c r="K56" s="0">
        <f>IF($I56="","",INDEX(Registro!$F$2:$F$501,$I56))</f>
      </c>
      <c r="L56" s="0">
        <f>IF($I56="","",INDEX(Registro!$G$2:$G$501,$I56))</f>
      </c>
    </row>
    <row r="57" spans="1:8">
      <c r="A57" s="6">
        <f>IF($I57="","",45)</f>
      </c>
      <c r="B57" s="6">
        <f>IF($I57="","",INDEX(Registro!$B$2:$B$501,$I57))</f>
      </c>
      <c r="C57" s="6">
        <f>IF($I57="","",INDEX(Registro!$H$2:$H$501,$I57))</f>
      </c>
      <c r="D57" s="6">
        <f>IF($I57="","",INDEX(Registro!$D$2:$D$501,$I57))</f>
      </c>
      <c r="E57" s="6">
        <f>IF($B$3="Anonimizados",IF($J57="","",IF(ISERROR(FIND(" ",$J57)),$J57,LEFT($J57,FIND(" ",$J57)-1)&amp;" "&amp;MID($J57,FIND(" ",$J57)+1,1)&amp;REPT("*",LEN($J57)-FIND(" ",$J57)-1))),$J57)</f>
      </c>
      <c r="F57" s="6">
        <f>IF($B$3="Anonimizados",IF($K57="","",IF(ISERROR(FIND(" ",$K57)),LEFT($K57,1)&amp;REPT("*",LEN($K57)-1),LEFT($K57,1)&amp;REPT("*",FIND(" ",$K57)-2)&amp;" "&amp;MID($K57,FIND(" ",$K57)+1,1)&amp;REPT("*",LEN($K57)-FIND(" ",$K57)-1))),$K57)</f>
      </c>
      <c r="G57" s="6">
        <f>IF($B$3="Anonimizados",IF($L57="","",IF(LEN($L57)&lt;6,LEFT($L57,1)&amp;REPT("*",LEN($L57)-1),LEFT($L57,1)&amp;"****"&amp;MID($L57,6,LEN($L57)-5))),$L57)</f>
      </c>
      <c r="H57" s="6">
        <f>IF($I57="","",INDEX(Registro!$I$2:$I$501,$I57))</f>
      </c>
      <c r="I57" s="0">
        <f>IFERROR(MATCH(45,Registro!$AE$2:$AE$501,0),"")</f>
      </c>
      <c r="J57" s="0">
        <f>IF($I57="","",INDEX(Registro!$E$2:$E$501,$I57))</f>
      </c>
      <c r="K57" s="0">
        <f>IF($I57="","",INDEX(Registro!$F$2:$F$501,$I57))</f>
      </c>
      <c r="L57" s="0">
        <f>IF($I57="","",INDEX(Registro!$G$2:$G$501,$I57))</f>
      </c>
    </row>
    <row r="58" spans="1:8">
      <c r="A58" s="6">
        <f>IF($I58="","",46)</f>
      </c>
      <c r="B58" s="6">
        <f>IF($I58="","",INDEX(Registro!$B$2:$B$501,$I58))</f>
      </c>
      <c r="C58" s="6">
        <f>IF($I58="","",INDEX(Registro!$H$2:$H$501,$I58))</f>
      </c>
      <c r="D58" s="6">
        <f>IF($I58="","",INDEX(Registro!$D$2:$D$501,$I58))</f>
      </c>
      <c r="E58" s="6">
        <f>IF($B$3="Anonimizados",IF($J58="","",IF(ISERROR(FIND(" ",$J58)),$J58,LEFT($J58,FIND(" ",$J58)-1)&amp;" "&amp;MID($J58,FIND(" ",$J58)+1,1)&amp;REPT("*",LEN($J58)-FIND(" ",$J58)-1))),$J58)</f>
      </c>
      <c r="F58" s="6">
        <f>IF($B$3="Anonimizados",IF($K58="","",IF(ISERROR(FIND(" ",$K58)),LEFT($K58,1)&amp;REPT("*",LEN($K58)-1),LEFT($K58,1)&amp;REPT("*",FIND(" ",$K58)-2)&amp;" "&amp;MID($K58,FIND(" ",$K58)+1,1)&amp;REPT("*",LEN($K58)-FIND(" ",$K58)-1))),$K58)</f>
      </c>
      <c r="G58" s="6">
        <f>IF($B$3="Anonimizados",IF($L58="","",IF(LEN($L58)&lt;6,LEFT($L58,1)&amp;REPT("*",LEN($L58)-1),LEFT($L58,1)&amp;"****"&amp;MID($L58,6,LEN($L58)-5))),$L58)</f>
      </c>
      <c r="H58" s="6">
        <f>IF($I58="","",INDEX(Registro!$I$2:$I$501,$I58))</f>
      </c>
      <c r="I58" s="0">
        <f>IFERROR(MATCH(46,Registro!$AE$2:$AE$501,0),"")</f>
      </c>
      <c r="J58" s="0">
        <f>IF($I58="","",INDEX(Registro!$E$2:$E$501,$I58))</f>
      </c>
      <c r="K58" s="0">
        <f>IF($I58="","",INDEX(Registro!$F$2:$F$501,$I58))</f>
      </c>
      <c r="L58" s="0">
        <f>IF($I58="","",INDEX(Registro!$G$2:$G$501,$I58))</f>
      </c>
    </row>
    <row r="59" spans="1:8">
      <c r="A59" s="6">
        <f>IF($I59="","",47)</f>
      </c>
      <c r="B59" s="6">
        <f>IF($I59="","",INDEX(Registro!$B$2:$B$501,$I59))</f>
      </c>
      <c r="C59" s="6">
        <f>IF($I59="","",INDEX(Registro!$H$2:$H$501,$I59))</f>
      </c>
      <c r="D59" s="6">
        <f>IF($I59="","",INDEX(Registro!$D$2:$D$501,$I59))</f>
      </c>
      <c r="E59" s="6">
        <f>IF($B$3="Anonimizados",IF($J59="","",IF(ISERROR(FIND(" ",$J59)),$J59,LEFT($J59,FIND(" ",$J59)-1)&amp;" "&amp;MID($J59,FIND(" ",$J59)+1,1)&amp;REPT("*",LEN($J59)-FIND(" ",$J59)-1))),$J59)</f>
      </c>
      <c r="F59" s="6">
        <f>IF($B$3="Anonimizados",IF($K59="","",IF(ISERROR(FIND(" ",$K59)),LEFT($K59,1)&amp;REPT("*",LEN($K59)-1),LEFT($K59,1)&amp;REPT("*",FIND(" ",$K59)-2)&amp;" "&amp;MID($K59,FIND(" ",$K59)+1,1)&amp;REPT("*",LEN($K59)-FIND(" ",$K59)-1))),$K59)</f>
      </c>
      <c r="G59" s="6">
        <f>IF($B$3="Anonimizados",IF($L59="","",IF(LEN($L59)&lt;6,LEFT($L59,1)&amp;REPT("*",LEN($L59)-1),LEFT($L59,1)&amp;"****"&amp;MID($L59,6,LEN($L59)-5))),$L59)</f>
      </c>
      <c r="H59" s="6">
        <f>IF($I59="","",INDEX(Registro!$I$2:$I$501,$I59))</f>
      </c>
      <c r="I59" s="0">
        <f>IFERROR(MATCH(47,Registro!$AE$2:$AE$501,0),"")</f>
      </c>
      <c r="J59" s="0">
        <f>IF($I59="","",INDEX(Registro!$E$2:$E$501,$I59))</f>
      </c>
      <c r="K59" s="0">
        <f>IF($I59="","",INDEX(Registro!$F$2:$F$501,$I59))</f>
      </c>
      <c r="L59" s="0">
        <f>IF($I59="","",INDEX(Registro!$G$2:$G$501,$I59))</f>
      </c>
    </row>
    <row r="60" spans="1:8">
      <c r="A60" s="6">
        <f>IF($I60="","",48)</f>
      </c>
      <c r="B60" s="6">
        <f>IF($I60="","",INDEX(Registro!$B$2:$B$501,$I60))</f>
      </c>
      <c r="C60" s="6">
        <f>IF($I60="","",INDEX(Registro!$H$2:$H$501,$I60))</f>
      </c>
      <c r="D60" s="6">
        <f>IF($I60="","",INDEX(Registro!$D$2:$D$501,$I60))</f>
      </c>
      <c r="E60" s="6">
        <f>IF($B$3="Anonimizados",IF($J60="","",IF(ISERROR(FIND(" ",$J60)),$J60,LEFT($J60,FIND(" ",$J60)-1)&amp;" "&amp;MID($J60,FIND(" ",$J60)+1,1)&amp;REPT("*",LEN($J60)-FIND(" ",$J60)-1))),$J60)</f>
      </c>
      <c r="F60" s="6">
        <f>IF($B$3="Anonimizados",IF($K60="","",IF(ISERROR(FIND(" ",$K60)),LEFT($K60,1)&amp;REPT("*",LEN($K60)-1),LEFT($K60,1)&amp;REPT("*",FIND(" ",$K60)-2)&amp;" "&amp;MID($K60,FIND(" ",$K60)+1,1)&amp;REPT("*",LEN($K60)-FIND(" ",$K60)-1))),$K60)</f>
      </c>
      <c r="G60" s="6">
        <f>IF($B$3="Anonimizados",IF($L60="","",IF(LEN($L60)&lt;6,LEFT($L60,1)&amp;REPT("*",LEN($L60)-1),LEFT($L60,1)&amp;"****"&amp;MID($L60,6,LEN($L60)-5))),$L60)</f>
      </c>
      <c r="H60" s="6">
        <f>IF($I60="","",INDEX(Registro!$I$2:$I$501,$I60))</f>
      </c>
      <c r="I60" s="0">
        <f>IFERROR(MATCH(48,Registro!$AE$2:$AE$501,0),"")</f>
      </c>
      <c r="J60" s="0">
        <f>IF($I60="","",INDEX(Registro!$E$2:$E$501,$I60))</f>
      </c>
      <c r="K60" s="0">
        <f>IF($I60="","",INDEX(Registro!$F$2:$F$501,$I60))</f>
      </c>
      <c r="L60" s="0">
        <f>IF($I60="","",INDEX(Registro!$G$2:$G$501,$I60))</f>
      </c>
    </row>
    <row r="61" spans="1:8">
      <c r="A61" s="6">
        <f>IF($I61="","",49)</f>
      </c>
      <c r="B61" s="6">
        <f>IF($I61="","",INDEX(Registro!$B$2:$B$501,$I61))</f>
      </c>
      <c r="C61" s="6">
        <f>IF($I61="","",INDEX(Registro!$H$2:$H$501,$I61))</f>
      </c>
      <c r="D61" s="6">
        <f>IF($I61="","",INDEX(Registro!$D$2:$D$501,$I61))</f>
      </c>
      <c r="E61" s="6">
        <f>IF($B$3="Anonimizados",IF($J61="","",IF(ISERROR(FIND(" ",$J61)),$J61,LEFT($J61,FIND(" ",$J61)-1)&amp;" "&amp;MID($J61,FIND(" ",$J61)+1,1)&amp;REPT("*",LEN($J61)-FIND(" ",$J61)-1))),$J61)</f>
      </c>
      <c r="F61" s="6">
        <f>IF($B$3="Anonimizados",IF($K61="","",IF(ISERROR(FIND(" ",$K61)),LEFT($K61,1)&amp;REPT("*",LEN($K61)-1),LEFT($K61,1)&amp;REPT("*",FIND(" ",$K61)-2)&amp;" "&amp;MID($K61,FIND(" ",$K61)+1,1)&amp;REPT("*",LEN($K61)-FIND(" ",$K61)-1))),$K61)</f>
      </c>
      <c r="G61" s="6">
        <f>IF($B$3="Anonimizados",IF($L61="","",IF(LEN($L61)&lt;6,LEFT($L61,1)&amp;REPT("*",LEN($L61)-1),LEFT($L61,1)&amp;"****"&amp;MID($L61,6,LEN($L61)-5))),$L61)</f>
      </c>
      <c r="H61" s="6">
        <f>IF($I61="","",INDEX(Registro!$I$2:$I$501,$I61))</f>
      </c>
      <c r="I61" s="0">
        <f>IFERROR(MATCH(49,Registro!$AE$2:$AE$501,0),"")</f>
      </c>
      <c r="J61" s="0">
        <f>IF($I61="","",INDEX(Registro!$E$2:$E$501,$I61))</f>
      </c>
      <c r="K61" s="0">
        <f>IF($I61="","",INDEX(Registro!$F$2:$F$501,$I61))</f>
      </c>
      <c r="L61" s="0">
        <f>IF($I61="","",INDEX(Registro!$G$2:$G$501,$I61))</f>
      </c>
    </row>
    <row r="62" spans="1:8">
      <c r="A62" s="6">
        <f>IF($I62="","",50)</f>
      </c>
      <c r="B62" s="6">
        <f>IF($I62="","",INDEX(Registro!$B$2:$B$501,$I62))</f>
      </c>
      <c r="C62" s="6">
        <f>IF($I62="","",INDEX(Registro!$H$2:$H$501,$I62))</f>
      </c>
      <c r="D62" s="6">
        <f>IF($I62="","",INDEX(Registro!$D$2:$D$501,$I62))</f>
      </c>
      <c r="E62" s="6">
        <f>IF($B$3="Anonimizados",IF($J62="","",IF(ISERROR(FIND(" ",$J62)),$J62,LEFT($J62,FIND(" ",$J62)-1)&amp;" "&amp;MID($J62,FIND(" ",$J62)+1,1)&amp;REPT("*",LEN($J62)-FIND(" ",$J62)-1))),$J62)</f>
      </c>
      <c r="F62" s="6">
        <f>IF($B$3="Anonimizados",IF($K62="","",IF(ISERROR(FIND(" ",$K62)),LEFT($K62,1)&amp;REPT("*",LEN($K62)-1),LEFT($K62,1)&amp;REPT("*",FIND(" ",$K62)-2)&amp;" "&amp;MID($K62,FIND(" ",$K62)+1,1)&amp;REPT("*",LEN($K62)-FIND(" ",$K62)-1))),$K62)</f>
      </c>
      <c r="G62" s="6">
        <f>IF($B$3="Anonimizados",IF($L62="","",IF(LEN($L62)&lt;6,LEFT($L62,1)&amp;REPT("*",LEN($L62)-1),LEFT($L62,1)&amp;"****"&amp;MID($L62,6,LEN($L62)-5))),$L62)</f>
      </c>
      <c r="H62" s="6">
        <f>IF($I62="","",INDEX(Registro!$I$2:$I$501,$I62))</f>
      </c>
      <c r="I62" s="0">
        <f>IFERROR(MATCH(50,Registro!$AE$2:$AE$501,0),"")</f>
      </c>
      <c r="J62" s="0">
        <f>IF($I62="","",INDEX(Registro!$E$2:$E$501,$I62))</f>
      </c>
      <c r="K62" s="0">
        <f>IF($I62="","",INDEX(Registro!$F$2:$F$501,$I62))</f>
      </c>
      <c r="L62" s="0">
        <f>IF($I62="","",INDEX(Registro!$G$2:$G$501,$I62))</f>
      </c>
    </row>
    <row r="63" spans="1:8">
      <c r="A63" s="6">
        <f>IF($I63="","",51)</f>
      </c>
      <c r="B63" s="6">
        <f>IF($I63="","",INDEX(Registro!$B$2:$B$501,$I63))</f>
      </c>
      <c r="C63" s="6">
        <f>IF($I63="","",INDEX(Registro!$H$2:$H$501,$I63))</f>
      </c>
      <c r="D63" s="6">
        <f>IF($I63="","",INDEX(Registro!$D$2:$D$501,$I63))</f>
      </c>
      <c r="E63" s="6">
        <f>IF($B$3="Anonimizados",IF($J63="","",IF(ISERROR(FIND(" ",$J63)),$J63,LEFT($J63,FIND(" ",$J63)-1)&amp;" "&amp;MID($J63,FIND(" ",$J63)+1,1)&amp;REPT("*",LEN($J63)-FIND(" ",$J63)-1))),$J63)</f>
      </c>
      <c r="F63" s="6">
        <f>IF($B$3="Anonimizados",IF($K63="","",IF(ISERROR(FIND(" ",$K63)),LEFT($K63,1)&amp;REPT("*",LEN($K63)-1),LEFT($K63,1)&amp;REPT("*",FIND(" ",$K63)-2)&amp;" "&amp;MID($K63,FIND(" ",$K63)+1,1)&amp;REPT("*",LEN($K63)-FIND(" ",$K63)-1))),$K63)</f>
      </c>
      <c r="G63" s="6">
        <f>IF($B$3="Anonimizados",IF($L63="","",IF(LEN($L63)&lt;6,LEFT($L63,1)&amp;REPT("*",LEN($L63)-1),LEFT($L63,1)&amp;"****"&amp;MID($L63,6,LEN($L63)-5))),$L63)</f>
      </c>
      <c r="H63" s="6">
        <f>IF($I63="","",INDEX(Registro!$I$2:$I$501,$I63))</f>
      </c>
      <c r="I63" s="0">
        <f>IFERROR(MATCH(51,Registro!$AE$2:$AE$501,0),"")</f>
      </c>
      <c r="J63" s="0">
        <f>IF($I63="","",INDEX(Registro!$E$2:$E$501,$I63))</f>
      </c>
      <c r="K63" s="0">
        <f>IF($I63="","",INDEX(Registro!$F$2:$F$501,$I63))</f>
      </c>
      <c r="L63" s="0">
        <f>IF($I63="","",INDEX(Registro!$G$2:$G$501,$I63))</f>
      </c>
    </row>
    <row r="64" spans="1:8">
      <c r="A64" s="6">
        <f>IF($I64="","",52)</f>
      </c>
      <c r="B64" s="6">
        <f>IF($I64="","",INDEX(Registro!$B$2:$B$501,$I64))</f>
      </c>
      <c r="C64" s="6">
        <f>IF($I64="","",INDEX(Registro!$H$2:$H$501,$I64))</f>
      </c>
      <c r="D64" s="6">
        <f>IF($I64="","",INDEX(Registro!$D$2:$D$501,$I64))</f>
      </c>
      <c r="E64" s="6">
        <f>IF($B$3="Anonimizados",IF($J64="","",IF(ISERROR(FIND(" ",$J64)),$J64,LEFT($J64,FIND(" ",$J64)-1)&amp;" "&amp;MID($J64,FIND(" ",$J64)+1,1)&amp;REPT("*",LEN($J64)-FIND(" ",$J64)-1))),$J64)</f>
      </c>
      <c r="F64" s="6">
        <f>IF($B$3="Anonimizados",IF($K64="","",IF(ISERROR(FIND(" ",$K64)),LEFT($K64,1)&amp;REPT("*",LEN($K64)-1),LEFT($K64,1)&amp;REPT("*",FIND(" ",$K64)-2)&amp;" "&amp;MID($K64,FIND(" ",$K64)+1,1)&amp;REPT("*",LEN($K64)-FIND(" ",$K64)-1))),$K64)</f>
      </c>
      <c r="G64" s="6">
        <f>IF($B$3="Anonimizados",IF($L64="","",IF(LEN($L64)&lt;6,LEFT($L64,1)&amp;REPT("*",LEN($L64)-1),LEFT($L64,1)&amp;"****"&amp;MID($L64,6,LEN($L64)-5))),$L64)</f>
      </c>
      <c r="H64" s="6">
        <f>IF($I64="","",INDEX(Registro!$I$2:$I$501,$I64))</f>
      </c>
      <c r="I64" s="0">
        <f>IFERROR(MATCH(52,Registro!$AE$2:$AE$501,0),"")</f>
      </c>
      <c r="J64" s="0">
        <f>IF($I64="","",INDEX(Registro!$E$2:$E$501,$I64))</f>
      </c>
      <c r="K64" s="0">
        <f>IF($I64="","",INDEX(Registro!$F$2:$F$501,$I64))</f>
      </c>
      <c r="L64" s="0">
        <f>IF($I64="","",INDEX(Registro!$G$2:$G$501,$I64))</f>
      </c>
    </row>
    <row r="65" spans="1:8">
      <c r="A65" s="6">
        <f>IF($I65="","",53)</f>
      </c>
      <c r="B65" s="6">
        <f>IF($I65="","",INDEX(Registro!$B$2:$B$501,$I65))</f>
      </c>
      <c r="C65" s="6">
        <f>IF($I65="","",INDEX(Registro!$H$2:$H$501,$I65))</f>
      </c>
      <c r="D65" s="6">
        <f>IF($I65="","",INDEX(Registro!$D$2:$D$501,$I65))</f>
      </c>
      <c r="E65" s="6">
        <f>IF($B$3="Anonimizados",IF($J65="","",IF(ISERROR(FIND(" ",$J65)),$J65,LEFT($J65,FIND(" ",$J65)-1)&amp;" "&amp;MID($J65,FIND(" ",$J65)+1,1)&amp;REPT("*",LEN($J65)-FIND(" ",$J65)-1))),$J65)</f>
      </c>
      <c r="F65" s="6">
        <f>IF($B$3="Anonimizados",IF($K65="","",IF(ISERROR(FIND(" ",$K65)),LEFT($K65,1)&amp;REPT("*",LEN($K65)-1),LEFT($K65,1)&amp;REPT("*",FIND(" ",$K65)-2)&amp;" "&amp;MID($K65,FIND(" ",$K65)+1,1)&amp;REPT("*",LEN($K65)-FIND(" ",$K65)-1))),$K65)</f>
      </c>
      <c r="G65" s="6">
        <f>IF($B$3="Anonimizados",IF($L65="","",IF(LEN($L65)&lt;6,LEFT($L65,1)&amp;REPT("*",LEN($L65)-1),LEFT($L65,1)&amp;"****"&amp;MID($L65,6,LEN($L65)-5))),$L65)</f>
      </c>
      <c r="H65" s="6">
        <f>IF($I65="","",INDEX(Registro!$I$2:$I$501,$I65))</f>
      </c>
      <c r="I65" s="0">
        <f>IFERROR(MATCH(53,Registro!$AE$2:$AE$501,0),"")</f>
      </c>
      <c r="J65" s="0">
        <f>IF($I65="","",INDEX(Registro!$E$2:$E$501,$I65))</f>
      </c>
      <c r="K65" s="0">
        <f>IF($I65="","",INDEX(Registro!$F$2:$F$501,$I65))</f>
      </c>
      <c r="L65" s="0">
        <f>IF($I65="","",INDEX(Registro!$G$2:$G$501,$I65))</f>
      </c>
    </row>
    <row r="66" spans="1:8">
      <c r="A66" s="6">
        <f>IF($I66="","",54)</f>
      </c>
      <c r="B66" s="6">
        <f>IF($I66="","",INDEX(Registro!$B$2:$B$501,$I66))</f>
      </c>
      <c r="C66" s="6">
        <f>IF($I66="","",INDEX(Registro!$H$2:$H$501,$I66))</f>
      </c>
      <c r="D66" s="6">
        <f>IF($I66="","",INDEX(Registro!$D$2:$D$501,$I66))</f>
      </c>
      <c r="E66" s="6">
        <f>IF($B$3="Anonimizados",IF($J66="","",IF(ISERROR(FIND(" ",$J66)),$J66,LEFT($J66,FIND(" ",$J66)-1)&amp;" "&amp;MID($J66,FIND(" ",$J66)+1,1)&amp;REPT("*",LEN($J66)-FIND(" ",$J66)-1))),$J66)</f>
      </c>
      <c r="F66" s="6">
        <f>IF($B$3="Anonimizados",IF($K66="","",IF(ISERROR(FIND(" ",$K66)),LEFT($K66,1)&amp;REPT("*",LEN($K66)-1),LEFT($K66,1)&amp;REPT("*",FIND(" ",$K66)-2)&amp;" "&amp;MID($K66,FIND(" ",$K66)+1,1)&amp;REPT("*",LEN($K66)-FIND(" ",$K66)-1))),$K66)</f>
      </c>
      <c r="G66" s="6">
        <f>IF($B$3="Anonimizados",IF($L66="","",IF(LEN($L66)&lt;6,LEFT($L66,1)&amp;REPT("*",LEN($L66)-1),LEFT($L66,1)&amp;"****"&amp;MID($L66,6,LEN($L66)-5))),$L66)</f>
      </c>
      <c r="H66" s="6">
        <f>IF($I66="","",INDEX(Registro!$I$2:$I$501,$I66))</f>
      </c>
      <c r="I66" s="0">
        <f>IFERROR(MATCH(54,Registro!$AE$2:$AE$501,0),"")</f>
      </c>
      <c r="J66" s="0">
        <f>IF($I66="","",INDEX(Registro!$E$2:$E$501,$I66))</f>
      </c>
      <c r="K66" s="0">
        <f>IF($I66="","",INDEX(Registro!$F$2:$F$501,$I66))</f>
      </c>
      <c r="L66" s="0">
        <f>IF($I66="","",INDEX(Registro!$G$2:$G$501,$I66))</f>
      </c>
    </row>
    <row r="67" spans="1:8">
      <c r="A67" s="6">
        <f>IF($I67="","",55)</f>
      </c>
      <c r="B67" s="6">
        <f>IF($I67="","",INDEX(Registro!$B$2:$B$501,$I67))</f>
      </c>
      <c r="C67" s="6">
        <f>IF($I67="","",INDEX(Registro!$H$2:$H$501,$I67))</f>
      </c>
      <c r="D67" s="6">
        <f>IF($I67="","",INDEX(Registro!$D$2:$D$501,$I67))</f>
      </c>
      <c r="E67" s="6">
        <f>IF($B$3="Anonimizados",IF($J67="","",IF(ISERROR(FIND(" ",$J67)),$J67,LEFT($J67,FIND(" ",$J67)-1)&amp;" "&amp;MID($J67,FIND(" ",$J67)+1,1)&amp;REPT("*",LEN($J67)-FIND(" ",$J67)-1))),$J67)</f>
      </c>
      <c r="F67" s="6">
        <f>IF($B$3="Anonimizados",IF($K67="","",IF(ISERROR(FIND(" ",$K67)),LEFT($K67,1)&amp;REPT("*",LEN($K67)-1),LEFT($K67,1)&amp;REPT("*",FIND(" ",$K67)-2)&amp;" "&amp;MID($K67,FIND(" ",$K67)+1,1)&amp;REPT("*",LEN($K67)-FIND(" ",$K67)-1))),$K67)</f>
      </c>
      <c r="G67" s="6">
        <f>IF($B$3="Anonimizados",IF($L67="","",IF(LEN($L67)&lt;6,LEFT($L67,1)&amp;REPT("*",LEN($L67)-1),LEFT($L67,1)&amp;"****"&amp;MID($L67,6,LEN($L67)-5))),$L67)</f>
      </c>
      <c r="H67" s="6">
        <f>IF($I67="","",INDEX(Registro!$I$2:$I$501,$I67))</f>
      </c>
      <c r="I67" s="0">
        <f>IFERROR(MATCH(55,Registro!$AE$2:$AE$501,0),"")</f>
      </c>
      <c r="J67" s="0">
        <f>IF($I67="","",INDEX(Registro!$E$2:$E$501,$I67))</f>
      </c>
      <c r="K67" s="0">
        <f>IF($I67="","",INDEX(Registro!$F$2:$F$501,$I67))</f>
      </c>
      <c r="L67" s="0">
        <f>IF($I67="","",INDEX(Registro!$G$2:$G$501,$I67))</f>
      </c>
    </row>
    <row r="68" spans="1:8">
      <c r="A68" s="6">
        <f>IF($I68="","",56)</f>
      </c>
      <c r="B68" s="6">
        <f>IF($I68="","",INDEX(Registro!$B$2:$B$501,$I68))</f>
      </c>
      <c r="C68" s="6">
        <f>IF($I68="","",INDEX(Registro!$H$2:$H$501,$I68))</f>
      </c>
      <c r="D68" s="6">
        <f>IF($I68="","",INDEX(Registro!$D$2:$D$501,$I68))</f>
      </c>
      <c r="E68" s="6">
        <f>IF($B$3="Anonimizados",IF($J68="","",IF(ISERROR(FIND(" ",$J68)),$J68,LEFT($J68,FIND(" ",$J68)-1)&amp;" "&amp;MID($J68,FIND(" ",$J68)+1,1)&amp;REPT("*",LEN($J68)-FIND(" ",$J68)-1))),$J68)</f>
      </c>
      <c r="F68" s="6">
        <f>IF($B$3="Anonimizados",IF($K68="","",IF(ISERROR(FIND(" ",$K68)),LEFT($K68,1)&amp;REPT("*",LEN($K68)-1),LEFT($K68,1)&amp;REPT("*",FIND(" ",$K68)-2)&amp;" "&amp;MID($K68,FIND(" ",$K68)+1,1)&amp;REPT("*",LEN($K68)-FIND(" ",$K68)-1))),$K68)</f>
      </c>
      <c r="G68" s="6">
        <f>IF($B$3="Anonimizados",IF($L68="","",IF(LEN($L68)&lt;6,LEFT($L68,1)&amp;REPT("*",LEN($L68)-1),LEFT($L68,1)&amp;"****"&amp;MID($L68,6,LEN($L68)-5))),$L68)</f>
      </c>
      <c r="H68" s="6">
        <f>IF($I68="","",INDEX(Registro!$I$2:$I$501,$I68))</f>
      </c>
      <c r="I68" s="0">
        <f>IFERROR(MATCH(56,Registro!$AE$2:$AE$501,0),"")</f>
      </c>
      <c r="J68" s="0">
        <f>IF($I68="","",INDEX(Registro!$E$2:$E$501,$I68))</f>
      </c>
      <c r="K68" s="0">
        <f>IF($I68="","",INDEX(Registro!$F$2:$F$501,$I68))</f>
      </c>
      <c r="L68" s="0">
        <f>IF($I68="","",INDEX(Registro!$G$2:$G$501,$I68))</f>
      </c>
    </row>
    <row r="69" spans="1:8">
      <c r="A69" s="6">
        <f>IF($I69="","",57)</f>
      </c>
      <c r="B69" s="6">
        <f>IF($I69="","",INDEX(Registro!$B$2:$B$501,$I69))</f>
      </c>
      <c r="C69" s="6">
        <f>IF($I69="","",INDEX(Registro!$H$2:$H$501,$I69))</f>
      </c>
      <c r="D69" s="6">
        <f>IF($I69="","",INDEX(Registro!$D$2:$D$501,$I69))</f>
      </c>
      <c r="E69" s="6">
        <f>IF($B$3="Anonimizados",IF($J69="","",IF(ISERROR(FIND(" ",$J69)),$J69,LEFT($J69,FIND(" ",$J69)-1)&amp;" "&amp;MID($J69,FIND(" ",$J69)+1,1)&amp;REPT("*",LEN($J69)-FIND(" ",$J69)-1))),$J69)</f>
      </c>
      <c r="F69" s="6">
        <f>IF($B$3="Anonimizados",IF($K69="","",IF(ISERROR(FIND(" ",$K69)),LEFT($K69,1)&amp;REPT("*",LEN($K69)-1),LEFT($K69,1)&amp;REPT("*",FIND(" ",$K69)-2)&amp;" "&amp;MID($K69,FIND(" ",$K69)+1,1)&amp;REPT("*",LEN($K69)-FIND(" ",$K69)-1))),$K69)</f>
      </c>
      <c r="G69" s="6">
        <f>IF($B$3="Anonimizados",IF($L69="","",IF(LEN($L69)&lt;6,LEFT($L69,1)&amp;REPT("*",LEN($L69)-1),LEFT($L69,1)&amp;"****"&amp;MID($L69,6,LEN($L69)-5))),$L69)</f>
      </c>
      <c r="H69" s="6">
        <f>IF($I69="","",INDEX(Registro!$I$2:$I$501,$I69))</f>
      </c>
      <c r="I69" s="0">
        <f>IFERROR(MATCH(57,Registro!$AE$2:$AE$501,0),"")</f>
      </c>
      <c r="J69" s="0">
        <f>IF($I69="","",INDEX(Registro!$E$2:$E$501,$I69))</f>
      </c>
      <c r="K69" s="0">
        <f>IF($I69="","",INDEX(Registro!$F$2:$F$501,$I69))</f>
      </c>
      <c r="L69" s="0">
        <f>IF($I69="","",INDEX(Registro!$G$2:$G$501,$I69))</f>
      </c>
    </row>
    <row r="70" spans="1:8">
      <c r="A70" s="6">
        <f>IF($I70="","",58)</f>
      </c>
      <c r="B70" s="6">
        <f>IF($I70="","",INDEX(Registro!$B$2:$B$501,$I70))</f>
      </c>
      <c r="C70" s="6">
        <f>IF($I70="","",INDEX(Registro!$H$2:$H$501,$I70))</f>
      </c>
      <c r="D70" s="6">
        <f>IF($I70="","",INDEX(Registro!$D$2:$D$501,$I70))</f>
      </c>
      <c r="E70" s="6">
        <f>IF($B$3="Anonimizados",IF($J70="","",IF(ISERROR(FIND(" ",$J70)),$J70,LEFT($J70,FIND(" ",$J70)-1)&amp;" "&amp;MID($J70,FIND(" ",$J70)+1,1)&amp;REPT("*",LEN($J70)-FIND(" ",$J70)-1))),$J70)</f>
      </c>
      <c r="F70" s="6">
        <f>IF($B$3="Anonimizados",IF($K70="","",IF(ISERROR(FIND(" ",$K70)),LEFT($K70,1)&amp;REPT("*",LEN($K70)-1),LEFT($K70,1)&amp;REPT("*",FIND(" ",$K70)-2)&amp;" "&amp;MID($K70,FIND(" ",$K70)+1,1)&amp;REPT("*",LEN($K70)-FIND(" ",$K70)-1))),$K70)</f>
      </c>
      <c r="G70" s="6">
        <f>IF($B$3="Anonimizados",IF($L70="","",IF(LEN($L70)&lt;6,LEFT($L70,1)&amp;REPT("*",LEN($L70)-1),LEFT($L70,1)&amp;"****"&amp;MID($L70,6,LEN($L70)-5))),$L70)</f>
      </c>
      <c r="H70" s="6">
        <f>IF($I70="","",INDEX(Registro!$I$2:$I$501,$I70))</f>
      </c>
      <c r="I70" s="0">
        <f>IFERROR(MATCH(58,Registro!$AE$2:$AE$501,0),"")</f>
      </c>
      <c r="J70" s="0">
        <f>IF($I70="","",INDEX(Registro!$E$2:$E$501,$I70))</f>
      </c>
      <c r="K70" s="0">
        <f>IF($I70="","",INDEX(Registro!$F$2:$F$501,$I70))</f>
      </c>
      <c r="L70" s="0">
        <f>IF($I70="","",INDEX(Registro!$G$2:$G$501,$I70))</f>
      </c>
    </row>
    <row r="71" spans="1:8">
      <c r="A71" s="6">
        <f>IF($I71="","",59)</f>
      </c>
      <c r="B71" s="6">
        <f>IF($I71="","",INDEX(Registro!$B$2:$B$501,$I71))</f>
      </c>
      <c r="C71" s="6">
        <f>IF($I71="","",INDEX(Registro!$H$2:$H$501,$I71))</f>
      </c>
      <c r="D71" s="6">
        <f>IF($I71="","",INDEX(Registro!$D$2:$D$501,$I71))</f>
      </c>
      <c r="E71" s="6">
        <f>IF($B$3="Anonimizados",IF($J71="","",IF(ISERROR(FIND(" ",$J71)),$J71,LEFT($J71,FIND(" ",$J71)-1)&amp;" "&amp;MID($J71,FIND(" ",$J71)+1,1)&amp;REPT("*",LEN($J71)-FIND(" ",$J71)-1))),$J71)</f>
      </c>
      <c r="F71" s="6">
        <f>IF($B$3="Anonimizados",IF($K71="","",IF(ISERROR(FIND(" ",$K71)),LEFT($K71,1)&amp;REPT("*",LEN($K71)-1),LEFT($K71,1)&amp;REPT("*",FIND(" ",$K71)-2)&amp;" "&amp;MID($K71,FIND(" ",$K71)+1,1)&amp;REPT("*",LEN($K71)-FIND(" ",$K71)-1))),$K71)</f>
      </c>
      <c r="G71" s="6">
        <f>IF($B$3="Anonimizados",IF($L71="","",IF(LEN($L71)&lt;6,LEFT($L71,1)&amp;REPT("*",LEN($L71)-1),LEFT($L71,1)&amp;"****"&amp;MID($L71,6,LEN($L71)-5))),$L71)</f>
      </c>
      <c r="H71" s="6">
        <f>IF($I71="","",INDEX(Registro!$I$2:$I$501,$I71))</f>
      </c>
      <c r="I71" s="0">
        <f>IFERROR(MATCH(59,Registro!$AE$2:$AE$501,0),"")</f>
      </c>
      <c r="J71" s="0">
        <f>IF($I71="","",INDEX(Registro!$E$2:$E$501,$I71))</f>
      </c>
      <c r="K71" s="0">
        <f>IF($I71="","",INDEX(Registro!$F$2:$F$501,$I71))</f>
      </c>
      <c r="L71" s="0">
        <f>IF($I71="","",INDEX(Registro!$G$2:$G$501,$I71))</f>
      </c>
    </row>
    <row r="72" spans="1:8">
      <c r="A72" s="6">
        <f>IF($I72="","",60)</f>
      </c>
      <c r="B72" s="6">
        <f>IF($I72="","",INDEX(Registro!$B$2:$B$501,$I72))</f>
      </c>
      <c r="C72" s="6">
        <f>IF($I72="","",INDEX(Registro!$H$2:$H$501,$I72))</f>
      </c>
      <c r="D72" s="6">
        <f>IF($I72="","",INDEX(Registro!$D$2:$D$501,$I72))</f>
      </c>
      <c r="E72" s="6">
        <f>IF($B$3="Anonimizados",IF($J72="","",IF(ISERROR(FIND(" ",$J72)),$J72,LEFT($J72,FIND(" ",$J72)-1)&amp;" "&amp;MID($J72,FIND(" ",$J72)+1,1)&amp;REPT("*",LEN($J72)-FIND(" ",$J72)-1))),$J72)</f>
      </c>
      <c r="F72" s="6">
        <f>IF($B$3="Anonimizados",IF($K72="","",IF(ISERROR(FIND(" ",$K72)),LEFT($K72,1)&amp;REPT("*",LEN($K72)-1),LEFT($K72,1)&amp;REPT("*",FIND(" ",$K72)-2)&amp;" "&amp;MID($K72,FIND(" ",$K72)+1,1)&amp;REPT("*",LEN($K72)-FIND(" ",$K72)-1))),$K72)</f>
      </c>
      <c r="G72" s="6">
        <f>IF($B$3="Anonimizados",IF($L72="","",IF(LEN($L72)&lt;6,LEFT($L72,1)&amp;REPT("*",LEN($L72)-1),LEFT($L72,1)&amp;"****"&amp;MID($L72,6,LEN($L72)-5))),$L72)</f>
      </c>
      <c r="H72" s="6">
        <f>IF($I72="","",INDEX(Registro!$I$2:$I$501,$I72))</f>
      </c>
      <c r="I72" s="0">
        <f>IFERROR(MATCH(60,Registro!$AE$2:$AE$501,0),"")</f>
      </c>
      <c r="J72" s="0">
        <f>IF($I72="","",INDEX(Registro!$E$2:$E$501,$I72))</f>
      </c>
      <c r="K72" s="0">
        <f>IF($I72="","",INDEX(Registro!$F$2:$F$501,$I72))</f>
      </c>
      <c r="L72" s="0">
        <f>IF($I72="","",INDEX(Registro!$G$2:$G$501,$I72))</f>
      </c>
    </row>
    <row r="73" spans="1:8">
      <c r="A73" s="6">
        <f>IF($I73="","",61)</f>
      </c>
      <c r="B73" s="6">
        <f>IF($I73="","",INDEX(Registro!$B$2:$B$501,$I73))</f>
      </c>
      <c r="C73" s="6">
        <f>IF($I73="","",INDEX(Registro!$H$2:$H$501,$I73))</f>
      </c>
      <c r="D73" s="6">
        <f>IF($I73="","",INDEX(Registro!$D$2:$D$501,$I73))</f>
      </c>
      <c r="E73" s="6">
        <f>IF($B$3="Anonimizados",IF($J73="","",IF(ISERROR(FIND(" ",$J73)),$J73,LEFT($J73,FIND(" ",$J73)-1)&amp;" "&amp;MID($J73,FIND(" ",$J73)+1,1)&amp;REPT("*",LEN($J73)-FIND(" ",$J73)-1))),$J73)</f>
      </c>
      <c r="F73" s="6">
        <f>IF($B$3="Anonimizados",IF($K73="","",IF(ISERROR(FIND(" ",$K73)),LEFT($K73,1)&amp;REPT("*",LEN($K73)-1),LEFT($K73,1)&amp;REPT("*",FIND(" ",$K73)-2)&amp;" "&amp;MID($K73,FIND(" ",$K73)+1,1)&amp;REPT("*",LEN($K73)-FIND(" ",$K73)-1))),$K73)</f>
      </c>
      <c r="G73" s="6">
        <f>IF($B$3="Anonimizados",IF($L73="","",IF(LEN($L73)&lt;6,LEFT($L73,1)&amp;REPT("*",LEN($L73)-1),LEFT($L73,1)&amp;"****"&amp;MID($L73,6,LEN($L73)-5))),$L73)</f>
      </c>
      <c r="H73" s="6">
        <f>IF($I73="","",INDEX(Registro!$I$2:$I$501,$I73))</f>
      </c>
      <c r="I73" s="0">
        <f>IFERROR(MATCH(61,Registro!$AE$2:$AE$501,0),"")</f>
      </c>
      <c r="J73" s="0">
        <f>IF($I73="","",INDEX(Registro!$E$2:$E$501,$I73))</f>
      </c>
      <c r="K73" s="0">
        <f>IF($I73="","",INDEX(Registro!$F$2:$F$501,$I73))</f>
      </c>
      <c r="L73" s="0">
        <f>IF($I73="","",INDEX(Registro!$G$2:$G$501,$I73))</f>
      </c>
    </row>
    <row r="74" spans="1:8">
      <c r="A74" s="6">
        <f>IF($I74="","",62)</f>
      </c>
      <c r="B74" s="6">
        <f>IF($I74="","",INDEX(Registro!$B$2:$B$501,$I74))</f>
      </c>
      <c r="C74" s="6">
        <f>IF($I74="","",INDEX(Registro!$H$2:$H$501,$I74))</f>
      </c>
      <c r="D74" s="6">
        <f>IF($I74="","",INDEX(Registro!$D$2:$D$501,$I74))</f>
      </c>
      <c r="E74" s="6">
        <f>IF($B$3="Anonimizados",IF($J74="","",IF(ISERROR(FIND(" ",$J74)),$J74,LEFT($J74,FIND(" ",$J74)-1)&amp;" "&amp;MID($J74,FIND(" ",$J74)+1,1)&amp;REPT("*",LEN($J74)-FIND(" ",$J74)-1))),$J74)</f>
      </c>
      <c r="F74" s="6">
        <f>IF($B$3="Anonimizados",IF($K74="","",IF(ISERROR(FIND(" ",$K74)),LEFT($K74,1)&amp;REPT("*",LEN($K74)-1),LEFT($K74,1)&amp;REPT("*",FIND(" ",$K74)-2)&amp;" "&amp;MID($K74,FIND(" ",$K74)+1,1)&amp;REPT("*",LEN($K74)-FIND(" ",$K74)-1))),$K74)</f>
      </c>
      <c r="G74" s="6">
        <f>IF($B$3="Anonimizados",IF($L74="","",IF(LEN($L74)&lt;6,LEFT($L74,1)&amp;REPT("*",LEN($L74)-1),LEFT($L74,1)&amp;"****"&amp;MID($L74,6,LEN($L74)-5))),$L74)</f>
      </c>
      <c r="H74" s="6">
        <f>IF($I74="","",INDEX(Registro!$I$2:$I$501,$I74))</f>
      </c>
      <c r="I74" s="0">
        <f>IFERROR(MATCH(62,Registro!$AE$2:$AE$501,0),"")</f>
      </c>
      <c r="J74" s="0">
        <f>IF($I74="","",INDEX(Registro!$E$2:$E$501,$I74))</f>
      </c>
      <c r="K74" s="0">
        <f>IF($I74="","",INDEX(Registro!$F$2:$F$501,$I74))</f>
      </c>
      <c r="L74" s="0">
        <f>IF($I74="","",INDEX(Registro!$G$2:$G$501,$I74))</f>
      </c>
    </row>
    <row r="75" spans="1:8">
      <c r="A75" s="6">
        <f>IF($I75="","",63)</f>
      </c>
      <c r="B75" s="6">
        <f>IF($I75="","",INDEX(Registro!$B$2:$B$501,$I75))</f>
      </c>
      <c r="C75" s="6">
        <f>IF($I75="","",INDEX(Registro!$H$2:$H$501,$I75))</f>
      </c>
      <c r="D75" s="6">
        <f>IF($I75="","",INDEX(Registro!$D$2:$D$501,$I75))</f>
      </c>
      <c r="E75" s="6">
        <f>IF($B$3="Anonimizados",IF($J75="","",IF(ISERROR(FIND(" ",$J75)),$J75,LEFT($J75,FIND(" ",$J75)-1)&amp;" "&amp;MID($J75,FIND(" ",$J75)+1,1)&amp;REPT("*",LEN($J75)-FIND(" ",$J75)-1))),$J75)</f>
      </c>
      <c r="F75" s="6">
        <f>IF($B$3="Anonimizados",IF($K75="","",IF(ISERROR(FIND(" ",$K75)),LEFT($K75,1)&amp;REPT("*",LEN($K75)-1),LEFT($K75,1)&amp;REPT("*",FIND(" ",$K75)-2)&amp;" "&amp;MID($K75,FIND(" ",$K75)+1,1)&amp;REPT("*",LEN($K75)-FIND(" ",$K75)-1))),$K75)</f>
      </c>
      <c r="G75" s="6">
        <f>IF($B$3="Anonimizados",IF($L75="","",IF(LEN($L75)&lt;6,LEFT($L75,1)&amp;REPT("*",LEN($L75)-1),LEFT($L75,1)&amp;"****"&amp;MID($L75,6,LEN($L75)-5))),$L75)</f>
      </c>
      <c r="H75" s="6">
        <f>IF($I75="","",INDEX(Registro!$I$2:$I$501,$I75))</f>
      </c>
      <c r="I75" s="0">
        <f>IFERROR(MATCH(63,Registro!$AE$2:$AE$501,0),"")</f>
      </c>
      <c r="J75" s="0">
        <f>IF($I75="","",INDEX(Registro!$E$2:$E$501,$I75))</f>
      </c>
      <c r="K75" s="0">
        <f>IF($I75="","",INDEX(Registro!$F$2:$F$501,$I75))</f>
      </c>
      <c r="L75" s="0">
        <f>IF($I75="","",INDEX(Registro!$G$2:$G$501,$I75))</f>
      </c>
    </row>
    <row r="76" spans="1:8">
      <c r="A76" s="6">
        <f>IF($I76="","",64)</f>
      </c>
      <c r="B76" s="6">
        <f>IF($I76="","",INDEX(Registro!$B$2:$B$501,$I76))</f>
      </c>
      <c r="C76" s="6">
        <f>IF($I76="","",INDEX(Registro!$H$2:$H$501,$I76))</f>
      </c>
      <c r="D76" s="6">
        <f>IF($I76="","",INDEX(Registro!$D$2:$D$501,$I76))</f>
      </c>
      <c r="E76" s="6">
        <f>IF($B$3="Anonimizados",IF($J76="","",IF(ISERROR(FIND(" ",$J76)),$J76,LEFT($J76,FIND(" ",$J76)-1)&amp;" "&amp;MID($J76,FIND(" ",$J76)+1,1)&amp;REPT("*",LEN($J76)-FIND(" ",$J76)-1))),$J76)</f>
      </c>
      <c r="F76" s="6">
        <f>IF($B$3="Anonimizados",IF($K76="","",IF(ISERROR(FIND(" ",$K76)),LEFT($K76,1)&amp;REPT("*",LEN($K76)-1),LEFT($K76,1)&amp;REPT("*",FIND(" ",$K76)-2)&amp;" "&amp;MID($K76,FIND(" ",$K76)+1,1)&amp;REPT("*",LEN($K76)-FIND(" ",$K76)-1))),$K76)</f>
      </c>
      <c r="G76" s="6">
        <f>IF($B$3="Anonimizados",IF($L76="","",IF(LEN($L76)&lt;6,LEFT($L76,1)&amp;REPT("*",LEN($L76)-1),LEFT($L76,1)&amp;"****"&amp;MID($L76,6,LEN($L76)-5))),$L76)</f>
      </c>
      <c r="H76" s="6">
        <f>IF($I76="","",INDEX(Registro!$I$2:$I$501,$I76))</f>
      </c>
      <c r="I76" s="0">
        <f>IFERROR(MATCH(64,Registro!$AE$2:$AE$501,0),"")</f>
      </c>
      <c r="J76" s="0">
        <f>IF($I76="","",INDEX(Registro!$E$2:$E$501,$I76))</f>
      </c>
      <c r="K76" s="0">
        <f>IF($I76="","",INDEX(Registro!$F$2:$F$501,$I76))</f>
      </c>
      <c r="L76" s="0">
        <f>IF($I76="","",INDEX(Registro!$G$2:$G$501,$I76))</f>
      </c>
    </row>
    <row r="77" spans="1:8">
      <c r="A77" s="6">
        <f>IF($I77="","",65)</f>
      </c>
      <c r="B77" s="6">
        <f>IF($I77="","",INDEX(Registro!$B$2:$B$501,$I77))</f>
      </c>
      <c r="C77" s="6">
        <f>IF($I77="","",INDEX(Registro!$H$2:$H$501,$I77))</f>
      </c>
      <c r="D77" s="6">
        <f>IF($I77="","",INDEX(Registro!$D$2:$D$501,$I77))</f>
      </c>
      <c r="E77" s="6">
        <f>IF($B$3="Anonimizados",IF($J77="","",IF(ISERROR(FIND(" ",$J77)),$J77,LEFT($J77,FIND(" ",$J77)-1)&amp;" "&amp;MID($J77,FIND(" ",$J77)+1,1)&amp;REPT("*",LEN($J77)-FIND(" ",$J77)-1))),$J77)</f>
      </c>
      <c r="F77" s="6">
        <f>IF($B$3="Anonimizados",IF($K77="","",IF(ISERROR(FIND(" ",$K77)),LEFT($K77,1)&amp;REPT("*",LEN($K77)-1),LEFT($K77,1)&amp;REPT("*",FIND(" ",$K77)-2)&amp;" "&amp;MID($K77,FIND(" ",$K77)+1,1)&amp;REPT("*",LEN($K77)-FIND(" ",$K77)-1))),$K77)</f>
      </c>
      <c r="G77" s="6">
        <f>IF($B$3="Anonimizados",IF($L77="","",IF(LEN($L77)&lt;6,LEFT($L77,1)&amp;REPT("*",LEN($L77)-1),LEFT($L77,1)&amp;"****"&amp;MID($L77,6,LEN($L77)-5))),$L77)</f>
      </c>
      <c r="H77" s="6">
        <f>IF($I77="","",INDEX(Registro!$I$2:$I$501,$I77))</f>
      </c>
      <c r="I77" s="0">
        <f>IFERROR(MATCH(65,Registro!$AE$2:$AE$501,0),"")</f>
      </c>
      <c r="J77" s="0">
        <f>IF($I77="","",INDEX(Registro!$E$2:$E$501,$I77))</f>
      </c>
      <c r="K77" s="0">
        <f>IF($I77="","",INDEX(Registro!$F$2:$F$501,$I77))</f>
      </c>
      <c r="L77" s="0">
        <f>IF($I77="","",INDEX(Registro!$G$2:$G$501,$I77))</f>
      </c>
    </row>
    <row r="78" spans="1:8">
      <c r="A78" s="6">
        <f>IF($I78="","",66)</f>
      </c>
      <c r="B78" s="6">
        <f>IF($I78="","",INDEX(Registro!$B$2:$B$501,$I78))</f>
      </c>
      <c r="C78" s="6">
        <f>IF($I78="","",INDEX(Registro!$H$2:$H$501,$I78))</f>
      </c>
      <c r="D78" s="6">
        <f>IF($I78="","",INDEX(Registro!$D$2:$D$501,$I78))</f>
      </c>
      <c r="E78" s="6">
        <f>IF($B$3="Anonimizados",IF($J78="","",IF(ISERROR(FIND(" ",$J78)),$J78,LEFT($J78,FIND(" ",$J78)-1)&amp;" "&amp;MID($J78,FIND(" ",$J78)+1,1)&amp;REPT("*",LEN($J78)-FIND(" ",$J78)-1))),$J78)</f>
      </c>
      <c r="F78" s="6">
        <f>IF($B$3="Anonimizados",IF($K78="","",IF(ISERROR(FIND(" ",$K78)),LEFT($K78,1)&amp;REPT("*",LEN($K78)-1),LEFT($K78,1)&amp;REPT("*",FIND(" ",$K78)-2)&amp;" "&amp;MID($K78,FIND(" ",$K78)+1,1)&amp;REPT("*",LEN($K78)-FIND(" ",$K78)-1))),$K78)</f>
      </c>
      <c r="G78" s="6">
        <f>IF($B$3="Anonimizados",IF($L78="","",IF(LEN($L78)&lt;6,LEFT($L78,1)&amp;REPT("*",LEN($L78)-1),LEFT($L78,1)&amp;"****"&amp;MID($L78,6,LEN($L78)-5))),$L78)</f>
      </c>
      <c r="H78" s="6">
        <f>IF($I78="","",INDEX(Registro!$I$2:$I$501,$I78))</f>
      </c>
      <c r="I78" s="0">
        <f>IFERROR(MATCH(66,Registro!$AE$2:$AE$501,0),"")</f>
      </c>
      <c r="J78" s="0">
        <f>IF($I78="","",INDEX(Registro!$E$2:$E$501,$I78))</f>
      </c>
      <c r="K78" s="0">
        <f>IF($I78="","",INDEX(Registro!$F$2:$F$501,$I78))</f>
      </c>
      <c r="L78" s="0">
        <f>IF($I78="","",INDEX(Registro!$G$2:$G$501,$I78))</f>
      </c>
    </row>
    <row r="79" spans="1:8">
      <c r="A79" s="6">
        <f>IF($I79="","",67)</f>
      </c>
      <c r="B79" s="6">
        <f>IF($I79="","",INDEX(Registro!$B$2:$B$501,$I79))</f>
      </c>
      <c r="C79" s="6">
        <f>IF($I79="","",INDEX(Registro!$H$2:$H$501,$I79))</f>
      </c>
      <c r="D79" s="6">
        <f>IF($I79="","",INDEX(Registro!$D$2:$D$501,$I79))</f>
      </c>
      <c r="E79" s="6">
        <f>IF($B$3="Anonimizados",IF($J79="","",IF(ISERROR(FIND(" ",$J79)),$J79,LEFT($J79,FIND(" ",$J79)-1)&amp;" "&amp;MID($J79,FIND(" ",$J79)+1,1)&amp;REPT("*",LEN($J79)-FIND(" ",$J79)-1))),$J79)</f>
      </c>
      <c r="F79" s="6">
        <f>IF($B$3="Anonimizados",IF($K79="","",IF(ISERROR(FIND(" ",$K79)),LEFT($K79,1)&amp;REPT("*",LEN($K79)-1),LEFT($K79,1)&amp;REPT("*",FIND(" ",$K79)-2)&amp;" "&amp;MID($K79,FIND(" ",$K79)+1,1)&amp;REPT("*",LEN($K79)-FIND(" ",$K79)-1))),$K79)</f>
      </c>
      <c r="G79" s="6">
        <f>IF($B$3="Anonimizados",IF($L79="","",IF(LEN($L79)&lt;6,LEFT($L79,1)&amp;REPT("*",LEN($L79)-1),LEFT($L79,1)&amp;"****"&amp;MID($L79,6,LEN($L79)-5))),$L79)</f>
      </c>
      <c r="H79" s="6">
        <f>IF($I79="","",INDEX(Registro!$I$2:$I$501,$I79))</f>
      </c>
      <c r="I79" s="0">
        <f>IFERROR(MATCH(67,Registro!$AE$2:$AE$501,0),"")</f>
      </c>
      <c r="J79" s="0">
        <f>IF($I79="","",INDEX(Registro!$E$2:$E$501,$I79))</f>
      </c>
      <c r="K79" s="0">
        <f>IF($I79="","",INDEX(Registro!$F$2:$F$501,$I79))</f>
      </c>
      <c r="L79" s="0">
        <f>IF($I79="","",INDEX(Registro!$G$2:$G$501,$I79))</f>
      </c>
    </row>
    <row r="80" spans="1:8">
      <c r="A80" s="6">
        <f>IF($I80="","",68)</f>
      </c>
      <c r="B80" s="6">
        <f>IF($I80="","",INDEX(Registro!$B$2:$B$501,$I80))</f>
      </c>
      <c r="C80" s="6">
        <f>IF($I80="","",INDEX(Registro!$H$2:$H$501,$I80))</f>
      </c>
      <c r="D80" s="6">
        <f>IF($I80="","",INDEX(Registro!$D$2:$D$501,$I80))</f>
      </c>
      <c r="E80" s="6">
        <f>IF($B$3="Anonimizados",IF($J80="","",IF(ISERROR(FIND(" ",$J80)),$J80,LEFT($J80,FIND(" ",$J80)-1)&amp;" "&amp;MID($J80,FIND(" ",$J80)+1,1)&amp;REPT("*",LEN($J80)-FIND(" ",$J80)-1))),$J80)</f>
      </c>
      <c r="F80" s="6">
        <f>IF($B$3="Anonimizados",IF($K80="","",IF(ISERROR(FIND(" ",$K80)),LEFT($K80,1)&amp;REPT("*",LEN($K80)-1),LEFT($K80,1)&amp;REPT("*",FIND(" ",$K80)-2)&amp;" "&amp;MID($K80,FIND(" ",$K80)+1,1)&amp;REPT("*",LEN($K80)-FIND(" ",$K80)-1))),$K80)</f>
      </c>
      <c r="G80" s="6">
        <f>IF($B$3="Anonimizados",IF($L80="","",IF(LEN($L80)&lt;6,LEFT($L80,1)&amp;REPT("*",LEN($L80)-1),LEFT($L80,1)&amp;"****"&amp;MID($L80,6,LEN($L80)-5))),$L80)</f>
      </c>
      <c r="H80" s="6">
        <f>IF($I80="","",INDEX(Registro!$I$2:$I$501,$I80))</f>
      </c>
      <c r="I80" s="0">
        <f>IFERROR(MATCH(68,Registro!$AE$2:$AE$501,0),"")</f>
      </c>
      <c r="J80" s="0">
        <f>IF($I80="","",INDEX(Registro!$E$2:$E$501,$I80))</f>
      </c>
      <c r="K80" s="0">
        <f>IF($I80="","",INDEX(Registro!$F$2:$F$501,$I80))</f>
      </c>
      <c r="L80" s="0">
        <f>IF($I80="","",INDEX(Registro!$G$2:$G$501,$I80))</f>
      </c>
    </row>
    <row r="81" spans="1:8">
      <c r="A81" s="6">
        <f>IF($I81="","",69)</f>
      </c>
      <c r="B81" s="6">
        <f>IF($I81="","",INDEX(Registro!$B$2:$B$501,$I81))</f>
      </c>
      <c r="C81" s="6">
        <f>IF($I81="","",INDEX(Registro!$H$2:$H$501,$I81))</f>
      </c>
      <c r="D81" s="6">
        <f>IF($I81="","",INDEX(Registro!$D$2:$D$501,$I81))</f>
      </c>
      <c r="E81" s="6">
        <f>IF($B$3="Anonimizados",IF($J81="","",IF(ISERROR(FIND(" ",$J81)),$J81,LEFT($J81,FIND(" ",$J81)-1)&amp;" "&amp;MID($J81,FIND(" ",$J81)+1,1)&amp;REPT("*",LEN($J81)-FIND(" ",$J81)-1))),$J81)</f>
      </c>
      <c r="F81" s="6">
        <f>IF($B$3="Anonimizados",IF($K81="","",IF(ISERROR(FIND(" ",$K81)),LEFT($K81,1)&amp;REPT("*",LEN($K81)-1),LEFT($K81,1)&amp;REPT("*",FIND(" ",$K81)-2)&amp;" "&amp;MID($K81,FIND(" ",$K81)+1,1)&amp;REPT("*",LEN($K81)-FIND(" ",$K81)-1))),$K81)</f>
      </c>
      <c r="G81" s="6">
        <f>IF($B$3="Anonimizados",IF($L81="","",IF(LEN($L81)&lt;6,LEFT($L81,1)&amp;REPT("*",LEN($L81)-1),LEFT($L81,1)&amp;"****"&amp;MID($L81,6,LEN($L81)-5))),$L81)</f>
      </c>
      <c r="H81" s="6">
        <f>IF($I81="","",INDEX(Registro!$I$2:$I$501,$I81))</f>
      </c>
      <c r="I81" s="0">
        <f>IFERROR(MATCH(69,Registro!$AE$2:$AE$501,0),"")</f>
      </c>
      <c r="J81" s="0">
        <f>IF($I81="","",INDEX(Registro!$E$2:$E$501,$I81))</f>
      </c>
      <c r="K81" s="0">
        <f>IF($I81="","",INDEX(Registro!$F$2:$F$501,$I81))</f>
      </c>
      <c r="L81" s="0">
        <f>IF($I81="","",INDEX(Registro!$G$2:$G$501,$I81))</f>
      </c>
    </row>
    <row r="82" spans="1:8">
      <c r="A82" s="6">
        <f>IF($I82="","",70)</f>
      </c>
      <c r="B82" s="6">
        <f>IF($I82="","",INDEX(Registro!$B$2:$B$501,$I82))</f>
      </c>
      <c r="C82" s="6">
        <f>IF($I82="","",INDEX(Registro!$H$2:$H$501,$I82))</f>
      </c>
      <c r="D82" s="6">
        <f>IF($I82="","",INDEX(Registro!$D$2:$D$501,$I82))</f>
      </c>
      <c r="E82" s="6">
        <f>IF($B$3="Anonimizados",IF($J82="","",IF(ISERROR(FIND(" ",$J82)),$J82,LEFT($J82,FIND(" ",$J82)-1)&amp;" "&amp;MID($J82,FIND(" ",$J82)+1,1)&amp;REPT("*",LEN($J82)-FIND(" ",$J82)-1))),$J82)</f>
      </c>
      <c r="F82" s="6">
        <f>IF($B$3="Anonimizados",IF($K82="","",IF(ISERROR(FIND(" ",$K82)),LEFT($K82,1)&amp;REPT("*",LEN($K82)-1),LEFT($K82,1)&amp;REPT("*",FIND(" ",$K82)-2)&amp;" "&amp;MID($K82,FIND(" ",$K82)+1,1)&amp;REPT("*",LEN($K82)-FIND(" ",$K82)-1))),$K82)</f>
      </c>
      <c r="G82" s="6">
        <f>IF($B$3="Anonimizados",IF($L82="","",IF(LEN($L82)&lt;6,LEFT($L82,1)&amp;REPT("*",LEN($L82)-1),LEFT($L82,1)&amp;"****"&amp;MID($L82,6,LEN($L82)-5))),$L82)</f>
      </c>
      <c r="H82" s="6">
        <f>IF($I82="","",INDEX(Registro!$I$2:$I$501,$I82))</f>
      </c>
      <c r="I82" s="0">
        <f>IFERROR(MATCH(70,Registro!$AE$2:$AE$501,0),"")</f>
      </c>
      <c r="J82" s="0">
        <f>IF($I82="","",INDEX(Registro!$E$2:$E$501,$I82))</f>
      </c>
      <c r="K82" s="0">
        <f>IF($I82="","",INDEX(Registro!$F$2:$F$501,$I82))</f>
      </c>
      <c r="L82" s="0">
        <f>IF($I82="","",INDEX(Registro!$G$2:$G$501,$I82))</f>
      </c>
    </row>
    <row r="83" spans="1:8">
      <c r="A83" s="6">
        <f>IF($I83="","",71)</f>
      </c>
      <c r="B83" s="6">
        <f>IF($I83="","",INDEX(Registro!$B$2:$B$501,$I83))</f>
      </c>
      <c r="C83" s="6">
        <f>IF($I83="","",INDEX(Registro!$H$2:$H$501,$I83))</f>
      </c>
      <c r="D83" s="6">
        <f>IF($I83="","",INDEX(Registro!$D$2:$D$501,$I83))</f>
      </c>
      <c r="E83" s="6">
        <f>IF($B$3="Anonimizados",IF($J83="","",IF(ISERROR(FIND(" ",$J83)),$J83,LEFT($J83,FIND(" ",$J83)-1)&amp;" "&amp;MID($J83,FIND(" ",$J83)+1,1)&amp;REPT("*",LEN($J83)-FIND(" ",$J83)-1))),$J83)</f>
      </c>
      <c r="F83" s="6">
        <f>IF($B$3="Anonimizados",IF($K83="","",IF(ISERROR(FIND(" ",$K83)),LEFT($K83,1)&amp;REPT("*",LEN($K83)-1),LEFT($K83,1)&amp;REPT("*",FIND(" ",$K83)-2)&amp;" "&amp;MID($K83,FIND(" ",$K83)+1,1)&amp;REPT("*",LEN($K83)-FIND(" ",$K83)-1))),$K83)</f>
      </c>
      <c r="G83" s="6">
        <f>IF($B$3="Anonimizados",IF($L83="","",IF(LEN($L83)&lt;6,LEFT($L83,1)&amp;REPT("*",LEN($L83)-1),LEFT($L83,1)&amp;"****"&amp;MID($L83,6,LEN($L83)-5))),$L83)</f>
      </c>
      <c r="H83" s="6">
        <f>IF($I83="","",INDEX(Registro!$I$2:$I$501,$I83))</f>
      </c>
      <c r="I83" s="0">
        <f>IFERROR(MATCH(71,Registro!$AE$2:$AE$501,0),"")</f>
      </c>
      <c r="J83" s="0">
        <f>IF($I83="","",INDEX(Registro!$E$2:$E$501,$I83))</f>
      </c>
      <c r="K83" s="0">
        <f>IF($I83="","",INDEX(Registro!$F$2:$F$501,$I83))</f>
      </c>
      <c r="L83" s="0">
        <f>IF($I83="","",INDEX(Registro!$G$2:$G$501,$I83))</f>
      </c>
    </row>
    <row r="84" spans="1:8">
      <c r="A84" s="6">
        <f>IF($I84="","",72)</f>
      </c>
      <c r="B84" s="6">
        <f>IF($I84="","",INDEX(Registro!$B$2:$B$501,$I84))</f>
      </c>
      <c r="C84" s="6">
        <f>IF($I84="","",INDEX(Registro!$H$2:$H$501,$I84))</f>
      </c>
      <c r="D84" s="6">
        <f>IF($I84="","",INDEX(Registro!$D$2:$D$501,$I84))</f>
      </c>
      <c r="E84" s="6">
        <f>IF($B$3="Anonimizados",IF($J84="","",IF(ISERROR(FIND(" ",$J84)),$J84,LEFT($J84,FIND(" ",$J84)-1)&amp;" "&amp;MID($J84,FIND(" ",$J84)+1,1)&amp;REPT("*",LEN($J84)-FIND(" ",$J84)-1))),$J84)</f>
      </c>
      <c r="F84" s="6">
        <f>IF($B$3="Anonimizados",IF($K84="","",IF(ISERROR(FIND(" ",$K84)),LEFT($K84,1)&amp;REPT("*",LEN($K84)-1),LEFT($K84,1)&amp;REPT("*",FIND(" ",$K84)-2)&amp;" "&amp;MID($K84,FIND(" ",$K84)+1,1)&amp;REPT("*",LEN($K84)-FIND(" ",$K84)-1))),$K84)</f>
      </c>
      <c r="G84" s="6">
        <f>IF($B$3="Anonimizados",IF($L84="","",IF(LEN($L84)&lt;6,LEFT($L84,1)&amp;REPT("*",LEN($L84)-1),LEFT($L84,1)&amp;"****"&amp;MID($L84,6,LEN($L84)-5))),$L84)</f>
      </c>
      <c r="H84" s="6">
        <f>IF($I84="","",INDEX(Registro!$I$2:$I$501,$I84))</f>
      </c>
      <c r="I84" s="0">
        <f>IFERROR(MATCH(72,Registro!$AE$2:$AE$501,0),"")</f>
      </c>
      <c r="J84" s="0">
        <f>IF($I84="","",INDEX(Registro!$E$2:$E$501,$I84))</f>
      </c>
      <c r="K84" s="0">
        <f>IF($I84="","",INDEX(Registro!$F$2:$F$501,$I84))</f>
      </c>
      <c r="L84" s="0">
        <f>IF($I84="","",INDEX(Registro!$G$2:$G$501,$I84))</f>
      </c>
    </row>
    <row r="85" spans="1:8">
      <c r="A85" s="6">
        <f>IF($I85="","",73)</f>
      </c>
      <c r="B85" s="6">
        <f>IF($I85="","",INDEX(Registro!$B$2:$B$501,$I85))</f>
      </c>
      <c r="C85" s="6">
        <f>IF($I85="","",INDEX(Registro!$H$2:$H$501,$I85))</f>
      </c>
      <c r="D85" s="6">
        <f>IF($I85="","",INDEX(Registro!$D$2:$D$501,$I85))</f>
      </c>
      <c r="E85" s="6">
        <f>IF($B$3="Anonimizados",IF($J85="","",IF(ISERROR(FIND(" ",$J85)),$J85,LEFT($J85,FIND(" ",$J85)-1)&amp;" "&amp;MID($J85,FIND(" ",$J85)+1,1)&amp;REPT("*",LEN($J85)-FIND(" ",$J85)-1))),$J85)</f>
      </c>
      <c r="F85" s="6">
        <f>IF($B$3="Anonimizados",IF($K85="","",IF(ISERROR(FIND(" ",$K85)),LEFT($K85,1)&amp;REPT("*",LEN($K85)-1),LEFT($K85,1)&amp;REPT("*",FIND(" ",$K85)-2)&amp;" "&amp;MID($K85,FIND(" ",$K85)+1,1)&amp;REPT("*",LEN($K85)-FIND(" ",$K85)-1))),$K85)</f>
      </c>
      <c r="G85" s="6">
        <f>IF($B$3="Anonimizados",IF($L85="","",IF(LEN($L85)&lt;6,LEFT($L85,1)&amp;REPT("*",LEN($L85)-1),LEFT($L85,1)&amp;"****"&amp;MID($L85,6,LEN($L85)-5))),$L85)</f>
      </c>
      <c r="H85" s="6">
        <f>IF($I85="","",INDEX(Registro!$I$2:$I$501,$I85))</f>
      </c>
      <c r="I85" s="0">
        <f>IFERROR(MATCH(73,Registro!$AE$2:$AE$501,0),"")</f>
      </c>
      <c r="J85" s="0">
        <f>IF($I85="","",INDEX(Registro!$E$2:$E$501,$I85))</f>
      </c>
      <c r="K85" s="0">
        <f>IF($I85="","",INDEX(Registro!$F$2:$F$501,$I85))</f>
      </c>
      <c r="L85" s="0">
        <f>IF($I85="","",INDEX(Registro!$G$2:$G$501,$I85))</f>
      </c>
    </row>
    <row r="86" spans="1:8">
      <c r="A86" s="6">
        <f>IF($I86="","",74)</f>
      </c>
      <c r="B86" s="6">
        <f>IF($I86="","",INDEX(Registro!$B$2:$B$501,$I86))</f>
      </c>
      <c r="C86" s="6">
        <f>IF($I86="","",INDEX(Registro!$H$2:$H$501,$I86))</f>
      </c>
      <c r="D86" s="6">
        <f>IF($I86="","",INDEX(Registro!$D$2:$D$501,$I86))</f>
      </c>
      <c r="E86" s="6">
        <f>IF($B$3="Anonimizados",IF($J86="","",IF(ISERROR(FIND(" ",$J86)),$J86,LEFT($J86,FIND(" ",$J86)-1)&amp;" "&amp;MID($J86,FIND(" ",$J86)+1,1)&amp;REPT("*",LEN($J86)-FIND(" ",$J86)-1))),$J86)</f>
      </c>
      <c r="F86" s="6">
        <f>IF($B$3="Anonimizados",IF($K86="","",IF(ISERROR(FIND(" ",$K86)),LEFT($K86,1)&amp;REPT("*",LEN($K86)-1),LEFT($K86,1)&amp;REPT("*",FIND(" ",$K86)-2)&amp;" "&amp;MID($K86,FIND(" ",$K86)+1,1)&amp;REPT("*",LEN($K86)-FIND(" ",$K86)-1))),$K86)</f>
      </c>
      <c r="G86" s="6">
        <f>IF($B$3="Anonimizados",IF($L86="","",IF(LEN($L86)&lt;6,LEFT($L86,1)&amp;REPT("*",LEN($L86)-1),LEFT($L86,1)&amp;"****"&amp;MID($L86,6,LEN($L86)-5))),$L86)</f>
      </c>
      <c r="H86" s="6">
        <f>IF($I86="","",INDEX(Registro!$I$2:$I$501,$I86))</f>
      </c>
      <c r="I86" s="0">
        <f>IFERROR(MATCH(74,Registro!$AE$2:$AE$501,0),"")</f>
      </c>
      <c r="J86" s="0">
        <f>IF($I86="","",INDEX(Registro!$E$2:$E$501,$I86))</f>
      </c>
      <c r="K86" s="0">
        <f>IF($I86="","",INDEX(Registro!$F$2:$F$501,$I86))</f>
      </c>
      <c r="L86" s="0">
        <f>IF($I86="","",INDEX(Registro!$G$2:$G$501,$I86))</f>
      </c>
    </row>
    <row r="87" spans="1:8">
      <c r="A87" s="6">
        <f>IF($I87="","",75)</f>
      </c>
      <c r="B87" s="6">
        <f>IF($I87="","",INDEX(Registro!$B$2:$B$501,$I87))</f>
      </c>
      <c r="C87" s="6">
        <f>IF($I87="","",INDEX(Registro!$H$2:$H$501,$I87))</f>
      </c>
      <c r="D87" s="6">
        <f>IF($I87="","",INDEX(Registro!$D$2:$D$501,$I87))</f>
      </c>
      <c r="E87" s="6">
        <f>IF($B$3="Anonimizados",IF($J87="","",IF(ISERROR(FIND(" ",$J87)),$J87,LEFT($J87,FIND(" ",$J87)-1)&amp;" "&amp;MID($J87,FIND(" ",$J87)+1,1)&amp;REPT("*",LEN($J87)-FIND(" ",$J87)-1))),$J87)</f>
      </c>
      <c r="F87" s="6">
        <f>IF($B$3="Anonimizados",IF($K87="","",IF(ISERROR(FIND(" ",$K87)),LEFT($K87,1)&amp;REPT("*",LEN($K87)-1),LEFT($K87,1)&amp;REPT("*",FIND(" ",$K87)-2)&amp;" "&amp;MID($K87,FIND(" ",$K87)+1,1)&amp;REPT("*",LEN($K87)-FIND(" ",$K87)-1))),$K87)</f>
      </c>
      <c r="G87" s="6">
        <f>IF($B$3="Anonimizados",IF($L87="","",IF(LEN($L87)&lt;6,LEFT($L87,1)&amp;REPT("*",LEN($L87)-1),LEFT($L87,1)&amp;"****"&amp;MID($L87,6,LEN($L87)-5))),$L87)</f>
      </c>
      <c r="H87" s="6">
        <f>IF($I87="","",INDEX(Registro!$I$2:$I$501,$I87))</f>
      </c>
      <c r="I87" s="0">
        <f>IFERROR(MATCH(75,Registro!$AE$2:$AE$501,0),"")</f>
      </c>
      <c r="J87" s="0">
        <f>IF($I87="","",INDEX(Registro!$E$2:$E$501,$I87))</f>
      </c>
      <c r="K87" s="0">
        <f>IF($I87="","",INDEX(Registro!$F$2:$F$501,$I87))</f>
      </c>
      <c r="L87" s="0">
        <f>IF($I87="","",INDEX(Registro!$G$2:$G$501,$I87))</f>
      </c>
    </row>
    <row r="88" spans="1:8">
      <c r="A88" s="6">
        <f>IF($I88="","",76)</f>
      </c>
      <c r="B88" s="6">
        <f>IF($I88="","",INDEX(Registro!$B$2:$B$501,$I88))</f>
      </c>
      <c r="C88" s="6">
        <f>IF($I88="","",INDEX(Registro!$H$2:$H$501,$I88))</f>
      </c>
      <c r="D88" s="6">
        <f>IF($I88="","",INDEX(Registro!$D$2:$D$501,$I88))</f>
      </c>
      <c r="E88" s="6">
        <f>IF($B$3="Anonimizados",IF($J88="","",IF(ISERROR(FIND(" ",$J88)),$J88,LEFT($J88,FIND(" ",$J88)-1)&amp;" "&amp;MID($J88,FIND(" ",$J88)+1,1)&amp;REPT("*",LEN($J88)-FIND(" ",$J88)-1))),$J88)</f>
      </c>
      <c r="F88" s="6">
        <f>IF($B$3="Anonimizados",IF($K88="","",IF(ISERROR(FIND(" ",$K88)),LEFT($K88,1)&amp;REPT("*",LEN($K88)-1),LEFT($K88,1)&amp;REPT("*",FIND(" ",$K88)-2)&amp;" "&amp;MID($K88,FIND(" ",$K88)+1,1)&amp;REPT("*",LEN($K88)-FIND(" ",$K88)-1))),$K88)</f>
      </c>
      <c r="G88" s="6">
        <f>IF($B$3="Anonimizados",IF($L88="","",IF(LEN($L88)&lt;6,LEFT($L88,1)&amp;REPT("*",LEN($L88)-1),LEFT($L88,1)&amp;"****"&amp;MID($L88,6,LEN($L88)-5))),$L88)</f>
      </c>
      <c r="H88" s="6">
        <f>IF($I88="","",INDEX(Registro!$I$2:$I$501,$I88))</f>
      </c>
      <c r="I88" s="0">
        <f>IFERROR(MATCH(76,Registro!$AE$2:$AE$501,0),"")</f>
      </c>
      <c r="J88" s="0">
        <f>IF($I88="","",INDEX(Registro!$E$2:$E$501,$I88))</f>
      </c>
      <c r="K88" s="0">
        <f>IF($I88="","",INDEX(Registro!$F$2:$F$501,$I88))</f>
      </c>
      <c r="L88" s="0">
        <f>IF($I88="","",INDEX(Registro!$G$2:$G$501,$I88))</f>
      </c>
    </row>
    <row r="89" spans="1:8">
      <c r="A89" s="6">
        <f>IF($I89="","",77)</f>
      </c>
      <c r="B89" s="6">
        <f>IF($I89="","",INDEX(Registro!$B$2:$B$501,$I89))</f>
      </c>
      <c r="C89" s="6">
        <f>IF($I89="","",INDEX(Registro!$H$2:$H$501,$I89))</f>
      </c>
      <c r="D89" s="6">
        <f>IF($I89="","",INDEX(Registro!$D$2:$D$501,$I89))</f>
      </c>
      <c r="E89" s="6">
        <f>IF($B$3="Anonimizados",IF($J89="","",IF(ISERROR(FIND(" ",$J89)),$J89,LEFT($J89,FIND(" ",$J89)-1)&amp;" "&amp;MID($J89,FIND(" ",$J89)+1,1)&amp;REPT("*",LEN($J89)-FIND(" ",$J89)-1))),$J89)</f>
      </c>
      <c r="F89" s="6">
        <f>IF($B$3="Anonimizados",IF($K89="","",IF(ISERROR(FIND(" ",$K89)),LEFT($K89,1)&amp;REPT("*",LEN($K89)-1),LEFT($K89,1)&amp;REPT("*",FIND(" ",$K89)-2)&amp;" "&amp;MID($K89,FIND(" ",$K89)+1,1)&amp;REPT("*",LEN($K89)-FIND(" ",$K89)-1))),$K89)</f>
      </c>
      <c r="G89" s="6">
        <f>IF($B$3="Anonimizados",IF($L89="","",IF(LEN($L89)&lt;6,LEFT($L89,1)&amp;REPT("*",LEN($L89)-1),LEFT($L89,1)&amp;"****"&amp;MID($L89,6,LEN($L89)-5))),$L89)</f>
      </c>
      <c r="H89" s="6">
        <f>IF($I89="","",INDEX(Registro!$I$2:$I$501,$I89))</f>
      </c>
      <c r="I89" s="0">
        <f>IFERROR(MATCH(77,Registro!$AE$2:$AE$501,0),"")</f>
      </c>
      <c r="J89" s="0">
        <f>IF($I89="","",INDEX(Registro!$E$2:$E$501,$I89))</f>
      </c>
      <c r="K89" s="0">
        <f>IF($I89="","",INDEX(Registro!$F$2:$F$501,$I89))</f>
      </c>
      <c r="L89" s="0">
        <f>IF($I89="","",INDEX(Registro!$G$2:$G$501,$I89))</f>
      </c>
    </row>
    <row r="90" spans="1:8">
      <c r="A90" s="6">
        <f>IF($I90="","",78)</f>
      </c>
      <c r="B90" s="6">
        <f>IF($I90="","",INDEX(Registro!$B$2:$B$501,$I90))</f>
      </c>
      <c r="C90" s="6">
        <f>IF($I90="","",INDEX(Registro!$H$2:$H$501,$I90))</f>
      </c>
      <c r="D90" s="6">
        <f>IF($I90="","",INDEX(Registro!$D$2:$D$501,$I90))</f>
      </c>
      <c r="E90" s="6">
        <f>IF($B$3="Anonimizados",IF($J90="","",IF(ISERROR(FIND(" ",$J90)),$J90,LEFT($J90,FIND(" ",$J90)-1)&amp;" "&amp;MID($J90,FIND(" ",$J90)+1,1)&amp;REPT("*",LEN($J90)-FIND(" ",$J90)-1))),$J90)</f>
      </c>
      <c r="F90" s="6">
        <f>IF($B$3="Anonimizados",IF($K90="","",IF(ISERROR(FIND(" ",$K90)),LEFT($K90,1)&amp;REPT("*",LEN($K90)-1),LEFT($K90,1)&amp;REPT("*",FIND(" ",$K90)-2)&amp;" "&amp;MID($K90,FIND(" ",$K90)+1,1)&amp;REPT("*",LEN($K90)-FIND(" ",$K90)-1))),$K90)</f>
      </c>
      <c r="G90" s="6">
        <f>IF($B$3="Anonimizados",IF($L90="","",IF(LEN($L90)&lt;6,LEFT($L90,1)&amp;REPT("*",LEN($L90)-1),LEFT($L90,1)&amp;"****"&amp;MID($L90,6,LEN($L90)-5))),$L90)</f>
      </c>
      <c r="H90" s="6">
        <f>IF($I90="","",INDEX(Registro!$I$2:$I$501,$I90))</f>
      </c>
      <c r="I90" s="0">
        <f>IFERROR(MATCH(78,Registro!$AE$2:$AE$501,0),"")</f>
      </c>
      <c r="J90" s="0">
        <f>IF($I90="","",INDEX(Registro!$E$2:$E$501,$I90))</f>
      </c>
      <c r="K90" s="0">
        <f>IF($I90="","",INDEX(Registro!$F$2:$F$501,$I90))</f>
      </c>
      <c r="L90" s="0">
        <f>IF($I90="","",INDEX(Registro!$G$2:$G$501,$I90))</f>
      </c>
    </row>
    <row r="91" spans="1:8">
      <c r="A91" s="6">
        <f>IF($I91="","",79)</f>
      </c>
      <c r="B91" s="6">
        <f>IF($I91="","",INDEX(Registro!$B$2:$B$501,$I91))</f>
      </c>
      <c r="C91" s="6">
        <f>IF($I91="","",INDEX(Registro!$H$2:$H$501,$I91))</f>
      </c>
      <c r="D91" s="6">
        <f>IF($I91="","",INDEX(Registro!$D$2:$D$501,$I91))</f>
      </c>
      <c r="E91" s="6">
        <f>IF($B$3="Anonimizados",IF($J91="","",IF(ISERROR(FIND(" ",$J91)),$J91,LEFT($J91,FIND(" ",$J91)-1)&amp;" "&amp;MID($J91,FIND(" ",$J91)+1,1)&amp;REPT("*",LEN($J91)-FIND(" ",$J91)-1))),$J91)</f>
      </c>
      <c r="F91" s="6">
        <f>IF($B$3="Anonimizados",IF($K91="","",IF(ISERROR(FIND(" ",$K91)),LEFT($K91,1)&amp;REPT("*",LEN($K91)-1),LEFT($K91,1)&amp;REPT("*",FIND(" ",$K91)-2)&amp;" "&amp;MID($K91,FIND(" ",$K91)+1,1)&amp;REPT("*",LEN($K91)-FIND(" ",$K91)-1))),$K91)</f>
      </c>
      <c r="G91" s="6">
        <f>IF($B$3="Anonimizados",IF($L91="","",IF(LEN($L91)&lt;6,LEFT($L91,1)&amp;REPT("*",LEN($L91)-1),LEFT($L91,1)&amp;"****"&amp;MID($L91,6,LEN($L91)-5))),$L91)</f>
      </c>
      <c r="H91" s="6">
        <f>IF($I91="","",INDEX(Registro!$I$2:$I$501,$I91))</f>
      </c>
      <c r="I91" s="0">
        <f>IFERROR(MATCH(79,Registro!$AE$2:$AE$501,0),"")</f>
      </c>
      <c r="J91" s="0">
        <f>IF($I91="","",INDEX(Registro!$E$2:$E$501,$I91))</f>
      </c>
      <c r="K91" s="0">
        <f>IF($I91="","",INDEX(Registro!$F$2:$F$501,$I91))</f>
      </c>
      <c r="L91" s="0">
        <f>IF($I91="","",INDEX(Registro!$G$2:$G$501,$I91))</f>
      </c>
    </row>
    <row r="92" spans="1:8">
      <c r="A92" s="6">
        <f>IF($I92="","",80)</f>
      </c>
      <c r="B92" s="6">
        <f>IF($I92="","",INDEX(Registro!$B$2:$B$501,$I92))</f>
      </c>
      <c r="C92" s="6">
        <f>IF($I92="","",INDEX(Registro!$H$2:$H$501,$I92))</f>
      </c>
      <c r="D92" s="6">
        <f>IF($I92="","",INDEX(Registro!$D$2:$D$501,$I92))</f>
      </c>
      <c r="E92" s="6">
        <f>IF($B$3="Anonimizados",IF($J92="","",IF(ISERROR(FIND(" ",$J92)),$J92,LEFT($J92,FIND(" ",$J92)-1)&amp;" "&amp;MID($J92,FIND(" ",$J92)+1,1)&amp;REPT("*",LEN($J92)-FIND(" ",$J92)-1))),$J92)</f>
      </c>
      <c r="F92" s="6">
        <f>IF($B$3="Anonimizados",IF($K92="","",IF(ISERROR(FIND(" ",$K92)),LEFT($K92,1)&amp;REPT("*",LEN($K92)-1),LEFT($K92,1)&amp;REPT("*",FIND(" ",$K92)-2)&amp;" "&amp;MID($K92,FIND(" ",$K92)+1,1)&amp;REPT("*",LEN($K92)-FIND(" ",$K92)-1))),$K92)</f>
      </c>
      <c r="G92" s="6">
        <f>IF($B$3="Anonimizados",IF($L92="","",IF(LEN($L92)&lt;6,LEFT($L92,1)&amp;REPT("*",LEN($L92)-1),LEFT($L92,1)&amp;"****"&amp;MID($L92,6,LEN($L92)-5))),$L92)</f>
      </c>
      <c r="H92" s="6">
        <f>IF($I92="","",INDEX(Registro!$I$2:$I$501,$I92))</f>
      </c>
      <c r="I92" s="0">
        <f>IFERROR(MATCH(80,Registro!$AE$2:$AE$501,0),"")</f>
      </c>
      <c r="J92" s="0">
        <f>IF($I92="","",INDEX(Registro!$E$2:$E$501,$I92))</f>
      </c>
      <c r="K92" s="0">
        <f>IF($I92="","",INDEX(Registro!$F$2:$F$501,$I92))</f>
      </c>
      <c r="L92" s="0">
        <f>IF($I92="","",INDEX(Registro!$G$2:$G$501,$I92))</f>
      </c>
    </row>
    <row r="93" spans="1:8">
      <c r="A93" s="6">
        <f>IF($I93="","",81)</f>
      </c>
      <c r="B93" s="6">
        <f>IF($I93="","",INDEX(Registro!$B$2:$B$501,$I93))</f>
      </c>
      <c r="C93" s="6">
        <f>IF($I93="","",INDEX(Registro!$H$2:$H$501,$I93))</f>
      </c>
      <c r="D93" s="6">
        <f>IF($I93="","",INDEX(Registro!$D$2:$D$501,$I93))</f>
      </c>
      <c r="E93" s="6">
        <f>IF($B$3="Anonimizados",IF($J93="","",IF(ISERROR(FIND(" ",$J93)),$J93,LEFT($J93,FIND(" ",$J93)-1)&amp;" "&amp;MID($J93,FIND(" ",$J93)+1,1)&amp;REPT("*",LEN($J93)-FIND(" ",$J93)-1))),$J93)</f>
      </c>
      <c r="F93" s="6">
        <f>IF($B$3="Anonimizados",IF($K93="","",IF(ISERROR(FIND(" ",$K93)),LEFT($K93,1)&amp;REPT("*",LEN($K93)-1),LEFT($K93,1)&amp;REPT("*",FIND(" ",$K93)-2)&amp;" "&amp;MID($K93,FIND(" ",$K93)+1,1)&amp;REPT("*",LEN($K93)-FIND(" ",$K93)-1))),$K93)</f>
      </c>
      <c r="G93" s="6">
        <f>IF($B$3="Anonimizados",IF($L93="","",IF(LEN($L93)&lt;6,LEFT($L93,1)&amp;REPT("*",LEN($L93)-1),LEFT($L93,1)&amp;"****"&amp;MID($L93,6,LEN($L93)-5))),$L93)</f>
      </c>
      <c r="H93" s="6">
        <f>IF($I93="","",INDEX(Registro!$I$2:$I$501,$I93))</f>
      </c>
      <c r="I93" s="0">
        <f>IFERROR(MATCH(81,Registro!$AE$2:$AE$501,0),"")</f>
      </c>
      <c r="J93" s="0">
        <f>IF($I93="","",INDEX(Registro!$E$2:$E$501,$I93))</f>
      </c>
      <c r="K93" s="0">
        <f>IF($I93="","",INDEX(Registro!$F$2:$F$501,$I93))</f>
      </c>
      <c r="L93" s="0">
        <f>IF($I93="","",INDEX(Registro!$G$2:$G$501,$I93))</f>
      </c>
    </row>
    <row r="94" spans="1:8">
      <c r="A94" s="6">
        <f>IF($I94="","",82)</f>
      </c>
      <c r="B94" s="6">
        <f>IF($I94="","",INDEX(Registro!$B$2:$B$501,$I94))</f>
      </c>
      <c r="C94" s="6">
        <f>IF($I94="","",INDEX(Registro!$H$2:$H$501,$I94))</f>
      </c>
      <c r="D94" s="6">
        <f>IF($I94="","",INDEX(Registro!$D$2:$D$501,$I94))</f>
      </c>
      <c r="E94" s="6">
        <f>IF($B$3="Anonimizados",IF($J94="","",IF(ISERROR(FIND(" ",$J94)),$J94,LEFT($J94,FIND(" ",$J94)-1)&amp;" "&amp;MID($J94,FIND(" ",$J94)+1,1)&amp;REPT("*",LEN($J94)-FIND(" ",$J94)-1))),$J94)</f>
      </c>
      <c r="F94" s="6">
        <f>IF($B$3="Anonimizados",IF($K94="","",IF(ISERROR(FIND(" ",$K94)),LEFT($K94,1)&amp;REPT("*",LEN($K94)-1),LEFT($K94,1)&amp;REPT("*",FIND(" ",$K94)-2)&amp;" "&amp;MID($K94,FIND(" ",$K94)+1,1)&amp;REPT("*",LEN($K94)-FIND(" ",$K94)-1))),$K94)</f>
      </c>
      <c r="G94" s="6">
        <f>IF($B$3="Anonimizados",IF($L94="","",IF(LEN($L94)&lt;6,LEFT($L94,1)&amp;REPT("*",LEN($L94)-1),LEFT($L94,1)&amp;"****"&amp;MID($L94,6,LEN($L94)-5))),$L94)</f>
      </c>
      <c r="H94" s="6">
        <f>IF($I94="","",INDEX(Registro!$I$2:$I$501,$I94))</f>
      </c>
      <c r="I94" s="0">
        <f>IFERROR(MATCH(82,Registro!$AE$2:$AE$501,0),"")</f>
      </c>
      <c r="J94" s="0">
        <f>IF($I94="","",INDEX(Registro!$E$2:$E$501,$I94))</f>
      </c>
      <c r="K94" s="0">
        <f>IF($I94="","",INDEX(Registro!$F$2:$F$501,$I94))</f>
      </c>
      <c r="L94" s="0">
        <f>IF($I94="","",INDEX(Registro!$G$2:$G$501,$I94))</f>
      </c>
    </row>
    <row r="95" spans="1:8">
      <c r="A95" s="6">
        <f>IF($I95="","",83)</f>
      </c>
      <c r="B95" s="6">
        <f>IF($I95="","",INDEX(Registro!$B$2:$B$501,$I95))</f>
      </c>
      <c r="C95" s="6">
        <f>IF($I95="","",INDEX(Registro!$H$2:$H$501,$I95))</f>
      </c>
      <c r="D95" s="6">
        <f>IF($I95="","",INDEX(Registro!$D$2:$D$501,$I95))</f>
      </c>
      <c r="E95" s="6">
        <f>IF($B$3="Anonimizados",IF($J95="","",IF(ISERROR(FIND(" ",$J95)),$J95,LEFT($J95,FIND(" ",$J95)-1)&amp;" "&amp;MID($J95,FIND(" ",$J95)+1,1)&amp;REPT("*",LEN($J95)-FIND(" ",$J95)-1))),$J95)</f>
      </c>
      <c r="F95" s="6">
        <f>IF($B$3="Anonimizados",IF($K95="","",IF(ISERROR(FIND(" ",$K95)),LEFT($K95,1)&amp;REPT("*",LEN($K95)-1),LEFT($K95,1)&amp;REPT("*",FIND(" ",$K95)-2)&amp;" "&amp;MID($K95,FIND(" ",$K95)+1,1)&amp;REPT("*",LEN($K95)-FIND(" ",$K95)-1))),$K95)</f>
      </c>
      <c r="G95" s="6">
        <f>IF($B$3="Anonimizados",IF($L95="","",IF(LEN($L95)&lt;6,LEFT($L95,1)&amp;REPT("*",LEN($L95)-1),LEFT($L95,1)&amp;"****"&amp;MID($L95,6,LEN($L95)-5))),$L95)</f>
      </c>
      <c r="H95" s="6">
        <f>IF($I95="","",INDEX(Registro!$I$2:$I$501,$I95))</f>
      </c>
      <c r="I95" s="0">
        <f>IFERROR(MATCH(83,Registro!$AE$2:$AE$501,0),"")</f>
      </c>
      <c r="J95" s="0">
        <f>IF($I95="","",INDEX(Registro!$E$2:$E$501,$I95))</f>
      </c>
      <c r="K95" s="0">
        <f>IF($I95="","",INDEX(Registro!$F$2:$F$501,$I95))</f>
      </c>
      <c r="L95" s="0">
        <f>IF($I95="","",INDEX(Registro!$G$2:$G$501,$I95))</f>
      </c>
    </row>
    <row r="96" spans="1:8">
      <c r="A96" s="6">
        <f>IF($I96="","",84)</f>
      </c>
      <c r="B96" s="6">
        <f>IF($I96="","",INDEX(Registro!$B$2:$B$501,$I96))</f>
      </c>
      <c r="C96" s="6">
        <f>IF($I96="","",INDEX(Registro!$H$2:$H$501,$I96))</f>
      </c>
      <c r="D96" s="6">
        <f>IF($I96="","",INDEX(Registro!$D$2:$D$501,$I96))</f>
      </c>
      <c r="E96" s="6">
        <f>IF($B$3="Anonimizados",IF($J96="","",IF(ISERROR(FIND(" ",$J96)),$J96,LEFT($J96,FIND(" ",$J96)-1)&amp;" "&amp;MID($J96,FIND(" ",$J96)+1,1)&amp;REPT("*",LEN($J96)-FIND(" ",$J96)-1))),$J96)</f>
      </c>
      <c r="F96" s="6">
        <f>IF($B$3="Anonimizados",IF($K96="","",IF(ISERROR(FIND(" ",$K96)),LEFT($K96,1)&amp;REPT("*",LEN($K96)-1),LEFT($K96,1)&amp;REPT("*",FIND(" ",$K96)-2)&amp;" "&amp;MID($K96,FIND(" ",$K96)+1,1)&amp;REPT("*",LEN($K96)-FIND(" ",$K96)-1))),$K96)</f>
      </c>
      <c r="G96" s="6">
        <f>IF($B$3="Anonimizados",IF($L96="","",IF(LEN($L96)&lt;6,LEFT($L96,1)&amp;REPT("*",LEN($L96)-1),LEFT($L96,1)&amp;"****"&amp;MID($L96,6,LEN($L96)-5))),$L96)</f>
      </c>
      <c r="H96" s="6">
        <f>IF($I96="","",INDEX(Registro!$I$2:$I$501,$I96))</f>
      </c>
      <c r="I96" s="0">
        <f>IFERROR(MATCH(84,Registro!$AE$2:$AE$501,0),"")</f>
      </c>
      <c r="J96" s="0">
        <f>IF($I96="","",INDEX(Registro!$E$2:$E$501,$I96))</f>
      </c>
      <c r="K96" s="0">
        <f>IF($I96="","",INDEX(Registro!$F$2:$F$501,$I96))</f>
      </c>
      <c r="L96" s="0">
        <f>IF($I96="","",INDEX(Registro!$G$2:$G$501,$I96))</f>
      </c>
    </row>
    <row r="97" spans="1:8">
      <c r="A97" s="6">
        <f>IF($I97="","",85)</f>
      </c>
      <c r="B97" s="6">
        <f>IF($I97="","",INDEX(Registro!$B$2:$B$501,$I97))</f>
      </c>
      <c r="C97" s="6">
        <f>IF($I97="","",INDEX(Registro!$H$2:$H$501,$I97))</f>
      </c>
      <c r="D97" s="6">
        <f>IF($I97="","",INDEX(Registro!$D$2:$D$501,$I97))</f>
      </c>
      <c r="E97" s="6">
        <f>IF($B$3="Anonimizados",IF($J97="","",IF(ISERROR(FIND(" ",$J97)),$J97,LEFT($J97,FIND(" ",$J97)-1)&amp;" "&amp;MID($J97,FIND(" ",$J97)+1,1)&amp;REPT("*",LEN($J97)-FIND(" ",$J97)-1))),$J97)</f>
      </c>
      <c r="F97" s="6">
        <f>IF($B$3="Anonimizados",IF($K97="","",IF(ISERROR(FIND(" ",$K97)),LEFT($K97,1)&amp;REPT("*",LEN($K97)-1),LEFT($K97,1)&amp;REPT("*",FIND(" ",$K97)-2)&amp;" "&amp;MID($K97,FIND(" ",$K97)+1,1)&amp;REPT("*",LEN($K97)-FIND(" ",$K97)-1))),$K97)</f>
      </c>
      <c r="G97" s="6">
        <f>IF($B$3="Anonimizados",IF($L97="","",IF(LEN($L97)&lt;6,LEFT($L97,1)&amp;REPT("*",LEN($L97)-1),LEFT($L97,1)&amp;"****"&amp;MID($L97,6,LEN($L97)-5))),$L97)</f>
      </c>
      <c r="H97" s="6">
        <f>IF($I97="","",INDEX(Registro!$I$2:$I$501,$I97))</f>
      </c>
      <c r="I97" s="0">
        <f>IFERROR(MATCH(85,Registro!$AE$2:$AE$501,0),"")</f>
      </c>
      <c r="J97" s="0">
        <f>IF($I97="","",INDEX(Registro!$E$2:$E$501,$I97))</f>
      </c>
      <c r="K97" s="0">
        <f>IF($I97="","",INDEX(Registro!$F$2:$F$501,$I97))</f>
      </c>
      <c r="L97" s="0">
        <f>IF($I97="","",INDEX(Registro!$G$2:$G$501,$I97))</f>
      </c>
    </row>
    <row r="98" spans="1:8">
      <c r="A98" s="6">
        <f>IF($I98="","",86)</f>
      </c>
      <c r="B98" s="6">
        <f>IF($I98="","",INDEX(Registro!$B$2:$B$501,$I98))</f>
      </c>
      <c r="C98" s="6">
        <f>IF($I98="","",INDEX(Registro!$H$2:$H$501,$I98))</f>
      </c>
      <c r="D98" s="6">
        <f>IF($I98="","",INDEX(Registro!$D$2:$D$501,$I98))</f>
      </c>
      <c r="E98" s="6">
        <f>IF($B$3="Anonimizados",IF($J98="","",IF(ISERROR(FIND(" ",$J98)),$J98,LEFT($J98,FIND(" ",$J98)-1)&amp;" "&amp;MID($J98,FIND(" ",$J98)+1,1)&amp;REPT("*",LEN($J98)-FIND(" ",$J98)-1))),$J98)</f>
      </c>
      <c r="F98" s="6">
        <f>IF($B$3="Anonimizados",IF($K98="","",IF(ISERROR(FIND(" ",$K98)),LEFT($K98,1)&amp;REPT("*",LEN($K98)-1),LEFT($K98,1)&amp;REPT("*",FIND(" ",$K98)-2)&amp;" "&amp;MID($K98,FIND(" ",$K98)+1,1)&amp;REPT("*",LEN($K98)-FIND(" ",$K98)-1))),$K98)</f>
      </c>
      <c r="G98" s="6">
        <f>IF($B$3="Anonimizados",IF($L98="","",IF(LEN($L98)&lt;6,LEFT($L98,1)&amp;REPT("*",LEN($L98)-1),LEFT($L98,1)&amp;"****"&amp;MID($L98,6,LEN($L98)-5))),$L98)</f>
      </c>
      <c r="H98" s="6">
        <f>IF($I98="","",INDEX(Registro!$I$2:$I$501,$I98))</f>
      </c>
      <c r="I98" s="0">
        <f>IFERROR(MATCH(86,Registro!$AE$2:$AE$501,0),"")</f>
      </c>
      <c r="J98" s="0">
        <f>IF($I98="","",INDEX(Registro!$E$2:$E$501,$I98))</f>
      </c>
      <c r="K98" s="0">
        <f>IF($I98="","",INDEX(Registro!$F$2:$F$501,$I98))</f>
      </c>
      <c r="L98" s="0">
        <f>IF($I98="","",INDEX(Registro!$G$2:$G$501,$I98))</f>
      </c>
    </row>
    <row r="99" spans="1:8">
      <c r="A99" s="6">
        <f>IF($I99="","",87)</f>
      </c>
      <c r="B99" s="6">
        <f>IF($I99="","",INDEX(Registro!$B$2:$B$501,$I99))</f>
      </c>
      <c r="C99" s="6">
        <f>IF($I99="","",INDEX(Registro!$H$2:$H$501,$I99))</f>
      </c>
      <c r="D99" s="6">
        <f>IF($I99="","",INDEX(Registro!$D$2:$D$501,$I99))</f>
      </c>
      <c r="E99" s="6">
        <f>IF($B$3="Anonimizados",IF($J99="","",IF(ISERROR(FIND(" ",$J99)),$J99,LEFT($J99,FIND(" ",$J99)-1)&amp;" "&amp;MID($J99,FIND(" ",$J99)+1,1)&amp;REPT("*",LEN($J99)-FIND(" ",$J99)-1))),$J99)</f>
      </c>
      <c r="F99" s="6">
        <f>IF($B$3="Anonimizados",IF($K99="","",IF(ISERROR(FIND(" ",$K99)),LEFT($K99,1)&amp;REPT("*",LEN($K99)-1),LEFT($K99,1)&amp;REPT("*",FIND(" ",$K99)-2)&amp;" "&amp;MID($K99,FIND(" ",$K99)+1,1)&amp;REPT("*",LEN($K99)-FIND(" ",$K99)-1))),$K99)</f>
      </c>
      <c r="G99" s="6">
        <f>IF($B$3="Anonimizados",IF($L99="","",IF(LEN($L99)&lt;6,LEFT($L99,1)&amp;REPT("*",LEN($L99)-1),LEFT($L99,1)&amp;"****"&amp;MID($L99,6,LEN($L99)-5))),$L99)</f>
      </c>
      <c r="H99" s="6">
        <f>IF($I99="","",INDEX(Registro!$I$2:$I$501,$I99))</f>
      </c>
      <c r="I99" s="0">
        <f>IFERROR(MATCH(87,Registro!$AE$2:$AE$501,0),"")</f>
      </c>
      <c r="J99" s="0">
        <f>IF($I99="","",INDEX(Registro!$E$2:$E$501,$I99))</f>
      </c>
      <c r="K99" s="0">
        <f>IF($I99="","",INDEX(Registro!$F$2:$F$501,$I99))</f>
      </c>
      <c r="L99" s="0">
        <f>IF($I99="","",INDEX(Registro!$G$2:$G$501,$I99))</f>
      </c>
    </row>
    <row r="100" spans="1:8">
      <c r="A100" s="6">
        <f>IF($I100="","",88)</f>
      </c>
      <c r="B100" s="6">
        <f>IF($I100="","",INDEX(Registro!$B$2:$B$501,$I100))</f>
      </c>
      <c r="C100" s="6">
        <f>IF($I100="","",INDEX(Registro!$H$2:$H$501,$I100))</f>
      </c>
      <c r="D100" s="6">
        <f>IF($I100="","",INDEX(Registro!$D$2:$D$501,$I100))</f>
      </c>
      <c r="E100" s="6">
        <f>IF($B$3="Anonimizados",IF($J100="","",IF(ISERROR(FIND(" ",$J100)),$J100,LEFT($J100,FIND(" ",$J100)-1)&amp;" "&amp;MID($J100,FIND(" ",$J100)+1,1)&amp;REPT("*",LEN($J100)-FIND(" ",$J100)-1))),$J100)</f>
      </c>
      <c r="F100" s="6">
        <f>IF($B$3="Anonimizados",IF($K100="","",IF(ISERROR(FIND(" ",$K100)),LEFT($K100,1)&amp;REPT("*",LEN($K100)-1),LEFT($K100,1)&amp;REPT("*",FIND(" ",$K100)-2)&amp;" "&amp;MID($K100,FIND(" ",$K100)+1,1)&amp;REPT("*",LEN($K100)-FIND(" ",$K100)-1))),$K100)</f>
      </c>
      <c r="G100" s="6">
        <f>IF($B$3="Anonimizados",IF($L100="","",IF(LEN($L100)&lt;6,LEFT($L100,1)&amp;REPT("*",LEN($L100)-1),LEFT($L100,1)&amp;"****"&amp;MID($L100,6,LEN($L100)-5))),$L100)</f>
      </c>
      <c r="H100" s="6">
        <f>IF($I100="","",INDEX(Registro!$I$2:$I$501,$I100))</f>
      </c>
      <c r="I100" s="0">
        <f>IFERROR(MATCH(88,Registro!$AE$2:$AE$501,0),"")</f>
      </c>
      <c r="J100" s="0">
        <f>IF($I100="","",INDEX(Registro!$E$2:$E$501,$I100))</f>
      </c>
      <c r="K100" s="0">
        <f>IF($I100="","",INDEX(Registro!$F$2:$F$501,$I100))</f>
      </c>
      <c r="L100" s="0">
        <f>IF($I100="","",INDEX(Registro!$G$2:$G$501,$I100))</f>
      </c>
    </row>
    <row r="101" spans="1:8">
      <c r="A101" s="6">
        <f>IF($I101="","",89)</f>
      </c>
      <c r="B101" s="6">
        <f>IF($I101="","",INDEX(Registro!$B$2:$B$501,$I101))</f>
      </c>
      <c r="C101" s="6">
        <f>IF($I101="","",INDEX(Registro!$H$2:$H$501,$I101))</f>
      </c>
      <c r="D101" s="6">
        <f>IF($I101="","",INDEX(Registro!$D$2:$D$501,$I101))</f>
      </c>
      <c r="E101" s="6">
        <f>IF($B$3="Anonimizados",IF($J101="","",IF(ISERROR(FIND(" ",$J101)),$J101,LEFT($J101,FIND(" ",$J101)-1)&amp;" "&amp;MID($J101,FIND(" ",$J101)+1,1)&amp;REPT("*",LEN($J101)-FIND(" ",$J101)-1))),$J101)</f>
      </c>
      <c r="F101" s="6">
        <f>IF($B$3="Anonimizados",IF($K101="","",IF(ISERROR(FIND(" ",$K101)),LEFT($K101,1)&amp;REPT("*",LEN($K101)-1),LEFT($K101,1)&amp;REPT("*",FIND(" ",$K101)-2)&amp;" "&amp;MID($K101,FIND(" ",$K101)+1,1)&amp;REPT("*",LEN($K101)-FIND(" ",$K101)-1))),$K101)</f>
      </c>
      <c r="G101" s="6">
        <f>IF($B$3="Anonimizados",IF($L101="","",IF(LEN($L101)&lt;6,LEFT($L101,1)&amp;REPT("*",LEN($L101)-1),LEFT($L101,1)&amp;"****"&amp;MID($L101,6,LEN($L101)-5))),$L101)</f>
      </c>
      <c r="H101" s="6">
        <f>IF($I101="","",INDEX(Registro!$I$2:$I$501,$I101))</f>
      </c>
      <c r="I101" s="0">
        <f>IFERROR(MATCH(89,Registro!$AE$2:$AE$501,0),"")</f>
      </c>
      <c r="J101" s="0">
        <f>IF($I101="","",INDEX(Registro!$E$2:$E$501,$I101))</f>
      </c>
      <c r="K101" s="0">
        <f>IF($I101="","",INDEX(Registro!$F$2:$F$501,$I101))</f>
      </c>
      <c r="L101" s="0">
        <f>IF($I101="","",INDEX(Registro!$G$2:$G$501,$I101))</f>
      </c>
    </row>
    <row r="102" spans="1:8">
      <c r="A102" s="6">
        <f>IF($I102="","",90)</f>
      </c>
      <c r="B102" s="6">
        <f>IF($I102="","",INDEX(Registro!$B$2:$B$501,$I102))</f>
      </c>
      <c r="C102" s="6">
        <f>IF($I102="","",INDEX(Registro!$H$2:$H$501,$I102))</f>
      </c>
      <c r="D102" s="6">
        <f>IF($I102="","",INDEX(Registro!$D$2:$D$501,$I102))</f>
      </c>
      <c r="E102" s="6">
        <f>IF($B$3="Anonimizados",IF($J102="","",IF(ISERROR(FIND(" ",$J102)),$J102,LEFT($J102,FIND(" ",$J102)-1)&amp;" "&amp;MID($J102,FIND(" ",$J102)+1,1)&amp;REPT("*",LEN($J102)-FIND(" ",$J102)-1))),$J102)</f>
      </c>
      <c r="F102" s="6">
        <f>IF($B$3="Anonimizados",IF($K102="","",IF(ISERROR(FIND(" ",$K102)),LEFT($K102,1)&amp;REPT("*",LEN($K102)-1),LEFT($K102,1)&amp;REPT("*",FIND(" ",$K102)-2)&amp;" "&amp;MID($K102,FIND(" ",$K102)+1,1)&amp;REPT("*",LEN($K102)-FIND(" ",$K102)-1))),$K102)</f>
      </c>
      <c r="G102" s="6">
        <f>IF($B$3="Anonimizados",IF($L102="","",IF(LEN($L102)&lt;6,LEFT($L102,1)&amp;REPT("*",LEN($L102)-1),LEFT($L102,1)&amp;"****"&amp;MID($L102,6,LEN($L102)-5))),$L102)</f>
      </c>
      <c r="H102" s="6">
        <f>IF($I102="","",INDEX(Registro!$I$2:$I$501,$I102))</f>
      </c>
      <c r="I102" s="0">
        <f>IFERROR(MATCH(90,Registro!$AE$2:$AE$501,0),"")</f>
      </c>
      <c r="J102" s="0">
        <f>IF($I102="","",INDEX(Registro!$E$2:$E$501,$I102))</f>
      </c>
      <c r="K102" s="0">
        <f>IF($I102="","",INDEX(Registro!$F$2:$F$501,$I102))</f>
      </c>
      <c r="L102" s="0">
        <f>IF($I102="","",INDEX(Registro!$G$2:$G$501,$I102))</f>
      </c>
    </row>
    <row r="103" spans="1:8">
      <c r="A103" s="6">
        <f>IF($I103="","",91)</f>
      </c>
      <c r="B103" s="6">
        <f>IF($I103="","",INDEX(Registro!$B$2:$B$501,$I103))</f>
      </c>
      <c r="C103" s="6">
        <f>IF($I103="","",INDEX(Registro!$H$2:$H$501,$I103))</f>
      </c>
      <c r="D103" s="6">
        <f>IF($I103="","",INDEX(Registro!$D$2:$D$501,$I103))</f>
      </c>
      <c r="E103" s="6">
        <f>IF($B$3="Anonimizados",IF($J103="","",IF(ISERROR(FIND(" ",$J103)),$J103,LEFT($J103,FIND(" ",$J103)-1)&amp;" "&amp;MID($J103,FIND(" ",$J103)+1,1)&amp;REPT("*",LEN($J103)-FIND(" ",$J103)-1))),$J103)</f>
      </c>
      <c r="F103" s="6">
        <f>IF($B$3="Anonimizados",IF($K103="","",IF(ISERROR(FIND(" ",$K103)),LEFT($K103,1)&amp;REPT("*",LEN($K103)-1),LEFT($K103,1)&amp;REPT("*",FIND(" ",$K103)-2)&amp;" "&amp;MID($K103,FIND(" ",$K103)+1,1)&amp;REPT("*",LEN($K103)-FIND(" ",$K103)-1))),$K103)</f>
      </c>
      <c r="G103" s="6">
        <f>IF($B$3="Anonimizados",IF($L103="","",IF(LEN($L103)&lt;6,LEFT($L103,1)&amp;REPT("*",LEN($L103)-1),LEFT($L103,1)&amp;"****"&amp;MID($L103,6,LEN($L103)-5))),$L103)</f>
      </c>
      <c r="H103" s="6">
        <f>IF($I103="","",INDEX(Registro!$I$2:$I$501,$I103))</f>
      </c>
      <c r="I103" s="0">
        <f>IFERROR(MATCH(91,Registro!$AE$2:$AE$501,0),"")</f>
      </c>
      <c r="J103" s="0">
        <f>IF($I103="","",INDEX(Registro!$E$2:$E$501,$I103))</f>
      </c>
      <c r="K103" s="0">
        <f>IF($I103="","",INDEX(Registro!$F$2:$F$501,$I103))</f>
      </c>
      <c r="L103" s="0">
        <f>IF($I103="","",INDEX(Registro!$G$2:$G$501,$I103))</f>
      </c>
    </row>
    <row r="104" spans="1:8">
      <c r="A104" s="6">
        <f>IF($I104="","",92)</f>
      </c>
      <c r="B104" s="6">
        <f>IF($I104="","",INDEX(Registro!$B$2:$B$501,$I104))</f>
      </c>
      <c r="C104" s="6">
        <f>IF($I104="","",INDEX(Registro!$H$2:$H$501,$I104))</f>
      </c>
      <c r="D104" s="6">
        <f>IF($I104="","",INDEX(Registro!$D$2:$D$501,$I104))</f>
      </c>
      <c r="E104" s="6">
        <f>IF($B$3="Anonimizados",IF($J104="","",IF(ISERROR(FIND(" ",$J104)),$J104,LEFT($J104,FIND(" ",$J104)-1)&amp;" "&amp;MID($J104,FIND(" ",$J104)+1,1)&amp;REPT("*",LEN($J104)-FIND(" ",$J104)-1))),$J104)</f>
      </c>
      <c r="F104" s="6">
        <f>IF($B$3="Anonimizados",IF($K104="","",IF(ISERROR(FIND(" ",$K104)),LEFT($K104,1)&amp;REPT("*",LEN($K104)-1),LEFT($K104,1)&amp;REPT("*",FIND(" ",$K104)-2)&amp;" "&amp;MID($K104,FIND(" ",$K104)+1,1)&amp;REPT("*",LEN($K104)-FIND(" ",$K104)-1))),$K104)</f>
      </c>
      <c r="G104" s="6">
        <f>IF($B$3="Anonimizados",IF($L104="","",IF(LEN($L104)&lt;6,LEFT($L104,1)&amp;REPT("*",LEN($L104)-1),LEFT($L104,1)&amp;"****"&amp;MID($L104,6,LEN($L104)-5))),$L104)</f>
      </c>
      <c r="H104" s="6">
        <f>IF($I104="","",INDEX(Registro!$I$2:$I$501,$I104))</f>
      </c>
      <c r="I104" s="0">
        <f>IFERROR(MATCH(92,Registro!$AE$2:$AE$501,0),"")</f>
      </c>
      <c r="J104" s="0">
        <f>IF($I104="","",INDEX(Registro!$E$2:$E$501,$I104))</f>
      </c>
      <c r="K104" s="0">
        <f>IF($I104="","",INDEX(Registro!$F$2:$F$501,$I104))</f>
      </c>
      <c r="L104" s="0">
        <f>IF($I104="","",INDEX(Registro!$G$2:$G$501,$I104))</f>
      </c>
    </row>
    <row r="105" spans="1:8">
      <c r="A105" s="6">
        <f>IF($I105="","",93)</f>
      </c>
      <c r="B105" s="6">
        <f>IF($I105="","",INDEX(Registro!$B$2:$B$501,$I105))</f>
      </c>
      <c r="C105" s="6">
        <f>IF($I105="","",INDEX(Registro!$H$2:$H$501,$I105))</f>
      </c>
      <c r="D105" s="6">
        <f>IF($I105="","",INDEX(Registro!$D$2:$D$501,$I105))</f>
      </c>
      <c r="E105" s="6">
        <f>IF($B$3="Anonimizados",IF($J105="","",IF(ISERROR(FIND(" ",$J105)),$J105,LEFT($J105,FIND(" ",$J105)-1)&amp;" "&amp;MID($J105,FIND(" ",$J105)+1,1)&amp;REPT("*",LEN($J105)-FIND(" ",$J105)-1))),$J105)</f>
      </c>
      <c r="F105" s="6">
        <f>IF($B$3="Anonimizados",IF($K105="","",IF(ISERROR(FIND(" ",$K105)),LEFT($K105,1)&amp;REPT("*",LEN($K105)-1),LEFT($K105,1)&amp;REPT("*",FIND(" ",$K105)-2)&amp;" "&amp;MID($K105,FIND(" ",$K105)+1,1)&amp;REPT("*",LEN($K105)-FIND(" ",$K105)-1))),$K105)</f>
      </c>
      <c r="G105" s="6">
        <f>IF($B$3="Anonimizados",IF($L105="","",IF(LEN($L105)&lt;6,LEFT($L105,1)&amp;REPT("*",LEN($L105)-1),LEFT($L105,1)&amp;"****"&amp;MID($L105,6,LEN($L105)-5))),$L105)</f>
      </c>
      <c r="H105" s="6">
        <f>IF($I105="","",INDEX(Registro!$I$2:$I$501,$I105))</f>
      </c>
      <c r="I105" s="0">
        <f>IFERROR(MATCH(93,Registro!$AE$2:$AE$501,0),"")</f>
      </c>
      <c r="J105" s="0">
        <f>IF($I105="","",INDEX(Registro!$E$2:$E$501,$I105))</f>
      </c>
      <c r="K105" s="0">
        <f>IF($I105="","",INDEX(Registro!$F$2:$F$501,$I105))</f>
      </c>
      <c r="L105" s="0">
        <f>IF($I105="","",INDEX(Registro!$G$2:$G$501,$I105))</f>
      </c>
    </row>
    <row r="106" spans="1:8">
      <c r="A106" s="6">
        <f>IF($I106="","",94)</f>
      </c>
      <c r="B106" s="6">
        <f>IF($I106="","",INDEX(Registro!$B$2:$B$501,$I106))</f>
      </c>
      <c r="C106" s="6">
        <f>IF($I106="","",INDEX(Registro!$H$2:$H$501,$I106))</f>
      </c>
      <c r="D106" s="6">
        <f>IF($I106="","",INDEX(Registro!$D$2:$D$501,$I106))</f>
      </c>
      <c r="E106" s="6">
        <f>IF($B$3="Anonimizados",IF($J106="","",IF(ISERROR(FIND(" ",$J106)),$J106,LEFT($J106,FIND(" ",$J106)-1)&amp;" "&amp;MID($J106,FIND(" ",$J106)+1,1)&amp;REPT("*",LEN($J106)-FIND(" ",$J106)-1))),$J106)</f>
      </c>
      <c r="F106" s="6">
        <f>IF($B$3="Anonimizados",IF($K106="","",IF(ISERROR(FIND(" ",$K106)),LEFT($K106,1)&amp;REPT("*",LEN($K106)-1),LEFT($K106,1)&amp;REPT("*",FIND(" ",$K106)-2)&amp;" "&amp;MID($K106,FIND(" ",$K106)+1,1)&amp;REPT("*",LEN($K106)-FIND(" ",$K106)-1))),$K106)</f>
      </c>
      <c r="G106" s="6">
        <f>IF($B$3="Anonimizados",IF($L106="","",IF(LEN($L106)&lt;6,LEFT($L106,1)&amp;REPT("*",LEN($L106)-1),LEFT($L106,1)&amp;"****"&amp;MID($L106,6,LEN($L106)-5))),$L106)</f>
      </c>
      <c r="H106" s="6">
        <f>IF($I106="","",INDEX(Registro!$I$2:$I$501,$I106))</f>
      </c>
      <c r="I106" s="0">
        <f>IFERROR(MATCH(94,Registro!$AE$2:$AE$501,0),"")</f>
      </c>
      <c r="J106" s="0">
        <f>IF($I106="","",INDEX(Registro!$E$2:$E$501,$I106))</f>
      </c>
      <c r="K106" s="0">
        <f>IF($I106="","",INDEX(Registro!$F$2:$F$501,$I106))</f>
      </c>
      <c r="L106" s="0">
        <f>IF($I106="","",INDEX(Registro!$G$2:$G$501,$I106))</f>
      </c>
    </row>
    <row r="107" spans="1:8">
      <c r="A107" s="6">
        <f>IF($I107="","",95)</f>
      </c>
      <c r="B107" s="6">
        <f>IF($I107="","",INDEX(Registro!$B$2:$B$501,$I107))</f>
      </c>
      <c r="C107" s="6">
        <f>IF($I107="","",INDEX(Registro!$H$2:$H$501,$I107))</f>
      </c>
      <c r="D107" s="6">
        <f>IF($I107="","",INDEX(Registro!$D$2:$D$501,$I107))</f>
      </c>
      <c r="E107" s="6">
        <f>IF($B$3="Anonimizados",IF($J107="","",IF(ISERROR(FIND(" ",$J107)),$J107,LEFT($J107,FIND(" ",$J107)-1)&amp;" "&amp;MID($J107,FIND(" ",$J107)+1,1)&amp;REPT("*",LEN($J107)-FIND(" ",$J107)-1))),$J107)</f>
      </c>
      <c r="F107" s="6">
        <f>IF($B$3="Anonimizados",IF($K107="","",IF(ISERROR(FIND(" ",$K107)),LEFT($K107,1)&amp;REPT("*",LEN($K107)-1),LEFT($K107,1)&amp;REPT("*",FIND(" ",$K107)-2)&amp;" "&amp;MID($K107,FIND(" ",$K107)+1,1)&amp;REPT("*",LEN($K107)-FIND(" ",$K107)-1))),$K107)</f>
      </c>
      <c r="G107" s="6">
        <f>IF($B$3="Anonimizados",IF($L107="","",IF(LEN($L107)&lt;6,LEFT($L107,1)&amp;REPT("*",LEN($L107)-1),LEFT($L107,1)&amp;"****"&amp;MID($L107,6,LEN($L107)-5))),$L107)</f>
      </c>
      <c r="H107" s="6">
        <f>IF($I107="","",INDEX(Registro!$I$2:$I$501,$I107))</f>
      </c>
      <c r="I107" s="0">
        <f>IFERROR(MATCH(95,Registro!$AE$2:$AE$501,0),"")</f>
      </c>
      <c r="J107" s="0">
        <f>IF($I107="","",INDEX(Registro!$E$2:$E$501,$I107))</f>
      </c>
      <c r="K107" s="0">
        <f>IF($I107="","",INDEX(Registro!$F$2:$F$501,$I107))</f>
      </c>
      <c r="L107" s="0">
        <f>IF($I107="","",INDEX(Registro!$G$2:$G$501,$I107))</f>
      </c>
    </row>
    <row r="108" spans="1:8">
      <c r="A108" s="6">
        <f>IF($I108="","",96)</f>
      </c>
      <c r="B108" s="6">
        <f>IF($I108="","",INDEX(Registro!$B$2:$B$501,$I108))</f>
      </c>
      <c r="C108" s="6">
        <f>IF($I108="","",INDEX(Registro!$H$2:$H$501,$I108))</f>
      </c>
      <c r="D108" s="6">
        <f>IF($I108="","",INDEX(Registro!$D$2:$D$501,$I108))</f>
      </c>
      <c r="E108" s="6">
        <f>IF($B$3="Anonimizados",IF($J108="","",IF(ISERROR(FIND(" ",$J108)),$J108,LEFT($J108,FIND(" ",$J108)-1)&amp;" "&amp;MID($J108,FIND(" ",$J108)+1,1)&amp;REPT("*",LEN($J108)-FIND(" ",$J108)-1))),$J108)</f>
      </c>
      <c r="F108" s="6">
        <f>IF($B$3="Anonimizados",IF($K108="","",IF(ISERROR(FIND(" ",$K108)),LEFT($K108,1)&amp;REPT("*",LEN($K108)-1),LEFT($K108,1)&amp;REPT("*",FIND(" ",$K108)-2)&amp;" "&amp;MID($K108,FIND(" ",$K108)+1,1)&amp;REPT("*",LEN($K108)-FIND(" ",$K108)-1))),$K108)</f>
      </c>
      <c r="G108" s="6">
        <f>IF($B$3="Anonimizados",IF($L108="","",IF(LEN($L108)&lt;6,LEFT($L108,1)&amp;REPT("*",LEN($L108)-1),LEFT($L108,1)&amp;"****"&amp;MID($L108,6,LEN($L108)-5))),$L108)</f>
      </c>
      <c r="H108" s="6">
        <f>IF($I108="","",INDEX(Registro!$I$2:$I$501,$I108))</f>
      </c>
      <c r="I108" s="0">
        <f>IFERROR(MATCH(96,Registro!$AE$2:$AE$501,0),"")</f>
      </c>
      <c r="J108" s="0">
        <f>IF($I108="","",INDEX(Registro!$E$2:$E$501,$I108))</f>
      </c>
      <c r="K108" s="0">
        <f>IF($I108="","",INDEX(Registro!$F$2:$F$501,$I108))</f>
      </c>
      <c r="L108" s="0">
        <f>IF($I108="","",INDEX(Registro!$G$2:$G$501,$I108))</f>
      </c>
    </row>
    <row r="109" spans="1:8">
      <c r="A109" s="6">
        <f>IF($I109="","",97)</f>
      </c>
      <c r="B109" s="6">
        <f>IF($I109="","",INDEX(Registro!$B$2:$B$501,$I109))</f>
      </c>
      <c r="C109" s="6">
        <f>IF($I109="","",INDEX(Registro!$H$2:$H$501,$I109))</f>
      </c>
      <c r="D109" s="6">
        <f>IF($I109="","",INDEX(Registro!$D$2:$D$501,$I109))</f>
      </c>
      <c r="E109" s="6">
        <f>IF($B$3="Anonimizados",IF($J109="","",IF(ISERROR(FIND(" ",$J109)),$J109,LEFT($J109,FIND(" ",$J109)-1)&amp;" "&amp;MID($J109,FIND(" ",$J109)+1,1)&amp;REPT("*",LEN($J109)-FIND(" ",$J109)-1))),$J109)</f>
      </c>
      <c r="F109" s="6">
        <f>IF($B$3="Anonimizados",IF($K109="","",IF(ISERROR(FIND(" ",$K109)),LEFT($K109,1)&amp;REPT("*",LEN($K109)-1),LEFT($K109,1)&amp;REPT("*",FIND(" ",$K109)-2)&amp;" "&amp;MID($K109,FIND(" ",$K109)+1,1)&amp;REPT("*",LEN($K109)-FIND(" ",$K109)-1))),$K109)</f>
      </c>
      <c r="G109" s="6">
        <f>IF($B$3="Anonimizados",IF($L109="","",IF(LEN($L109)&lt;6,LEFT($L109,1)&amp;REPT("*",LEN($L109)-1),LEFT($L109,1)&amp;"****"&amp;MID($L109,6,LEN($L109)-5))),$L109)</f>
      </c>
      <c r="H109" s="6">
        <f>IF($I109="","",INDEX(Registro!$I$2:$I$501,$I109))</f>
      </c>
      <c r="I109" s="0">
        <f>IFERROR(MATCH(97,Registro!$AE$2:$AE$501,0),"")</f>
      </c>
      <c r="J109" s="0">
        <f>IF($I109="","",INDEX(Registro!$E$2:$E$501,$I109))</f>
      </c>
      <c r="K109" s="0">
        <f>IF($I109="","",INDEX(Registro!$F$2:$F$501,$I109))</f>
      </c>
      <c r="L109" s="0">
        <f>IF($I109="","",INDEX(Registro!$G$2:$G$501,$I109))</f>
      </c>
    </row>
    <row r="110" spans="1:8">
      <c r="A110" s="6">
        <f>IF($I110="","",98)</f>
      </c>
      <c r="B110" s="6">
        <f>IF($I110="","",INDEX(Registro!$B$2:$B$501,$I110))</f>
      </c>
      <c r="C110" s="6">
        <f>IF($I110="","",INDEX(Registro!$H$2:$H$501,$I110))</f>
      </c>
      <c r="D110" s="6">
        <f>IF($I110="","",INDEX(Registro!$D$2:$D$501,$I110))</f>
      </c>
      <c r="E110" s="6">
        <f>IF($B$3="Anonimizados",IF($J110="","",IF(ISERROR(FIND(" ",$J110)),$J110,LEFT($J110,FIND(" ",$J110)-1)&amp;" "&amp;MID($J110,FIND(" ",$J110)+1,1)&amp;REPT("*",LEN($J110)-FIND(" ",$J110)-1))),$J110)</f>
      </c>
      <c r="F110" s="6">
        <f>IF($B$3="Anonimizados",IF($K110="","",IF(ISERROR(FIND(" ",$K110)),LEFT($K110,1)&amp;REPT("*",LEN($K110)-1),LEFT($K110,1)&amp;REPT("*",FIND(" ",$K110)-2)&amp;" "&amp;MID($K110,FIND(" ",$K110)+1,1)&amp;REPT("*",LEN($K110)-FIND(" ",$K110)-1))),$K110)</f>
      </c>
      <c r="G110" s="6">
        <f>IF($B$3="Anonimizados",IF($L110="","",IF(LEN($L110)&lt;6,LEFT($L110,1)&amp;REPT("*",LEN($L110)-1),LEFT($L110,1)&amp;"****"&amp;MID($L110,6,LEN($L110)-5))),$L110)</f>
      </c>
      <c r="H110" s="6">
        <f>IF($I110="","",INDEX(Registro!$I$2:$I$501,$I110))</f>
      </c>
      <c r="I110" s="0">
        <f>IFERROR(MATCH(98,Registro!$AE$2:$AE$501,0),"")</f>
      </c>
      <c r="J110" s="0">
        <f>IF($I110="","",INDEX(Registro!$E$2:$E$501,$I110))</f>
      </c>
      <c r="K110" s="0">
        <f>IF($I110="","",INDEX(Registro!$F$2:$F$501,$I110))</f>
      </c>
      <c r="L110" s="0">
        <f>IF($I110="","",INDEX(Registro!$G$2:$G$501,$I110))</f>
      </c>
    </row>
    <row r="111" spans="1:8">
      <c r="A111" s="6">
        <f>IF($I111="","",99)</f>
      </c>
      <c r="B111" s="6">
        <f>IF($I111="","",INDEX(Registro!$B$2:$B$501,$I111))</f>
      </c>
      <c r="C111" s="6">
        <f>IF($I111="","",INDEX(Registro!$H$2:$H$501,$I111))</f>
      </c>
      <c r="D111" s="6">
        <f>IF($I111="","",INDEX(Registro!$D$2:$D$501,$I111))</f>
      </c>
      <c r="E111" s="6">
        <f>IF($B$3="Anonimizados",IF($J111="","",IF(ISERROR(FIND(" ",$J111)),$J111,LEFT($J111,FIND(" ",$J111)-1)&amp;" "&amp;MID($J111,FIND(" ",$J111)+1,1)&amp;REPT("*",LEN($J111)-FIND(" ",$J111)-1))),$J111)</f>
      </c>
      <c r="F111" s="6">
        <f>IF($B$3="Anonimizados",IF($K111="","",IF(ISERROR(FIND(" ",$K111)),LEFT($K111,1)&amp;REPT("*",LEN($K111)-1),LEFT($K111,1)&amp;REPT("*",FIND(" ",$K111)-2)&amp;" "&amp;MID($K111,FIND(" ",$K111)+1,1)&amp;REPT("*",LEN($K111)-FIND(" ",$K111)-1))),$K111)</f>
      </c>
      <c r="G111" s="6">
        <f>IF($B$3="Anonimizados",IF($L111="","",IF(LEN($L111)&lt;6,LEFT($L111,1)&amp;REPT("*",LEN($L111)-1),LEFT($L111,1)&amp;"****"&amp;MID($L111,6,LEN($L111)-5))),$L111)</f>
      </c>
      <c r="H111" s="6">
        <f>IF($I111="","",INDEX(Registro!$I$2:$I$501,$I111))</f>
      </c>
      <c r="I111" s="0">
        <f>IFERROR(MATCH(99,Registro!$AE$2:$AE$501,0),"")</f>
      </c>
      <c r="J111" s="0">
        <f>IF($I111="","",INDEX(Registro!$E$2:$E$501,$I111))</f>
      </c>
      <c r="K111" s="0">
        <f>IF($I111="","",INDEX(Registro!$F$2:$F$501,$I111))</f>
      </c>
      <c r="L111" s="0">
        <f>IF($I111="","",INDEX(Registro!$G$2:$G$501,$I111))</f>
      </c>
    </row>
    <row r="112" spans="1:8">
      <c r="A112" s="6">
        <f>IF($I112="","",100)</f>
      </c>
      <c r="B112" s="6">
        <f>IF($I112="","",INDEX(Registro!$B$2:$B$501,$I112))</f>
      </c>
      <c r="C112" s="6">
        <f>IF($I112="","",INDEX(Registro!$H$2:$H$501,$I112))</f>
      </c>
      <c r="D112" s="6">
        <f>IF($I112="","",INDEX(Registro!$D$2:$D$501,$I112))</f>
      </c>
      <c r="E112" s="6">
        <f>IF($B$3="Anonimizados",IF($J112="","",IF(ISERROR(FIND(" ",$J112)),$J112,LEFT($J112,FIND(" ",$J112)-1)&amp;" "&amp;MID($J112,FIND(" ",$J112)+1,1)&amp;REPT("*",LEN($J112)-FIND(" ",$J112)-1))),$J112)</f>
      </c>
      <c r="F112" s="6">
        <f>IF($B$3="Anonimizados",IF($K112="","",IF(ISERROR(FIND(" ",$K112)),LEFT($K112,1)&amp;REPT("*",LEN($K112)-1),LEFT($K112,1)&amp;REPT("*",FIND(" ",$K112)-2)&amp;" "&amp;MID($K112,FIND(" ",$K112)+1,1)&amp;REPT("*",LEN($K112)-FIND(" ",$K112)-1))),$K112)</f>
      </c>
      <c r="G112" s="6">
        <f>IF($B$3="Anonimizados",IF($L112="","",IF(LEN($L112)&lt;6,LEFT($L112,1)&amp;REPT("*",LEN($L112)-1),LEFT($L112,1)&amp;"****"&amp;MID($L112,6,LEN($L112)-5))),$L112)</f>
      </c>
      <c r="H112" s="6">
        <f>IF($I112="","",INDEX(Registro!$I$2:$I$501,$I112))</f>
      </c>
      <c r="I112" s="0">
        <f>IFERROR(MATCH(100,Registro!$AE$2:$AE$501,0),"")</f>
      </c>
      <c r="J112" s="0">
        <f>IF($I112="","",INDEX(Registro!$E$2:$E$501,$I112))</f>
      </c>
      <c r="K112" s="0">
        <f>IF($I112="","",INDEX(Registro!$F$2:$F$501,$I112))</f>
      </c>
      <c r="L112" s="0">
        <f>IF($I112="","",INDEX(Registro!$G$2:$G$501,$I112))</f>
      </c>
    </row>
    <row r="113" spans="1:8">
      <c r="A113" s="6">
        <f>IF($I113="","",101)</f>
      </c>
      <c r="B113" s="6">
        <f>IF($I113="","",INDEX(Registro!$B$2:$B$501,$I113))</f>
      </c>
      <c r="C113" s="6">
        <f>IF($I113="","",INDEX(Registro!$H$2:$H$501,$I113))</f>
      </c>
      <c r="D113" s="6">
        <f>IF($I113="","",INDEX(Registro!$D$2:$D$501,$I113))</f>
      </c>
      <c r="E113" s="6">
        <f>IF($B$3="Anonimizados",IF($J113="","",IF(ISERROR(FIND(" ",$J113)),$J113,LEFT($J113,FIND(" ",$J113)-1)&amp;" "&amp;MID($J113,FIND(" ",$J113)+1,1)&amp;REPT("*",LEN($J113)-FIND(" ",$J113)-1))),$J113)</f>
      </c>
      <c r="F113" s="6">
        <f>IF($B$3="Anonimizados",IF($K113="","",IF(ISERROR(FIND(" ",$K113)),LEFT($K113,1)&amp;REPT("*",LEN($K113)-1),LEFT($K113,1)&amp;REPT("*",FIND(" ",$K113)-2)&amp;" "&amp;MID($K113,FIND(" ",$K113)+1,1)&amp;REPT("*",LEN($K113)-FIND(" ",$K113)-1))),$K113)</f>
      </c>
      <c r="G113" s="6">
        <f>IF($B$3="Anonimizados",IF($L113="","",IF(LEN($L113)&lt;6,LEFT($L113,1)&amp;REPT("*",LEN($L113)-1),LEFT($L113,1)&amp;"****"&amp;MID($L113,6,LEN($L113)-5))),$L113)</f>
      </c>
      <c r="H113" s="6">
        <f>IF($I113="","",INDEX(Registro!$I$2:$I$501,$I113))</f>
      </c>
      <c r="I113" s="0">
        <f>IFERROR(MATCH(101,Registro!$AE$2:$AE$501,0),"")</f>
      </c>
      <c r="J113" s="0">
        <f>IF($I113="","",INDEX(Registro!$E$2:$E$501,$I113))</f>
      </c>
      <c r="K113" s="0">
        <f>IF($I113="","",INDEX(Registro!$F$2:$F$501,$I113))</f>
      </c>
      <c r="L113" s="0">
        <f>IF($I113="","",INDEX(Registro!$G$2:$G$501,$I113))</f>
      </c>
    </row>
    <row r="114" spans="1:8">
      <c r="A114" s="6">
        <f>IF($I114="","",102)</f>
      </c>
      <c r="B114" s="6">
        <f>IF($I114="","",INDEX(Registro!$B$2:$B$501,$I114))</f>
      </c>
      <c r="C114" s="6">
        <f>IF($I114="","",INDEX(Registro!$H$2:$H$501,$I114))</f>
      </c>
      <c r="D114" s="6">
        <f>IF($I114="","",INDEX(Registro!$D$2:$D$501,$I114))</f>
      </c>
      <c r="E114" s="6">
        <f>IF($B$3="Anonimizados",IF($J114="","",IF(ISERROR(FIND(" ",$J114)),$J114,LEFT($J114,FIND(" ",$J114)-1)&amp;" "&amp;MID($J114,FIND(" ",$J114)+1,1)&amp;REPT("*",LEN($J114)-FIND(" ",$J114)-1))),$J114)</f>
      </c>
      <c r="F114" s="6">
        <f>IF($B$3="Anonimizados",IF($K114="","",IF(ISERROR(FIND(" ",$K114)),LEFT($K114,1)&amp;REPT("*",LEN($K114)-1),LEFT($K114,1)&amp;REPT("*",FIND(" ",$K114)-2)&amp;" "&amp;MID($K114,FIND(" ",$K114)+1,1)&amp;REPT("*",LEN($K114)-FIND(" ",$K114)-1))),$K114)</f>
      </c>
      <c r="G114" s="6">
        <f>IF($B$3="Anonimizados",IF($L114="","",IF(LEN($L114)&lt;6,LEFT($L114,1)&amp;REPT("*",LEN($L114)-1),LEFT($L114,1)&amp;"****"&amp;MID($L114,6,LEN($L114)-5))),$L114)</f>
      </c>
      <c r="H114" s="6">
        <f>IF($I114="","",INDEX(Registro!$I$2:$I$501,$I114))</f>
      </c>
      <c r="I114" s="0">
        <f>IFERROR(MATCH(102,Registro!$AE$2:$AE$501,0),"")</f>
      </c>
      <c r="J114" s="0">
        <f>IF($I114="","",INDEX(Registro!$E$2:$E$501,$I114))</f>
      </c>
      <c r="K114" s="0">
        <f>IF($I114="","",INDEX(Registro!$F$2:$F$501,$I114))</f>
      </c>
      <c r="L114" s="0">
        <f>IF($I114="","",INDEX(Registro!$G$2:$G$501,$I114))</f>
      </c>
    </row>
    <row r="115" spans="1:8">
      <c r="A115" s="6">
        <f>IF($I115="","",103)</f>
      </c>
      <c r="B115" s="6">
        <f>IF($I115="","",INDEX(Registro!$B$2:$B$501,$I115))</f>
      </c>
      <c r="C115" s="6">
        <f>IF($I115="","",INDEX(Registro!$H$2:$H$501,$I115))</f>
      </c>
      <c r="D115" s="6">
        <f>IF($I115="","",INDEX(Registro!$D$2:$D$501,$I115))</f>
      </c>
      <c r="E115" s="6">
        <f>IF($B$3="Anonimizados",IF($J115="","",IF(ISERROR(FIND(" ",$J115)),$J115,LEFT($J115,FIND(" ",$J115)-1)&amp;" "&amp;MID($J115,FIND(" ",$J115)+1,1)&amp;REPT("*",LEN($J115)-FIND(" ",$J115)-1))),$J115)</f>
      </c>
      <c r="F115" s="6">
        <f>IF($B$3="Anonimizados",IF($K115="","",IF(ISERROR(FIND(" ",$K115)),LEFT($K115,1)&amp;REPT("*",LEN($K115)-1),LEFT($K115,1)&amp;REPT("*",FIND(" ",$K115)-2)&amp;" "&amp;MID($K115,FIND(" ",$K115)+1,1)&amp;REPT("*",LEN($K115)-FIND(" ",$K115)-1))),$K115)</f>
      </c>
      <c r="G115" s="6">
        <f>IF($B$3="Anonimizados",IF($L115="","",IF(LEN($L115)&lt;6,LEFT($L115,1)&amp;REPT("*",LEN($L115)-1),LEFT($L115,1)&amp;"****"&amp;MID($L115,6,LEN($L115)-5))),$L115)</f>
      </c>
      <c r="H115" s="6">
        <f>IF($I115="","",INDEX(Registro!$I$2:$I$501,$I115))</f>
      </c>
      <c r="I115" s="0">
        <f>IFERROR(MATCH(103,Registro!$AE$2:$AE$501,0),"")</f>
      </c>
      <c r="J115" s="0">
        <f>IF($I115="","",INDEX(Registro!$E$2:$E$501,$I115))</f>
      </c>
      <c r="K115" s="0">
        <f>IF($I115="","",INDEX(Registro!$F$2:$F$501,$I115))</f>
      </c>
      <c r="L115" s="0">
        <f>IF($I115="","",INDEX(Registro!$G$2:$G$501,$I115))</f>
      </c>
    </row>
    <row r="116" spans="1:8">
      <c r="A116" s="6">
        <f>IF($I116="","",104)</f>
      </c>
      <c r="B116" s="6">
        <f>IF($I116="","",INDEX(Registro!$B$2:$B$501,$I116))</f>
      </c>
      <c r="C116" s="6">
        <f>IF($I116="","",INDEX(Registro!$H$2:$H$501,$I116))</f>
      </c>
      <c r="D116" s="6">
        <f>IF($I116="","",INDEX(Registro!$D$2:$D$501,$I116))</f>
      </c>
      <c r="E116" s="6">
        <f>IF($B$3="Anonimizados",IF($J116="","",IF(ISERROR(FIND(" ",$J116)),$J116,LEFT($J116,FIND(" ",$J116)-1)&amp;" "&amp;MID($J116,FIND(" ",$J116)+1,1)&amp;REPT("*",LEN($J116)-FIND(" ",$J116)-1))),$J116)</f>
      </c>
      <c r="F116" s="6">
        <f>IF($B$3="Anonimizados",IF($K116="","",IF(ISERROR(FIND(" ",$K116)),LEFT($K116,1)&amp;REPT("*",LEN($K116)-1),LEFT($K116,1)&amp;REPT("*",FIND(" ",$K116)-2)&amp;" "&amp;MID($K116,FIND(" ",$K116)+1,1)&amp;REPT("*",LEN($K116)-FIND(" ",$K116)-1))),$K116)</f>
      </c>
      <c r="G116" s="6">
        <f>IF($B$3="Anonimizados",IF($L116="","",IF(LEN($L116)&lt;6,LEFT($L116,1)&amp;REPT("*",LEN($L116)-1),LEFT($L116,1)&amp;"****"&amp;MID($L116,6,LEN($L116)-5))),$L116)</f>
      </c>
      <c r="H116" s="6">
        <f>IF($I116="","",INDEX(Registro!$I$2:$I$501,$I116))</f>
      </c>
      <c r="I116" s="0">
        <f>IFERROR(MATCH(104,Registro!$AE$2:$AE$501,0),"")</f>
      </c>
      <c r="J116" s="0">
        <f>IF($I116="","",INDEX(Registro!$E$2:$E$501,$I116))</f>
      </c>
      <c r="K116" s="0">
        <f>IF($I116="","",INDEX(Registro!$F$2:$F$501,$I116))</f>
      </c>
      <c r="L116" s="0">
        <f>IF($I116="","",INDEX(Registro!$G$2:$G$501,$I116))</f>
      </c>
    </row>
    <row r="117" spans="1:8">
      <c r="A117" s="6">
        <f>IF($I117="","",105)</f>
      </c>
      <c r="B117" s="6">
        <f>IF($I117="","",INDEX(Registro!$B$2:$B$501,$I117))</f>
      </c>
      <c r="C117" s="6">
        <f>IF($I117="","",INDEX(Registro!$H$2:$H$501,$I117))</f>
      </c>
      <c r="D117" s="6">
        <f>IF($I117="","",INDEX(Registro!$D$2:$D$501,$I117))</f>
      </c>
      <c r="E117" s="6">
        <f>IF($B$3="Anonimizados",IF($J117="","",IF(ISERROR(FIND(" ",$J117)),$J117,LEFT($J117,FIND(" ",$J117)-1)&amp;" "&amp;MID($J117,FIND(" ",$J117)+1,1)&amp;REPT("*",LEN($J117)-FIND(" ",$J117)-1))),$J117)</f>
      </c>
      <c r="F117" s="6">
        <f>IF($B$3="Anonimizados",IF($K117="","",IF(ISERROR(FIND(" ",$K117)),LEFT($K117,1)&amp;REPT("*",LEN($K117)-1),LEFT($K117,1)&amp;REPT("*",FIND(" ",$K117)-2)&amp;" "&amp;MID($K117,FIND(" ",$K117)+1,1)&amp;REPT("*",LEN($K117)-FIND(" ",$K117)-1))),$K117)</f>
      </c>
      <c r="G117" s="6">
        <f>IF($B$3="Anonimizados",IF($L117="","",IF(LEN($L117)&lt;6,LEFT($L117,1)&amp;REPT("*",LEN($L117)-1),LEFT($L117,1)&amp;"****"&amp;MID($L117,6,LEN($L117)-5))),$L117)</f>
      </c>
      <c r="H117" s="6">
        <f>IF($I117="","",INDEX(Registro!$I$2:$I$501,$I117))</f>
      </c>
      <c r="I117" s="0">
        <f>IFERROR(MATCH(105,Registro!$AE$2:$AE$501,0),"")</f>
      </c>
      <c r="J117" s="0">
        <f>IF($I117="","",INDEX(Registro!$E$2:$E$501,$I117))</f>
      </c>
      <c r="K117" s="0">
        <f>IF($I117="","",INDEX(Registro!$F$2:$F$501,$I117))</f>
      </c>
      <c r="L117" s="0">
        <f>IF($I117="","",INDEX(Registro!$G$2:$G$501,$I117))</f>
      </c>
    </row>
    <row r="118" spans="1:8">
      <c r="A118" s="6">
        <f>IF($I118="","",106)</f>
      </c>
      <c r="B118" s="6">
        <f>IF($I118="","",INDEX(Registro!$B$2:$B$501,$I118))</f>
      </c>
      <c r="C118" s="6">
        <f>IF($I118="","",INDEX(Registro!$H$2:$H$501,$I118))</f>
      </c>
      <c r="D118" s="6">
        <f>IF($I118="","",INDEX(Registro!$D$2:$D$501,$I118))</f>
      </c>
      <c r="E118" s="6">
        <f>IF($B$3="Anonimizados",IF($J118="","",IF(ISERROR(FIND(" ",$J118)),$J118,LEFT($J118,FIND(" ",$J118)-1)&amp;" "&amp;MID($J118,FIND(" ",$J118)+1,1)&amp;REPT("*",LEN($J118)-FIND(" ",$J118)-1))),$J118)</f>
      </c>
      <c r="F118" s="6">
        <f>IF($B$3="Anonimizados",IF($K118="","",IF(ISERROR(FIND(" ",$K118)),LEFT($K118,1)&amp;REPT("*",LEN($K118)-1),LEFT($K118,1)&amp;REPT("*",FIND(" ",$K118)-2)&amp;" "&amp;MID($K118,FIND(" ",$K118)+1,1)&amp;REPT("*",LEN($K118)-FIND(" ",$K118)-1))),$K118)</f>
      </c>
      <c r="G118" s="6">
        <f>IF($B$3="Anonimizados",IF($L118="","",IF(LEN($L118)&lt;6,LEFT($L118,1)&amp;REPT("*",LEN($L118)-1),LEFT($L118,1)&amp;"****"&amp;MID($L118,6,LEN($L118)-5))),$L118)</f>
      </c>
      <c r="H118" s="6">
        <f>IF($I118="","",INDEX(Registro!$I$2:$I$501,$I118))</f>
      </c>
      <c r="I118" s="0">
        <f>IFERROR(MATCH(106,Registro!$AE$2:$AE$501,0),"")</f>
      </c>
      <c r="J118" s="0">
        <f>IF($I118="","",INDEX(Registro!$E$2:$E$501,$I118))</f>
      </c>
      <c r="K118" s="0">
        <f>IF($I118="","",INDEX(Registro!$F$2:$F$501,$I118))</f>
      </c>
      <c r="L118" s="0">
        <f>IF($I118="","",INDEX(Registro!$G$2:$G$501,$I118))</f>
      </c>
    </row>
    <row r="119" spans="1:8">
      <c r="A119" s="6">
        <f>IF($I119="","",107)</f>
      </c>
      <c r="B119" s="6">
        <f>IF($I119="","",INDEX(Registro!$B$2:$B$501,$I119))</f>
      </c>
      <c r="C119" s="6">
        <f>IF($I119="","",INDEX(Registro!$H$2:$H$501,$I119))</f>
      </c>
      <c r="D119" s="6">
        <f>IF($I119="","",INDEX(Registro!$D$2:$D$501,$I119))</f>
      </c>
      <c r="E119" s="6">
        <f>IF($B$3="Anonimizados",IF($J119="","",IF(ISERROR(FIND(" ",$J119)),$J119,LEFT($J119,FIND(" ",$J119)-1)&amp;" "&amp;MID($J119,FIND(" ",$J119)+1,1)&amp;REPT("*",LEN($J119)-FIND(" ",$J119)-1))),$J119)</f>
      </c>
      <c r="F119" s="6">
        <f>IF($B$3="Anonimizados",IF($K119="","",IF(ISERROR(FIND(" ",$K119)),LEFT($K119,1)&amp;REPT("*",LEN($K119)-1),LEFT($K119,1)&amp;REPT("*",FIND(" ",$K119)-2)&amp;" "&amp;MID($K119,FIND(" ",$K119)+1,1)&amp;REPT("*",LEN($K119)-FIND(" ",$K119)-1))),$K119)</f>
      </c>
      <c r="G119" s="6">
        <f>IF($B$3="Anonimizados",IF($L119="","",IF(LEN($L119)&lt;6,LEFT($L119,1)&amp;REPT("*",LEN($L119)-1),LEFT($L119,1)&amp;"****"&amp;MID($L119,6,LEN($L119)-5))),$L119)</f>
      </c>
      <c r="H119" s="6">
        <f>IF($I119="","",INDEX(Registro!$I$2:$I$501,$I119))</f>
      </c>
      <c r="I119" s="0">
        <f>IFERROR(MATCH(107,Registro!$AE$2:$AE$501,0),"")</f>
      </c>
      <c r="J119" s="0">
        <f>IF($I119="","",INDEX(Registro!$E$2:$E$501,$I119))</f>
      </c>
      <c r="K119" s="0">
        <f>IF($I119="","",INDEX(Registro!$F$2:$F$501,$I119))</f>
      </c>
      <c r="L119" s="0">
        <f>IF($I119="","",INDEX(Registro!$G$2:$G$501,$I119))</f>
      </c>
    </row>
    <row r="120" spans="1:8">
      <c r="A120" s="6">
        <f>IF($I120="","",108)</f>
      </c>
      <c r="B120" s="6">
        <f>IF($I120="","",INDEX(Registro!$B$2:$B$501,$I120))</f>
      </c>
      <c r="C120" s="6">
        <f>IF($I120="","",INDEX(Registro!$H$2:$H$501,$I120))</f>
      </c>
      <c r="D120" s="6">
        <f>IF($I120="","",INDEX(Registro!$D$2:$D$501,$I120))</f>
      </c>
      <c r="E120" s="6">
        <f>IF($B$3="Anonimizados",IF($J120="","",IF(ISERROR(FIND(" ",$J120)),$J120,LEFT($J120,FIND(" ",$J120)-1)&amp;" "&amp;MID($J120,FIND(" ",$J120)+1,1)&amp;REPT("*",LEN($J120)-FIND(" ",$J120)-1))),$J120)</f>
      </c>
      <c r="F120" s="6">
        <f>IF($B$3="Anonimizados",IF($K120="","",IF(ISERROR(FIND(" ",$K120)),LEFT($K120,1)&amp;REPT("*",LEN($K120)-1),LEFT($K120,1)&amp;REPT("*",FIND(" ",$K120)-2)&amp;" "&amp;MID($K120,FIND(" ",$K120)+1,1)&amp;REPT("*",LEN($K120)-FIND(" ",$K120)-1))),$K120)</f>
      </c>
      <c r="G120" s="6">
        <f>IF($B$3="Anonimizados",IF($L120="","",IF(LEN($L120)&lt;6,LEFT($L120,1)&amp;REPT("*",LEN($L120)-1),LEFT($L120,1)&amp;"****"&amp;MID($L120,6,LEN($L120)-5))),$L120)</f>
      </c>
      <c r="H120" s="6">
        <f>IF($I120="","",INDEX(Registro!$I$2:$I$501,$I120))</f>
      </c>
      <c r="I120" s="0">
        <f>IFERROR(MATCH(108,Registro!$AE$2:$AE$501,0),"")</f>
      </c>
      <c r="J120" s="0">
        <f>IF($I120="","",INDEX(Registro!$E$2:$E$501,$I120))</f>
      </c>
      <c r="K120" s="0">
        <f>IF($I120="","",INDEX(Registro!$F$2:$F$501,$I120))</f>
      </c>
      <c r="L120" s="0">
        <f>IF($I120="","",INDEX(Registro!$G$2:$G$501,$I120))</f>
      </c>
    </row>
    <row r="121" spans="1:8">
      <c r="A121" s="6">
        <f>IF($I121="","",109)</f>
      </c>
      <c r="B121" s="6">
        <f>IF($I121="","",INDEX(Registro!$B$2:$B$501,$I121))</f>
      </c>
      <c r="C121" s="6">
        <f>IF($I121="","",INDEX(Registro!$H$2:$H$501,$I121))</f>
      </c>
      <c r="D121" s="6">
        <f>IF($I121="","",INDEX(Registro!$D$2:$D$501,$I121))</f>
      </c>
      <c r="E121" s="6">
        <f>IF($B$3="Anonimizados",IF($J121="","",IF(ISERROR(FIND(" ",$J121)),$J121,LEFT($J121,FIND(" ",$J121)-1)&amp;" "&amp;MID($J121,FIND(" ",$J121)+1,1)&amp;REPT("*",LEN($J121)-FIND(" ",$J121)-1))),$J121)</f>
      </c>
      <c r="F121" s="6">
        <f>IF($B$3="Anonimizados",IF($K121="","",IF(ISERROR(FIND(" ",$K121)),LEFT($K121,1)&amp;REPT("*",LEN($K121)-1),LEFT($K121,1)&amp;REPT("*",FIND(" ",$K121)-2)&amp;" "&amp;MID($K121,FIND(" ",$K121)+1,1)&amp;REPT("*",LEN($K121)-FIND(" ",$K121)-1))),$K121)</f>
      </c>
      <c r="G121" s="6">
        <f>IF($B$3="Anonimizados",IF($L121="","",IF(LEN($L121)&lt;6,LEFT($L121,1)&amp;REPT("*",LEN($L121)-1),LEFT($L121,1)&amp;"****"&amp;MID($L121,6,LEN($L121)-5))),$L121)</f>
      </c>
      <c r="H121" s="6">
        <f>IF($I121="","",INDEX(Registro!$I$2:$I$501,$I121))</f>
      </c>
      <c r="I121" s="0">
        <f>IFERROR(MATCH(109,Registro!$AE$2:$AE$501,0),"")</f>
      </c>
      <c r="J121" s="0">
        <f>IF($I121="","",INDEX(Registro!$E$2:$E$501,$I121))</f>
      </c>
      <c r="K121" s="0">
        <f>IF($I121="","",INDEX(Registro!$F$2:$F$501,$I121))</f>
      </c>
      <c r="L121" s="0">
        <f>IF($I121="","",INDEX(Registro!$G$2:$G$501,$I121))</f>
      </c>
    </row>
    <row r="122" spans="1:8">
      <c r="A122" s="6">
        <f>IF($I122="","",110)</f>
      </c>
      <c r="B122" s="6">
        <f>IF($I122="","",INDEX(Registro!$B$2:$B$501,$I122))</f>
      </c>
      <c r="C122" s="6">
        <f>IF($I122="","",INDEX(Registro!$H$2:$H$501,$I122))</f>
      </c>
      <c r="D122" s="6">
        <f>IF($I122="","",INDEX(Registro!$D$2:$D$501,$I122))</f>
      </c>
      <c r="E122" s="6">
        <f>IF($B$3="Anonimizados",IF($J122="","",IF(ISERROR(FIND(" ",$J122)),$J122,LEFT($J122,FIND(" ",$J122)-1)&amp;" "&amp;MID($J122,FIND(" ",$J122)+1,1)&amp;REPT("*",LEN($J122)-FIND(" ",$J122)-1))),$J122)</f>
      </c>
      <c r="F122" s="6">
        <f>IF($B$3="Anonimizados",IF($K122="","",IF(ISERROR(FIND(" ",$K122)),LEFT($K122,1)&amp;REPT("*",LEN($K122)-1),LEFT($K122,1)&amp;REPT("*",FIND(" ",$K122)-2)&amp;" "&amp;MID($K122,FIND(" ",$K122)+1,1)&amp;REPT("*",LEN($K122)-FIND(" ",$K122)-1))),$K122)</f>
      </c>
      <c r="G122" s="6">
        <f>IF($B$3="Anonimizados",IF($L122="","",IF(LEN($L122)&lt;6,LEFT($L122,1)&amp;REPT("*",LEN($L122)-1),LEFT($L122,1)&amp;"****"&amp;MID($L122,6,LEN($L122)-5))),$L122)</f>
      </c>
      <c r="H122" s="6">
        <f>IF($I122="","",INDEX(Registro!$I$2:$I$501,$I122))</f>
      </c>
      <c r="I122" s="0">
        <f>IFERROR(MATCH(110,Registro!$AE$2:$AE$501,0),"")</f>
      </c>
      <c r="J122" s="0">
        <f>IF($I122="","",INDEX(Registro!$E$2:$E$501,$I122))</f>
      </c>
      <c r="K122" s="0">
        <f>IF($I122="","",INDEX(Registro!$F$2:$F$501,$I122))</f>
      </c>
      <c r="L122" s="0">
        <f>IF($I122="","",INDEX(Registro!$G$2:$G$501,$I122))</f>
      </c>
    </row>
    <row r="123" spans="1:8">
      <c r="A123" s="6">
        <f>IF($I123="","",111)</f>
      </c>
      <c r="B123" s="6">
        <f>IF($I123="","",INDEX(Registro!$B$2:$B$501,$I123))</f>
      </c>
      <c r="C123" s="6">
        <f>IF($I123="","",INDEX(Registro!$H$2:$H$501,$I123))</f>
      </c>
      <c r="D123" s="6">
        <f>IF($I123="","",INDEX(Registro!$D$2:$D$501,$I123))</f>
      </c>
      <c r="E123" s="6">
        <f>IF($B$3="Anonimizados",IF($J123="","",IF(ISERROR(FIND(" ",$J123)),$J123,LEFT($J123,FIND(" ",$J123)-1)&amp;" "&amp;MID($J123,FIND(" ",$J123)+1,1)&amp;REPT("*",LEN($J123)-FIND(" ",$J123)-1))),$J123)</f>
      </c>
      <c r="F123" s="6">
        <f>IF($B$3="Anonimizados",IF($K123="","",IF(ISERROR(FIND(" ",$K123)),LEFT($K123,1)&amp;REPT("*",LEN($K123)-1),LEFT($K123,1)&amp;REPT("*",FIND(" ",$K123)-2)&amp;" "&amp;MID($K123,FIND(" ",$K123)+1,1)&amp;REPT("*",LEN($K123)-FIND(" ",$K123)-1))),$K123)</f>
      </c>
      <c r="G123" s="6">
        <f>IF($B$3="Anonimizados",IF($L123="","",IF(LEN($L123)&lt;6,LEFT($L123,1)&amp;REPT("*",LEN($L123)-1),LEFT($L123,1)&amp;"****"&amp;MID($L123,6,LEN($L123)-5))),$L123)</f>
      </c>
      <c r="H123" s="6">
        <f>IF($I123="","",INDEX(Registro!$I$2:$I$501,$I123))</f>
      </c>
      <c r="I123" s="0">
        <f>IFERROR(MATCH(111,Registro!$AE$2:$AE$501,0),"")</f>
      </c>
      <c r="J123" s="0">
        <f>IF($I123="","",INDEX(Registro!$E$2:$E$501,$I123))</f>
      </c>
      <c r="K123" s="0">
        <f>IF($I123="","",INDEX(Registro!$F$2:$F$501,$I123))</f>
      </c>
      <c r="L123" s="0">
        <f>IF($I123="","",INDEX(Registro!$G$2:$G$501,$I123))</f>
      </c>
    </row>
    <row r="124" spans="1:8">
      <c r="A124" s="6">
        <f>IF($I124="","",112)</f>
      </c>
      <c r="B124" s="6">
        <f>IF($I124="","",INDEX(Registro!$B$2:$B$501,$I124))</f>
      </c>
      <c r="C124" s="6">
        <f>IF($I124="","",INDEX(Registro!$H$2:$H$501,$I124))</f>
      </c>
      <c r="D124" s="6">
        <f>IF($I124="","",INDEX(Registro!$D$2:$D$501,$I124))</f>
      </c>
      <c r="E124" s="6">
        <f>IF($B$3="Anonimizados",IF($J124="","",IF(ISERROR(FIND(" ",$J124)),$J124,LEFT($J124,FIND(" ",$J124)-1)&amp;" "&amp;MID($J124,FIND(" ",$J124)+1,1)&amp;REPT("*",LEN($J124)-FIND(" ",$J124)-1))),$J124)</f>
      </c>
      <c r="F124" s="6">
        <f>IF($B$3="Anonimizados",IF($K124="","",IF(ISERROR(FIND(" ",$K124)),LEFT($K124,1)&amp;REPT("*",LEN($K124)-1),LEFT($K124,1)&amp;REPT("*",FIND(" ",$K124)-2)&amp;" "&amp;MID($K124,FIND(" ",$K124)+1,1)&amp;REPT("*",LEN($K124)-FIND(" ",$K124)-1))),$K124)</f>
      </c>
      <c r="G124" s="6">
        <f>IF($B$3="Anonimizados",IF($L124="","",IF(LEN($L124)&lt;6,LEFT($L124,1)&amp;REPT("*",LEN($L124)-1),LEFT($L124,1)&amp;"****"&amp;MID($L124,6,LEN($L124)-5))),$L124)</f>
      </c>
      <c r="H124" s="6">
        <f>IF($I124="","",INDEX(Registro!$I$2:$I$501,$I124))</f>
      </c>
      <c r="I124" s="0">
        <f>IFERROR(MATCH(112,Registro!$AE$2:$AE$501,0),"")</f>
      </c>
      <c r="J124" s="0">
        <f>IF($I124="","",INDEX(Registro!$E$2:$E$501,$I124))</f>
      </c>
      <c r="K124" s="0">
        <f>IF($I124="","",INDEX(Registro!$F$2:$F$501,$I124))</f>
      </c>
      <c r="L124" s="0">
        <f>IF($I124="","",INDEX(Registro!$G$2:$G$501,$I124))</f>
      </c>
    </row>
    <row r="125" spans="1:8">
      <c r="A125" s="6">
        <f>IF($I125="","",113)</f>
      </c>
      <c r="B125" s="6">
        <f>IF($I125="","",INDEX(Registro!$B$2:$B$501,$I125))</f>
      </c>
      <c r="C125" s="6">
        <f>IF($I125="","",INDEX(Registro!$H$2:$H$501,$I125))</f>
      </c>
      <c r="D125" s="6">
        <f>IF($I125="","",INDEX(Registro!$D$2:$D$501,$I125))</f>
      </c>
      <c r="E125" s="6">
        <f>IF($B$3="Anonimizados",IF($J125="","",IF(ISERROR(FIND(" ",$J125)),$J125,LEFT($J125,FIND(" ",$J125)-1)&amp;" "&amp;MID($J125,FIND(" ",$J125)+1,1)&amp;REPT("*",LEN($J125)-FIND(" ",$J125)-1))),$J125)</f>
      </c>
      <c r="F125" s="6">
        <f>IF($B$3="Anonimizados",IF($K125="","",IF(ISERROR(FIND(" ",$K125)),LEFT($K125,1)&amp;REPT("*",LEN($K125)-1),LEFT($K125,1)&amp;REPT("*",FIND(" ",$K125)-2)&amp;" "&amp;MID($K125,FIND(" ",$K125)+1,1)&amp;REPT("*",LEN($K125)-FIND(" ",$K125)-1))),$K125)</f>
      </c>
      <c r="G125" s="6">
        <f>IF($B$3="Anonimizados",IF($L125="","",IF(LEN($L125)&lt;6,LEFT($L125,1)&amp;REPT("*",LEN($L125)-1),LEFT($L125,1)&amp;"****"&amp;MID($L125,6,LEN($L125)-5))),$L125)</f>
      </c>
      <c r="H125" s="6">
        <f>IF($I125="","",INDEX(Registro!$I$2:$I$501,$I125))</f>
      </c>
      <c r="I125" s="0">
        <f>IFERROR(MATCH(113,Registro!$AE$2:$AE$501,0),"")</f>
      </c>
      <c r="J125" s="0">
        <f>IF($I125="","",INDEX(Registro!$E$2:$E$501,$I125))</f>
      </c>
      <c r="K125" s="0">
        <f>IF($I125="","",INDEX(Registro!$F$2:$F$501,$I125))</f>
      </c>
      <c r="L125" s="0">
        <f>IF($I125="","",INDEX(Registro!$G$2:$G$501,$I125))</f>
      </c>
    </row>
    <row r="126" spans="1:8">
      <c r="A126" s="6">
        <f>IF($I126="","",114)</f>
      </c>
      <c r="B126" s="6">
        <f>IF($I126="","",INDEX(Registro!$B$2:$B$501,$I126))</f>
      </c>
      <c r="C126" s="6">
        <f>IF($I126="","",INDEX(Registro!$H$2:$H$501,$I126))</f>
      </c>
      <c r="D126" s="6">
        <f>IF($I126="","",INDEX(Registro!$D$2:$D$501,$I126))</f>
      </c>
      <c r="E126" s="6">
        <f>IF($B$3="Anonimizados",IF($J126="","",IF(ISERROR(FIND(" ",$J126)),$J126,LEFT($J126,FIND(" ",$J126)-1)&amp;" "&amp;MID($J126,FIND(" ",$J126)+1,1)&amp;REPT("*",LEN($J126)-FIND(" ",$J126)-1))),$J126)</f>
      </c>
      <c r="F126" s="6">
        <f>IF($B$3="Anonimizados",IF($K126="","",IF(ISERROR(FIND(" ",$K126)),LEFT($K126,1)&amp;REPT("*",LEN($K126)-1),LEFT($K126,1)&amp;REPT("*",FIND(" ",$K126)-2)&amp;" "&amp;MID($K126,FIND(" ",$K126)+1,1)&amp;REPT("*",LEN($K126)-FIND(" ",$K126)-1))),$K126)</f>
      </c>
      <c r="G126" s="6">
        <f>IF($B$3="Anonimizados",IF($L126="","",IF(LEN($L126)&lt;6,LEFT($L126,1)&amp;REPT("*",LEN($L126)-1),LEFT($L126,1)&amp;"****"&amp;MID($L126,6,LEN($L126)-5))),$L126)</f>
      </c>
      <c r="H126" s="6">
        <f>IF($I126="","",INDEX(Registro!$I$2:$I$501,$I126))</f>
      </c>
      <c r="I126" s="0">
        <f>IFERROR(MATCH(114,Registro!$AE$2:$AE$501,0),"")</f>
      </c>
      <c r="J126" s="0">
        <f>IF($I126="","",INDEX(Registro!$E$2:$E$501,$I126))</f>
      </c>
      <c r="K126" s="0">
        <f>IF($I126="","",INDEX(Registro!$F$2:$F$501,$I126))</f>
      </c>
      <c r="L126" s="0">
        <f>IF($I126="","",INDEX(Registro!$G$2:$G$501,$I126))</f>
      </c>
    </row>
    <row r="127" spans="1:8">
      <c r="A127" s="6">
        <f>IF($I127="","",115)</f>
      </c>
      <c r="B127" s="6">
        <f>IF($I127="","",INDEX(Registro!$B$2:$B$501,$I127))</f>
      </c>
      <c r="C127" s="6">
        <f>IF($I127="","",INDEX(Registro!$H$2:$H$501,$I127))</f>
      </c>
      <c r="D127" s="6">
        <f>IF($I127="","",INDEX(Registro!$D$2:$D$501,$I127))</f>
      </c>
      <c r="E127" s="6">
        <f>IF($B$3="Anonimizados",IF($J127="","",IF(ISERROR(FIND(" ",$J127)),$J127,LEFT($J127,FIND(" ",$J127)-1)&amp;" "&amp;MID($J127,FIND(" ",$J127)+1,1)&amp;REPT("*",LEN($J127)-FIND(" ",$J127)-1))),$J127)</f>
      </c>
      <c r="F127" s="6">
        <f>IF($B$3="Anonimizados",IF($K127="","",IF(ISERROR(FIND(" ",$K127)),LEFT($K127,1)&amp;REPT("*",LEN($K127)-1),LEFT($K127,1)&amp;REPT("*",FIND(" ",$K127)-2)&amp;" "&amp;MID($K127,FIND(" ",$K127)+1,1)&amp;REPT("*",LEN($K127)-FIND(" ",$K127)-1))),$K127)</f>
      </c>
      <c r="G127" s="6">
        <f>IF($B$3="Anonimizados",IF($L127="","",IF(LEN($L127)&lt;6,LEFT($L127,1)&amp;REPT("*",LEN($L127)-1),LEFT($L127,1)&amp;"****"&amp;MID($L127,6,LEN($L127)-5))),$L127)</f>
      </c>
      <c r="H127" s="6">
        <f>IF($I127="","",INDEX(Registro!$I$2:$I$501,$I127))</f>
      </c>
      <c r="I127" s="0">
        <f>IFERROR(MATCH(115,Registro!$AE$2:$AE$501,0),"")</f>
      </c>
      <c r="J127" s="0">
        <f>IF($I127="","",INDEX(Registro!$E$2:$E$501,$I127))</f>
      </c>
      <c r="K127" s="0">
        <f>IF($I127="","",INDEX(Registro!$F$2:$F$501,$I127))</f>
      </c>
      <c r="L127" s="0">
        <f>IF($I127="","",INDEX(Registro!$G$2:$G$501,$I127))</f>
      </c>
    </row>
    <row r="128" spans="1:8">
      <c r="A128" s="6">
        <f>IF($I128="","",116)</f>
      </c>
      <c r="B128" s="6">
        <f>IF($I128="","",INDEX(Registro!$B$2:$B$501,$I128))</f>
      </c>
      <c r="C128" s="6">
        <f>IF($I128="","",INDEX(Registro!$H$2:$H$501,$I128))</f>
      </c>
      <c r="D128" s="6">
        <f>IF($I128="","",INDEX(Registro!$D$2:$D$501,$I128))</f>
      </c>
      <c r="E128" s="6">
        <f>IF($B$3="Anonimizados",IF($J128="","",IF(ISERROR(FIND(" ",$J128)),$J128,LEFT($J128,FIND(" ",$J128)-1)&amp;" "&amp;MID($J128,FIND(" ",$J128)+1,1)&amp;REPT("*",LEN($J128)-FIND(" ",$J128)-1))),$J128)</f>
      </c>
      <c r="F128" s="6">
        <f>IF($B$3="Anonimizados",IF($K128="","",IF(ISERROR(FIND(" ",$K128)),LEFT($K128,1)&amp;REPT("*",LEN($K128)-1),LEFT($K128,1)&amp;REPT("*",FIND(" ",$K128)-2)&amp;" "&amp;MID($K128,FIND(" ",$K128)+1,1)&amp;REPT("*",LEN($K128)-FIND(" ",$K128)-1))),$K128)</f>
      </c>
      <c r="G128" s="6">
        <f>IF($B$3="Anonimizados",IF($L128="","",IF(LEN($L128)&lt;6,LEFT($L128,1)&amp;REPT("*",LEN($L128)-1),LEFT($L128,1)&amp;"****"&amp;MID($L128,6,LEN($L128)-5))),$L128)</f>
      </c>
      <c r="H128" s="6">
        <f>IF($I128="","",INDEX(Registro!$I$2:$I$501,$I128))</f>
      </c>
      <c r="I128" s="0">
        <f>IFERROR(MATCH(116,Registro!$AE$2:$AE$501,0),"")</f>
      </c>
      <c r="J128" s="0">
        <f>IF($I128="","",INDEX(Registro!$E$2:$E$501,$I128))</f>
      </c>
      <c r="K128" s="0">
        <f>IF($I128="","",INDEX(Registro!$F$2:$F$501,$I128))</f>
      </c>
      <c r="L128" s="0">
        <f>IF($I128="","",INDEX(Registro!$G$2:$G$501,$I128))</f>
      </c>
    </row>
    <row r="129" spans="1:8">
      <c r="A129" s="6">
        <f>IF($I129="","",117)</f>
      </c>
      <c r="B129" s="6">
        <f>IF($I129="","",INDEX(Registro!$B$2:$B$501,$I129))</f>
      </c>
      <c r="C129" s="6">
        <f>IF($I129="","",INDEX(Registro!$H$2:$H$501,$I129))</f>
      </c>
      <c r="D129" s="6">
        <f>IF($I129="","",INDEX(Registro!$D$2:$D$501,$I129))</f>
      </c>
      <c r="E129" s="6">
        <f>IF($B$3="Anonimizados",IF($J129="","",IF(ISERROR(FIND(" ",$J129)),$J129,LEFT($J129,FIND(" ",$J129)-1)&amp;" "&amp;MID($J129,FIND(" ",$J129)+1,1)&amp;REPT("*",LEN($J129)-FIND(" ",$J129)-1))),$J129)</f>
      </c>
      <c r="F129" s="6">
        <f>IF($B$3="Anonimizados",IF($K129="","",IF(ISERROR(FIND(" ",$K129)),LEFT($K129,1)&amp;REPT("*",LEN($K129)-1),LEFT($K129,1)&amp;REPT("*",FIND(" ",$K129)-2)&amp;" "&amp;MID($K129,FIND(" ",$K129)+1,1)&amp;REPT("*",LEN($K129)-FIND(" ",$K129)-1))),$K129)</f>
      </c>
      <c r="G129" s="6">
        <f>IF($B$3="Anonimizados",IF($L129="","",IF(LEN($L129)&lt;6,LEFT($L129,1)&amp;REPT("*",LEN($L129)-1),LEFT($L129,1)&amp;"****"&amp;MID($L129,6,LEN($L129)-5))),$L129)</f>
      </c>
      <c r="H129" s="6">
        <f>IF($I129="","",INDEX(Registro!$I$2:$I$501,$I129))</f>
      </c>
      <c r="I129" s="0">
        <f>IFERROR(MATCH(117,Registro!$AE$2:$AE$501,0),"")</f>
      </c>
      <c r="J129" s="0">
        <f>IF($I129="","",INDEX(Registro!$E$2:$E$501,$I129))</f>
      </c>
      <c r="K129" s="0">
        <f>IF($I129="","",INDEX(Registro!$F$2:$F$501,$I129))</f>
      </c>
      <c r="L129" s="0">
        <f>IF($I129="","",INDEX(Registro!$G$2:$G$501,$I129))</f>
      </c>
    </row>
    <row r="130" spans="1:8">
      <c r="A130" s="6">
        <f>IF($I130="","",118)</f>
      </c>
      <c r="B130" s="6">
        <f>IF($I130="","",INDEX(Registro!$B$2:$B$501,$I130))</f>
      </c>
      <c r="C130" s="6">
        <f>IF($I130="","",INDEX(Registro!$H$2:$H$501,$I130))</f>
      </c>
      <c r="D130" s="6">
        <f>IF($I130="","",INDEX(Registro!$D$2:$D$501,$I130))</f>
      </c>
      <c r="E130" s="6">
        <f>IF($B$3="Anonimizados",IF($J130="","",IF(ISERROR(FIND(" ",$J130)),$J130,LEFT($J130,FIND(" ",$J130)-1)&amp;" "&amp;MID($J130,FIND(" ",$J130)+1,1)&amp;REPT("*",LEN($J130)-FIND(" ",$J130)-1))),$J130)</f>
      </c>
      <c r="F130" s="6">
        <f>IF($B$3="Anonimizados",IF($K130="","",IF(ISERROR(FIND(" ",$K130)),LEFT($K130,1)&amp;REPT("*",LEN($K130)-1),LEFT($K130,1)&amp;REPT("*",FIND(" ",$K130)-2)&amp;" "&amp;MID($K130,FIND(" ",$K130)+1,1)&amp;REPT("*",LEN($K130)-FIND(" ",$K130)-1))),$K130)</f>
      </c>
      <c r="G130" s="6">
        <f>IF($B$3="Anonimizados",IF($L130="","",IF(LEN($L130)&lt;6,LEFT($L130,1)&amp;REPT("*",LEN($L130)-1),LEFT($L130,1)&amp;"****"&amp;MID($L130,6,LEN($L130)-5))),$L130)</f>
      </c>
      <c r="H130" s="6">
        <f>IF($I130="","",INDEX(Registro!$I$2:$I$501,$I130))</f>
      </c>
      <c r="I130" s="0">
        <f>IFERROR(MATCH(118,Registro!$AE$2:$AE$501,0),"")</f>
      </c>
      <c r="J130" s="0">
        <f>IF($I130="","",INDEX(Registro!$E$2:$E$501,$I130))</f>
      </c>
      <c r="K130" s="0">
        <f>IF($I130="","",INDEX(Registro!$F$2:$F$501,$I130))</f>
      </c>
      <c r="L130" s="0">
        <f>IF($I130="","",INDEX(Registro!$G$2:$G$501,$I130))</f>
      </c>
    </row>
    <row r="131" spans="1:8">
      <c r="A131" s="6">
        <f>IF($I131="","",119)</f>
      </c>
      <c r="B131" s="6">
        <f>IF($I131="","",INDEX(Registro!$B$2:$B$501,$I131))</f>
      </c>
      <c r="C131" s="6">
        <f>IF($I131="","",INDEX(Registro!$H$2:$H$501,$I131))</f>
      </c>
      <c r="D131" s="6">
        <f>IF($I131="","",INDEX(Registro!$D$2:$D$501,$I131))</f>
      </c>
      <c r="E131" s="6">
        <f>IF($B$3="Anonimizados",IF($J131="","",IF(ISERROR(FIND(" ",$J131)),$J131,LEFT($J131,FIND(" ",$J131)-1)&amp;" "&amp;MID($J131,FIND(" ",$J131)+1,1)&amp;REPT("*",LEN($J131)-FIND(" ",$J131)-1))),$J131)</f>
      </c>
      <c r="F131" s="6">
        <f>IF($B$3="Anonimizados",IF($K131="","",IF(ISERROR(FIND(" ",$K131)),LEFT($K131,1)&amp;REPT("*",LEN($K131)-1),LEFT($K131,1)&amp;REPT("*",FIND(" ",$K131)-2)&amp;" "&amp;MID($K131,FIND(" ",$K131)+1,1)&amp;REPT("*",LEN($K131)-FIND(" ",$K131)-1))),$K131)</f>
      </c>
      <c r="G131" s="6">
        <f>IF($B$3="Anonimizados",IF($L131="","",IF(LEN($L131)&lt;6,LEFT($L131,1)&amp;REPT("*",LEN($L131)-1),LEFT($L131,1)&amp;"****"&amp;MID($L131,6,LEN($L131)-5))),$L131)</f>
      </c>
      <c r="H131" s="6">
        <f>IF($I131="","",INDEX(Registro!$I$2:$I$501,$I131))</f>
      </c>
      <c r="I131" s="0">
        <f>IFERROR(MATCH(119,Registro!$AE$2:$AE$501,0),"")</f>
      </c>
      <c r="J131" s="0">
        <f>IF($I131="","",INDEX(Registro!$E$2:$E$501,$I131))</f>
      </c>
      <c r="K131" s="0">
        <f>IF($I131="","",INDEX(Registro!$F$2:$F$501,$I131))</f>
      </c>
      <c r="L131" s="0">
        <f>IF($I131="","",INDEX(Registro!$G$2:$G$501,$I131))</f>
      </c>
    </row>
    <row r="132" spans="1:8">
      <c r="A132" s="6">
        <f>IF($I132="","",120)</f>
      </c>
      <c r="B132" s="6">
        <f>IF($I132="","",INDEX(Registro!$B$2:$B$501,$I132))</f>
      </c>
      <c r="C132" s="6">
        <f>IF($I132="","",INDEX(Registro!$H$2:$H$501,$I132))</f>
      </c>
      <c r="D132" s="6">
        <f>IF($I132="","",INDEX(Registro!$D$2:$D$501,$I132))</f>
      </c>
      <c r="E132" s="6">
        <f>IF($B$3="Anonimizados",IF($J132="","",IF(ISERROR(FIND(" ",$J132)),$J132,LEFT($J132,FIND(" ",$J132)-1)&amp;" "&amp;MID($J132,FIND(" ",$J132)+1,1)&amp;REPT("*",LEN($J132)-FIND(" ",$J132)-1))),$J132)</f>
      </c>
      <c r="F132" s="6">
        <f>IF($B$3="Anonimizados",IF($K132="","",IF(ISERROR(FIND(" ",$K132)),LEFT($K132,1)&amp;REPT("*",LEN($K132)-1),LEFT($K132,1)&amp;REPT("*",FIND(" ",$K132)-2)&amp;" "&amp;MID($K132,FIND(" ",$K132)+1,1)&amp;REPT("*",LEN($K132)-FIND(" ",$K132)-1))),$K132)</f>
      </c>
      <c r="G132" s="6">
        <f>IF($B$3="Anonimizados",IF($L132="","",IF(LEN($L132)&lt;6,LEFT($L132,1)&amp;REPT("*",LEN($L132)-1),LEFT($L132,1)&amp;"****"&amp;MID($L132,6,LEN($L132)-5))),$L132)</f>
      </c>
      <c r="H132" s="6">
        <f>IF($I132="","",INDEX(Registro!$I$2:$I$501,$I132))</f>
      </c>
      <c r="I132" s="0">
        <f>IFERROR(MATCH(120,Registro!$AE$2:$AE$501,0),"")</f>
      </c>
      <c r="J132" s="0">
        <f>IF($I132="","",INDEX(Registro!$E$2:$E$501,$I132))</f>
      </c>
      <c r="K132" s="0">
        <f>IF($I132="","",INDEX(Registro!$F$2:$F$501,$I132))</f>
      </c>
      <c r="L132" s="0">
        <f>IF($I132="","",INDEX(Registro!$G$2:$G$501,$I132))</f>
      </c>
    </row>
    <row r="133" spans="1:8">
      <c r="A133" s="6">
        <f>IF($I133="","",121)</f>
      </c>
      <c r="B133" s="6">
        <f>IF($I133="","",INDEX(Registro!$B$2:$B$501,$I133))</f>
      </c>
      <c r="C133" s="6">
        <f>IF($I133="","",INDEX(Registro!$H$2:$H$501,$I133))</f>
      </c>
      <c r="D133" s="6">
        <f>IF($I133="","",INDEX(Registro!$D$2:$D$501,$I133))</f>
      </c>
      <c r="E133" s="6">
        <f>IF($B$3="Anonimizados",IF($J133="","",IF(ISERROR(FIND(" ",$J133)),$J133,LEFT($J133,FIND(" ",$J133)-1)&amp;" "&amp;MID($J133,FIND(" ",$J133)+1,1)&amp;REPT("*",LEN($J133)-FIND(" ",$J133)-1))),$J133)</f>
      </c>
      <c r="F133" s="6">
        <f>IF($B$3="Anonimizados",IF($K133="","",IF(ISERROR(FIND(" ",$K133)),LEFT($K133,1)&amp;REPT("*",LEN($K133)-1),LEFT($K133,1)&amp;REPT("*",FIND(" ",$K133)-2)&amp;" "&amp;MID($K133,FIND(" ",$K133)+1,1)&amp;REPT("*",LEN($K133)-FIND(" ",$K133)-1))),$K133)</f>
      </c>
      <c r="G133" s="6">
        <f>IF($B$3="Anonimizados",IF($L133="","",IF(LEN($L133)&lt;6,LEFT($L133,1)&amp;REPT("*",LEN($L133)-1),LEFT($L133,1)&amp;"****"&amp;MID($L133,6,LEN($L133)-5))),$L133)</f>
      </c>
      <c r="H133" s="6">
        <f>IF($I133="","",INDEX(Registro!$I$2:$I$501,$I133))</f>
      </c>
      <c r="I133" s="0">
        <f>IFERROR(MATCH(121,Registro!$AE$2:$AE$501,0),"")</f>
      </c>
      <c r="J133" s="0">
        <f>IF($I133="","",INDEX(Registro!$E$2:$E$501,$I133))</f>
      </c>
      <c r="K133" s="0">
        <f>IF($I133="","",INDEX(Registro!$F$2:$F$501,$I133))</f>
      </c>
      <c r="L133" s="0">
        <f>IF($I133="","",INDEX(Registro!$G$2:$G$501,$I133))</f>
      </c>
    </row>
    <row r="134" spans="1:8">
      <c r="A134" s="6">
        <f>IF($I134="","",122)</f>
      </c>
      <c r="B134" s="6">
        <f>IF($I134="","",INDEX(Registro!$B$2:$B$501,$I134))</f>
      </c>
      <c r="C134" s="6">
        <f>IF($I134="","",INDEX(Registro!$H$2:$H$501,$I134))</f>
      </c>
      <c r="D134" s="6">
        <f>IF($I134="","",INDEX(Registro!$D$2:$D$501,$I134))</f>
      </c>
      <c r="E134" s="6">
        <f>IF($B$3="Anonimizados",IF($J134="","",IF(ISERROR(FIND(" ",$J134)),$J134,LEFT($J134,FIND(" ",$J134)-1)&amp;" "&amp;MID($J134,FIND(" ",$J134)+1,1)&amp;REPT("*",LEN($J134)-FIND(" ",$J134)-1))),$J134)</f>
      </c>
      <c r="F134" s="6">
        <f>IF($B$3="Anonimizados",IF($K134="","",IF(ISERROR(FIND(" ",$K134)),LEFT($K134,1)&amp;REPT("*",LEN($K134)-1),LEFT($K134,1)&amp;REPT("*",FIND(" ",$K134)-2)&amp;" "&amp;MID($K134,FIND(" ",$K134)+1,1)&amp;REPT("*",LEN($K134)-FIND(" ",$K134)-1))),$K134)</f>
      </c>
      <c r="G134" s="6">
        <f>IF($B$3="Anonimizados",IF($L134="","",IF(LEN($L134)&lt;6,LEFT($L134,1)&amp;REPT("*",LEN($L134)-1),LEFT($L134,1)&amp;"****"&amp;MID($L134,6,LEN($L134)-5))),$L134)</f>
      </c>
      <c r="H134" s="6">
        <f>IF($I134="","",INDEX(Registro!$I$2:$I$501,$I134))</f>
      </c>
      <c r="I134" s="0">
        <f>IFERROR(MATCH(122,Registro!$AE$2:$AE$501,0),"")</f>
      </c>
      <c r="J134" s="0">
        <f>IF($I134="","",INDEX(Registro!$E$2:$E$501,$I134))</f>
      </c>
      <c r="K134" s="0">
        <f>IF($I134="","",INDEX(Registro!$F$2:$F$501,$I134))</f>
      </c>
      <c r="L134" s="0">
        <f>IF($I134="","",INDEX(Registro!$G$2:$G$501,$I134))</f>
      </c>
    </row>
    <row r="135" spans="1:8">
      <c r="A135" s="6">
        <f>IF($I135="","",123)</f>
      </c>
      <c r="B135" s="6">
        <f>IF($I135="","",INDEX(Registro!$B$2:$B$501,$I135))</f>
      </c>
      <c r="C135" s="6">
        <f>IF($I135="","",INDEX(Registro!$H$2:$H$501,$I135))</f>
      </c>
      <c r="D135" s="6">
        <f>IF($I135="","",INDEX(Registro!$D$2:$D$501,$I135))</f>
      </c>
      <c r="E135" s="6">
        <f>IF($B$3="Anonimizados",IF($J135="","",IF(ISERROR(FIND(" ",$J135)),$J135,LEFT($J135,FIND(" ",$J135)-1)&amp;" "&amp;MID($J135,FIND(" ",$J135)+1,1)&amp;REPT("*",LEN($J135)-FIND(" ",$J135)-1))),$J135)</f>
      </c>
      <c r="F135" s="6">
        <f>IF($B$3="Anonimizados",IF($K135="","",IF(ISERROR(FIND(" ",$K135)),LEFT($K135,1)&amp;REPT("*",LEN($K135)-1),LEFT($K135,1)&amp;REPT("*",FIND(" ",$K135)-2)&amp;" "&amp;MID($K135,FIND(" ",$K135)+1,1)&amp;REPT("*",LEN($K135)-FIND(" ",$K135)-1))),$K135)</f>
      </c>
      <c r="G135" s="6">
        <f>IF($B$3="Anonimizados",IF($L135="","",IF(LEN($L135)&lt;6,LEFT($L135,1)&amp;REPT("*",LEN($L135)-1),LEFT($L135,1)&amp;"****"&amp;MID($L135,6,LEN($L135)-5))),$L135)</f>
      </c>
      <c r="H135" s="6">
        <f>IF($I135="","",INDEX(Registro!$I$2:$I$501,$I135))</f>
      </c>
      <c r="I135" s="0">
        <f>IFERROR(MATCH(123,Registro!$AE$2:$AE$501,0),"")</f>
      </c>
      <c r="J135" s="0">
        <f>IF($I135="","",INDEX(Registro!$E$2:$E$501,$I135))</f>
      </c>
      <c r="K135" s="0">
        <f>IF($I135="","",INDEX(Registro!$F$2:$F$501,$I135))</f>
      </c>
      <c r="L135" s="0">
        <f>IF($I135="","",INDEX(Registro!$G$2:$G$501,$I135))</f>
      </c>
    </row>
    <row r="136" spans="1:8">
      <c r="A136" s="6">
        <f>IF($I136="","",124)</f>
      </c>
      <c r="B136" s="6">
        <f>IF($I136="","",INDEX(Registro!$B$2:$B$501,$I136))</f>
      </c>
      <c r="C136" s="6">
        <f>IF($I136="","",INDEX(Registro!$H$2:$H$501,$I136))</f>
      </c>
      <c r="D136" s="6">
        <f>IF($I136="","",INDEX(Registro!$D$2:$D$501,$I136))</f>
      </c>
      <c r="E136" s="6">
        <f>IF($B$3="Anonimizados",IF($J136="","",IF(ISERROR(FIND(" ",$J136)),$J136,LEFT($J136,FIND(" ",$J136)-1)&amp;" "&amp;MID($J136,FIND(" ",$J136)+1,1)&amp;REPT("*",LEN($J136)-FIND(" ",$J136)-1))),$J136)</f>
      </c>
      <c r="F136" s="6">
        <f>IF($B$3="Anonimizados",IF($K136="","",IF(ISERROR(FIND(" ",$K136)),LEFT($K136,1)&amp;REPT("*",LEN($K136)-1),LEFT($K136,1)&amp;REPT("*",FIND(" ",$K136)-2)&amp;" "&amp;MID($K136,FIND(" ",$K136)+1,1)&amp;REPT("*",LEN($K136)-FIND(" ",$K136)-1))),$K136)</f>
      </c>
      <c r="G136" s="6">
        <f>IF($B$3="Anonimizados",IF($L136="","",IF(LEN($L136)&lt;6,LEFT($L136,1)&amp;REPT("*",LEN($L136)-1),LEFT($L136,1)&amp;"****"&amp;MID($L136,6,LEN($L136)-5))),$L136)</f>
      </c>
      <c r="H136" s="6">
        <f>IF($I136="","",INDEX(Registro!$I$2:$I$501,$I136))</f>
      </c>
      <c r="I136" s="0">
        <f>IFERROR(MATCH(124,Registro!$AE$2:$AE$501,0),"")</f>
      </c>
      <c r="J136" s="0">
        <f>IF($I136="","",INDEX(Registro!$E$2:$E$501,$I136))</f>
      </c>
      <c r="K136" s="0">
        <f>IF($I136="","",INDEX(Registro!$F$2:$F$501,$I136))</f>
      </c>
      <c r="L136" s="0">
        <f>IF($I136="","",INDEX(Registro!$G$2:$G$501,$I136))</f>
      </c>
    </row>
    <row r="137" spans="1:8">
      <c r="A137" s="6">
        <f>IF($I137="","",125)</f>
      </c>
      <c r="B137" s="6">
        <f>IF($I137="","",INDEX(Registro!$B$2:$B$501,$I137))</f>
      </c>
      <c r="C137" s="6">
        <f>IF($I137="","",INDEX(Registro!$H$2:$H$501,$I137))</f>
      </c>
      <c r="D137" s="6">
        <f>IF($I137="","",INDEX(Registro!$D$2:$D$501,$I137))</f>
      </c>
      <c r="E137" s="6">
        <f>IF($B$3="Anonimizados",IF($J137="","",IF(ISERROR(FIND(" ",$J137)),$J137,LEFT($J137,FIND(" ",$J137)-1)&amp;" "&amp;MID($J137,FIND(" ",$J137)+1,1)&amp;REPT("*",LEN($J137)-FIND(" ",$J137)-1))),$J137)</f>
      </c>
      <c r="F137" s="6">
        <f>IF($B$3="Anonimizados",IF($K137="","",IF(ISERROR(FIND(" ",$K137)),LEFT($K137,1)&amp;REPT("*",LEN($K137)-1),LEFT($K137,1)&amp;REPT("*",FIND(" ",$K137)-2)&amp;" "&amp;MID($K137,FIND(" ",$K137)+1,1)&amp;REPT("*",LEN($K137)-FIND(" ",$K137)-1))),$K137)</f>
      </c>
      <c r="G137" s="6">
        <f>IF($B$3="Anonimizados",IF($L137="","",IF(LEN($L137)&lt;6,LEFT($L137,1)&amp;REPT("*",LEN($L137)-1),LEFT($L137,1)&amp;"****"&amp;MID($L137,6,LEN($L137)-5))),$L137)</f>
      </c>
      <c r="H137" s="6">
        <f>IF($I137="","",INDEX(Registro!$I$2:$I$501,$I137))</f>
      </c>
      <c r="I137" s="0">
        <f>IFERROR(MATCH(125,Registro!$AE$2:$AE$501,0),"")</f>
      </c>
      <c r="J137" s="0">
        <f>IF($I137="","",INDEX(Registro!$E$2:$E$501,$I137))</f>
      </c>
      <c r="K137" s="0">
        <f>IF($I137="","",INDEX(Registro!$F$2:$F$501,$I137))</f>
      </c>
      <c r="L137" s="0">
        <f>IF($I137="","",INDEX(Registro!$G$2:$G$501,$I137))</f>
      </c>
    </row>
    <row r="138" spans="1:8">
      <c r="A138" s="6">
        <f>IF($I138="","",126)</f>
      </c>
      <c r="B138" s="6">
        <f>IF($I138="","",INDEX(Registro!$B$2:$B$501,$I138))</f>
      </c>
      <c r="C138" s="6">
        <f>IF($I138="","",INDEX(Registro!$H$2:$H$501,$I138))</f>
      </c>
      <c r="D138" s="6">
        <f>IF($I138="","",INDEX(Registro!$D$2:$D$501,$I138))</f>
      </c>
      <c r="E138" s="6">
        <f>IF($B$3="Anonimizados",IF($J138="","",IF(ISERROR(FIND(" ",$J138)),$J138,LEFT($J138,FIND(" ",$J138)-1)&amp;" "&amp;MID($J138,FIND(" ",$J138)+1,1)&amp;REPT("*",LEN($J138)-FIND(" ",$J138)-1))),$J138)</f>
      </c>
      <c r="F138" s="6">
        <f>IF($B$3="Anonimizados",IF($K138="","",IF(ISERROR(FIND(" ",$K138)),LEFT($K138,1)&amp;REPT("*",LEN($K138)-1),LEFT($K138,1)&amp;REPT("*",FIND(" ",$K138)-2)&amp;" "&amp;MID($K138,FIND(" ",$K138)+1,1)&amp;REPT("*",LEN($K138)-FIND(" ",$K138)-1))),$K138)</f>
      </c>
      <c r="G138" s="6">
        <f>IF($B$3="Anonimizados",IF($L138="","",IF(LEN($L138)&lt;6,LEFT($L138,1)&amp;REPT("*",LEN($L138)-1),LEFT($L138,1)&amp;"****"&amp;MID($L138,6,LEN($L138)-5))),$L138)</f>
      </c>
      <c r="H138" s="6">
        <f>IF($I138="","",INDEX(Registro!$I$2:$I$501,$I138))</f>
      </c>
      <c r="I138" s="0">
        <f>IFERROR(MATCH(126,Registro!$AE$2:$AE$501,0),"")</f>
      </c>
      <c r="J138" s="0">
        <f>IF($I138="","",INDEX(Registro!$E$2:$E$501,$I138))</f>
      </c>
      <c r="K138" s="0">
        <f>IF($I138="","",INDEX(Registro!$F$2:$F$501,$I138))</f>
      </c>
      <c r="L138" s="0">
        <f>IF($I138="","",INDEX(Registro!$G$2:$G$501,$I138))</f>
      </c>
    </row>
    <row r="139" spans="1:8">
      <c r="A139" s="6">
        <f>IF($I139="","",127)</f>
      </c>
      <c r="B139" s="6">
        <f>IF($I139="","",INDEX(Registro!$B$2:$B$501,$I139))</f>
      </c>
      <c r="C139" s="6">
        <f>IF($I139="","",INDEX(Registro!$H$2:$H$501,$I139))</f>
      </c>
      <c r="D139" s="6">
        <f>IF($I139="","",INDEX(Registro!$D$2:$D$501,$I139))</f>
      </c>
      <c r="E139" s="6">
        <f>IF($B$3="Anonimizados",IF($J139="","",IF(ISERROR(FIND(" ",$J139)),$J139,LEFT($J139,FIND(" ",$J139)-1)&amp;" "&amp;MID($J139,FIND(" ",$J139)+1,1)&amp;REPT("*",LEN($J139)-FIND(" ",$J139)-1))),$J139)</f>
      </c>
      <c r="F139" s="6">
        <f>IF($B$3="Anonimizados",IF($K139="","",IF(ISERROR(FIND(" ",$K139)),LEFT($K139,1)&amp;REPT("*",LEN($K139)-1),LEFT($K139,1)&amp;REPT("*",FIND(" ",$K139)-2)&amp;" "&amp;MID($K139,FIND(" ",$K139)+1,1)&amp;REPT("*",LEN($K139)-FIND(" ",$K139)-1))),$K139)</f>
      </c>
      <c r="G139" s="6">
        <f>IF($B$3="Anonimizados",IF($L139="","",IF(LEN($L139)&lt;6,LEFT($L139,1)&amp;REPT("*",LEN($L139)-1),LEFT($L139,1)&amp;"****"&amp;MID($L139,6,LEN($L139)-5))),$L139)</f>
      </c>
      <c r="H139" s="6">
        <f>IF($I139="","",INDEX(Registro!$I$2:$I$501,$I139))</f>
      </c>
      <c r="I139" s="0">
        <f>IFERROR(MATCH(127,Registro!$AE$2:$AE$501,0),"")</f>
      </c>
      <c r="J139" s="0">
        <f>IF($I139="","",INDEX(Registro!$E$2:$E$501,$I139))</f>
      </c>
      <c r="K139" s="0">
        <f>IF($I139="","",INDEX(Registro!$F$2:$F$501,$I139))</f>
      </c>
      <c r="L139" s="0">
        <f>IF($I139="","",INDEX(Registro!$G$2:$G$501,$I139))</f>
      </c>
    </row>
    <row r="140" spans="1:8">
      <c r="A140" s="6">
        <f>IF($I140="","",128)</f>
      </c>
      <c r="B140" s="6">
        <f>IF($I140="","",INDEX(Registro!$B$2:$B$501,$I140))</f>
      </c>
      <c r="C140" s="6">
        <f>IF($I140="","",INDEX(Registro!$H$2:$H$501,$I140))</f>
      </c>
      <c r="D140" s="6">
        <f>IF($I140="","",INDEX(Registro!$D$2:$D$501,$I140))</f>
      </c>
      <c r="E140" s="6">
        <f>IF($B$3="Anonimizados",IF($J140="","",IF(ISERROR(FIND(" ",$J140)),$J140,LEFT($J140,FIND(" ",$J140)-1)&amp;" "&amp;MID($J140,FIND(" ",$J140)+1,1)&amp;REPT("*",LEN($J140)-FIND(" ",$J140)-1))),$J140)</f>
      </c>
      <c r="F140" s="6">
        <f>IF($B$3="Anonimizados",IF($K140="","",IF(ISERROR(FIND(" ",$K140)),LEFT($K140,1)&amp;REPT("*",LEN($K140)-1),LEFT($K140,1)&amp;REPT("*",FIND(" ",$K140)-2)&amp;" "&amp;MID($K140,FIND(" ",$K140)+1,1)&amp;REPT("*",LEN($K140)-FIND(" ",$K140)-1))),$K140)</f>
      </c>
      <c r="G140" s="6">
        <f>IF($B$3="Anonimizados",IF($L140="","",IF(LEN($L140)&lt;6,LEFT($L140,1)&amp;REPT("*",LEN($L140)-1),LEFT($L140,1)&amp;"****"&amp;MID($L140,6,LEN($L140)-5))),$L140)</f>
      </c>
      <c r="H140" s="6">
        <f>IF($I140="","",INDEX(Registro!$I$2:$I$501,$I140))</f>
      </c>
      <c r="I140" s="0">
        <f>IFERROR(MATCH(128,Registro!$AE$2:$AE$501,0),"")</f>
      </c>
      <c r="J140" s="0">
        <f>IF($I140="","",INDEX(Registro!$E$2:$E$501,$I140))</f>
      </c>
      <c r="K140" s="0">
        <f>IF($I140="","",INDEX(Registro!$F$2:$F$501,$I140))</f>
      </c>
      <c r="L140" s="0">
        <f>IF($I140="","",INDEX(Registro!$G$2:$G$501,$I140))</f>
      </c>
    </row>
    <row r="141" spans="1:8">
      <c r="A141" s="6">
        <f>IF($I141="","",129)</f>
      </c>
      <c r="B141" s="6">
        <f>IF($I141="","",INDEX(Registro!$B$2:$B$501,$I141))</f>
      </c>
      <c r="C141" s="6">
        <f>IF($I141="","",INDEX(Registro!$H$2:$H$501,$I141))</f>
      </c>
      <c r="D141" s="6">
        <f>IF($I141="","",INDEX(Registro!$D$2:$D$501,$I141))</f>
      </c>
      <c r="E141" s="6">
        <f>IF($B$3="Anonimizados",IF($J141="","",IF(ISERROR(FIND(" ",$J141)),$J141,LEFT($J141,FIND(" ",$J141)-1)&amp;" "&amp;MID($J141,FIND(" ",$J141)+1,1)&amp;REPT("*",LEN($J141)-FIND(" ",$J141)-1))),$J141)</f>
      </c>
      <c r="F141" s="6">
        <f>IF($B$3="Anonimizados",IF($K141="","",IF(ISERROR(FIND(" ",$K141)),LEFT($K141,1)&amp;REPT("*",LEN($K141)-1),LEFT($K141,1)&amp;REPT("*",FIND(" ",$K141)-2)&amp;" "&amp;MID($K141,FIND(" ",$K141)+1,1)&amp;REPT("*",LEN($K141)-FIND(" ",$K141)-1))),$K141)</f>
      </c>
      <c r="G141" s="6">
        <f>IF($B$3="Anonimizados",IF($L141="","",IF(LEN($L141)&lt;6,LEFT($L141,1)&amp;REPT("*",LEN($L141)-1),LEFT($L141,1)&amp;"****"&amp;MID($L141,6,LEN($L141)-5))),$L141)</f>
      </c>
      <c r="H141" s="6">
        <f>IF($I141="","",INDEX(Registro!$I$2:$I$501,$I141))</f>
      </c>
      <c r="I141" s="0">
        <f>IFERROR(MATCH(129,Registro!$AE$2:$AE$501,0),"")</f>
      </c>
      <c r="J141" s="0">
        <f>IF($I141="","",INDEX(Registro!$E$2:$E$501,$I141))</f>
      </c>
      <c r="K141" s="0">
        <f>IF($I141="","",INDEX(Registro!$F$2:$F$501,$I141))</f>
      </c>
      <c r="L141" s="0">
        <f>IF($I141="","",INDEX(Registro!$G$2:$G$501,$I141))</f>
      </c>
    </row>
    <row r="142" spans="1:8">
      <c r="A142" s="6">
        <f>IF($I142="","",130)</f>
      </c>
      <c r="B142" s="6">
        <f>IF($I142="","",INDEX(Registro!$B$2:$B$501,$I142))</f>
      </c>
      <c r="C142" s="6">
        <f>IF($I142="","",INDEX(Registro!$H$2:$H$501,$I142))</f>
      </c>
      <c r="D142" s="6">
        <f>IF($I142="","",INDEX(Registro!$D$2:$D$501,$I142))</f>
      </c>
      <c r="E142" s="6">
        <f>IF($B$3="Anonimizados",IF($J142="","",IF(ISERROR(FIND(" ",$J142)),$J142,LEFT($J142,FIND(" ",$J142)-1)&amp;" "&amp;MID($J142,FIND(" ",$J142)+1,1)&amp;REPT("*",LEN($J142)-FIND(" ",$J142)-1))),$J142)</f>
      </c>
      <c r="F142" s="6">
        <f>IF($B$3="Anonimizados",IF($K142="","",IF(ISERROR(FIND(" ",$K142)),LEFT($K142,1)&amp;REPT("*",LEN($K142)-1),LEFT($K142,1)&amp;REPT("*",FIND(" ",$K142)-2)&amp;" "&amp;MID($K142,FIND(" ",$K142)+1,1)&amp;REPT("*",LEN($K142)-FIND(" ",$K142)-1))),$K142)</f>
      </c>
      <c r="G142" s="6">
        <f>IF($B$3="Anonimizados",IF($L142="","",IF(LEN($L142)&lt;6,LEFT($L142,1)&amp;REPT("*",LEN($L142)-1),LEFT($L142,1)&amp;"****"&amp;MID($L142,6,LEN($L142)-5))),$L142)</f>
      </c>
      <c r="H142" s="6">
        <f>IF($I142="","",INDEX(Registro!$I$2:$I$501,$I142))</f>
      </c>
      <c r="I142" s="0">
        <f>IFERROR(MATCH(130,Registro!$AE$2:$AE$501,0),"")</f>
      </c>
      <c r="J142" s="0">
        <f>IF($I142="","",INDEX(Registro!$E$2:$E$501,$I142))</f>
      </c>
      <c r="K142" s="0">
        <f>IF($I142="","",INDEX(Registro!$F$2:$F$501,$I142))</f>
      </c>
      <c r="L142" s="0">
        <f>IF($I142="","",INDEX(Registro!$G$2:$G$501,$I142))</f>
      </c>
    </row>
    <row r="143" spans="1:8">
      <c r="A143" s="6">
        <f>IF($I143="","",131)</f>
      </c>
      <c r="B143" s="6">
        <f>IF($I143="","",INDEX(Registro!$B$2:$B$501,$I143))</f>
      </c>
      <c r="C143" s="6">
        <f>IF($I143="","",INDEX(Registro!$H$2:$H$501,$I143))</f>
      </c>
      <c r="D143" s="6">
        <f>IF($I143="","",INDEX(Registro!$D$2:$D$501,$I143))</f>
      </c>
      <c r="E143" s="6">
        <f>IF($B$3="Anonimizados",IF($J143="","",IF(ISERROR(FIND(" ",$J143)),$J143,LEFT($J143,FIND(" ",$J143)-1)&amp;" "&amp;MID($J143,FIND(" ",$J143)+1,1)&amp;REPT("*",LEN($J143)-FIND(" ",$J143)-1))),$J143)</f>
      </c>
      <c r="F143" s="6">
        <f>IF($B$3="Anonimizados",IF($K143="","",IF(ISERROR(FIND(" ",$K143)),LEFT($K143,1)&amp;REPT("*",LEN($K143)-1),LEFT($K143,1)&amp;REPT("*",FIND(" ",$K143)-2)&amp;" "&amp;MID($K143,FIND(" ",$K143)+1,1)&amp;REPT("*",LEN($K143)-FIND(" ",$K143)-1))),$K143)</f>
      </c>
      <c r="G143" s="6">
        <f>IF($B$3="Anonimizados",IF($L143="","",IF(LEN($L143)&lt;6,LEFT($L143,1)&amp;REPT("*",LEN($L143)-1),LEFT($L143,1)&amp;"****"&amp;MID($L143,6,LEN($L143)-5))),$L143)</f>
      </c>
      <c r="H143" s="6">
        <f>IF($I143="","",INDEX(Registro!$I$2:$I$501,$I143))</f>
      </c>
      <c r="I143" s="0">
        <f>IFERROR(MATCH(131,Registro!$AE$2:$AE$501,0),"")</f>
      </c>
      <c r="J143" s="0">
        <f>IF($I143="","",INDEX(Registro!$E$2:$E$501,$I143))</f>
      </c>
      <c r="K143" s="0">
        <f>IF($I143="","",INDEX(Registro!$F$2:$F$501,$I143))</f>
      </c>
      <c r="L143" s="0">
        <f>IF($I143="","",INDEX(Registro!$G$2:$G$501,$I143))</f>
      </c>
    </row>
    <row r="144" spans="1:8">
      <c r="A144" s="6">
        <f>IF($I144="","",132)</f>
      </c>
      <c r="B144" s="6">
        <f>IF($I144="","",INDEX(Registro!$B$2:$B$501,$I144))</f>
      </c>
      <c r="C144" s="6">
        <f>IF($I144="","",INDEX(Registro!$H$2:$H$501,$I144))</f>
      </c>
      <c r="D144" s="6">
        <f>IF($I144="","",INDEX(Registro!$D$2:$D$501,$I144))</f>
      </c>
      <c r="E144" s="6">
        <f>IF($B$3="Anonimizados",IF($J144="","",IF(ISERROR(FIND(" ",$J144)),$J144,LEFT($J144,FIND(" ",$J144)-1)&amp;" "&amp;MID($J144,FIND(" ",$J144)+1,1)&amp;REPT("*",LEN($J144)-FIND(" ",$J144)-1))),$J144)</f>
      </c>
      <c r="F144" s="6">
        <f>IF($B$3="Anonimizados",IF($K144="","",IF(ISERROR(FIND(" ",$K144)),LEFT($K144,1)&amp;REPT("*",LEN($K144)-1),LEFT($K144,1)&amp;REPT("*",FIND(" ",$K144)-2)&amp;" "&amp;MID($K144,FIND(" ",$K144)+1,1)&amp;REPT("*",LEN($K144)-FIND(" ",$K144)-1))),$K144)</f>
      </c>
      <c r="G144" s="6">
        <f>IF($B$3="Anonimizados",IF($L144="","",IF(LEN($L144)&lt;6,LEFT($L144,1)&amp;REPT("*",LEN($L144)-1),LEFT($L144,1)&amp;"****"&amp;MID($L144,6,LEN($L144)-5))),$L144)</f>
      </c>
      <c r="H144" s="6">
        <f>IF($I144="","",INDEX(Registro!$I$2:$I$501,$I144))</f>
      </c>
      <c r="I144" s="0">
        <f>IFERROR(MATCH(132,Registro!$AE$2:$AE$501,0),"")</f>
      </c>
      <c r="J144" s="0">
        <f>IF($I144="","",INDEX(Registro!$E$2:$E$501,$I144))</f>
      </c>
      <c r="K144" s="0">
        <f>IF($I144="","",INDEX(Registro!$F$2:$F$501,$I144))</f>
      </c>
      <c r="L144" s="0">
        <f>IF($I144="","",INDEX(Registro!$G$2:$G$501,$I144))</f>
      </c>
    </row>
    <row r="145" spans="1:8">
      <c r="A145" s="6">
        <f>IF($I145="","",133)</f>
      </c>
      <c r="B145" s="6">
        <f>IF($I145="","",INDEX(Registro!$B$2:$B$501,$I145))</f>
      </c>
      <c r="C145" s="6">
        <f>IF($I145="","",INDEX(Registro!$H$2:$H$501,$I145))</f>
      </c>
      <c r="D145" s="6">
        <f>IF($I145="","",INDEX(Registro!$D$2:$D$501,$I145))</f>
      </c>
      <c r="E145" s="6">
        <f>IF($B$3="Anonimizados",IF($J145="","",IF(ISERROR(FIND(" ",$J145)),$J145,LEFT($J145,FIND(" ",$J145)-1)&amp;" "&amp;MID($J145,FIND(" ",$J145)+1,1)&amp;REPT("*",LEN($J145)-FIND(" ",$J145)-1))),$J145)</f>
      </c>
      <c r="F145" s="6">
        <f>IF($B$3="Anonimizados",IF($K145="","",IF(ISERROR(FIND(" ",$K145)),LEFT($K145,1)&amp;REPT("*",LEN($K145)-1),LEFT($K145,1)&amp;REPT("*",FIND(" ",$K145)-2)&amp;" "&amp;MID($K145,FIND(" ",$K145)+1,1)&amp;REPT("*",LEN($K145)-FIND(" ",$K145)-1))),$K145)</f>
      </c>
      <c r="G145" s="6">
        <f>IF($B$3="Anonimizados",IF($L145="","",IF(LEN($L145)&lt;6,LEFT($L145,1)&amp;REPT("*",LEN($L145)-1),LEFT($L145,1)&amp;"****"&amp;MID($L145,6,LEN($L145)-5))),$L145)</f>
      </c>
      <c r="H145" s="6">
        <f>IF($I145="","",INDEX(Registro!$I$2:$I$501,$I145))</f>
      </c>
      <c r="I145" s="0">
        <f>IFERROR(MATCH(133,Registro!$AE$2:$AE$501,0),"")</f>
      </c>
      <c r="J145" s="0">
        <f>IF($I145="","",INDEX(Registro!$E$2:$E$501,$I145))</f>
      </c>
      <c r="K145" s="0">
        <f>IF($I145="","",INDEX(Registro!$F$2:$F$501,$I145))</f>
      </c>
      <c r="L145" s="0">
        <f>IF($I145="","",INDEX(Registro!$G$2:$G$501,$I145))</f>
      </c>
    </row>
    <row r="146" spans="1:8">
      <c r="A146" s="6">
        <f>IF($I146="","",134)</f>
      </c>
      <c r="B146" s="6">
        <f>IF($I146="","",INDEX(Registro!$B$2:$B$501,$I146))</f>
      </c>
      <c r="C146" s="6">
        <f>IF($I146="","",INDEX(Registro!$H$2:$H$501,$I146))</f>
      </c>
      <c r="D146" s="6">
        <f>IF($I146="","",INDEX(Registro!$D$2:$D$501,$I146))</f>
      </c>
      <c r="E146" s="6">
        <f>IF($B$3="Anonimizados",IF($J146="","",IF(ISERROR(FIND(" ",$J146)),$J146,LEFT($J146,FIND(" ",$J146)-1)&amp;" "&amp;MID($J146,FIND(" ",$J146)+1,1)&amp;REPT("*",LEN($J146)-FIND(" ",$J146)-1))),$J146)</f>
      </c>
      <c r="F146" s="6">
        <f>IF($B$3="Anonimizados",IF($K146="","",IF(ISERROR(FIND(" ",$K146)),LEFT($K146,1)&amp;REPT("*",LEN($K146)-1),LEFT($K146,1)&amp;REPT("*",FIND(" ",$K146)-2)&amp;" "&amp;MID($K146,FIND(" ",$K146)+1,1)&amp;REPT("*",LEN($K146)-FIND(" ",$K146)-1))),$K146)</f>
      </c>
      <c r="G146" s="6">
        <f>IF($B$3="Anonimizados",IF($L146="","",IF(LEN($L146)&lt;6,LEFT($L146,1)&amp;REPT("*",LEN($L146)-1),LEFT($L146,1)&amp;"****"&amp;MID($L146,6,LEN($L146)-5))),$L146)</f>
      </c>
      <c r="H146" s="6">
        <f>IF($I146="","",INDEX(Registro!$I$2:$I$501,$I146))</f>
      </c>
      <c r="I146" s="0">
        <f>IFERROR(MATCH(134,Registro!$AE$2:$AE$501,0),"")</f>
      </c>
      <c r="J146" s="0">
        <f>IF($I146="","",INDEX(Registro!$E$2:$E$501,$I146))</f>
      </c>
      <c r="K146" s="0">
        <f>IF($I146="","",INDEX(Registro!$F$2:$F$501,$I146))</f>
      </c>
      <c r="L146" s="0">
        <f>IF($I146="","",INDEX(Registro!$G$2:$G$501,$I146))</f>
      </c>
    </row>
    <row r="147" spans="1:8">
      <c r="A147" s="6">
        <f>IF($I147="","",135)</f>
      </c>
      <c r="B147" s="6">
        <f>IF($I147="","",INDEX(Registro!$B$2:$B$501,$I147))</f>
      </c>
      <c r="C147" s="6">
        <f>IF($I147="","",INDEX(Registro!$H$2:$H$501,$I147))</f>
      </c>
      <c r="D147" s="6">
        <f>IF($I147="","",INDEX(Registro!$D$2:$D$501,$I147))</f>
      </c>
      <c r="E147" s="6">
        <f>IF($B$3="Anonimizados",IF($J147="","",IF(ISERROR(FIND(" ",$J147)),$J147,LEFT($J147,FIND(" ",$J147)-1)&amp;" "&amp;MID($J147,FIND(" ",$J147)+1,1)&amp;REPT("*",LEN($J147)-FIND(" ",$J147)-1))),$J147)</f>
      </c>
      <c r="F147" s="6">
        <f>IF($B$3="Anonimizados",IF($K147="","",IF(ISERROR(FIND(" ",$K147)),LEFT($K147,1)&amp;REPT("*",LEN($K147)-1),LEFT($K147,1)&amp;REPT("*",FIND(" ",$K147)-2)&amp;" "&amp;MID($K147,FIND(" ",$K147)+1,1)&amp;REPT("*",LEN($K147)-FIND(" ",$K147)-1))),$K147)</f>
      </c>
      <c r="G147" s="6">
        <f>IF($B$3="Anonimizados",IF($L147="","",IF(LEN($L147)&lt;6,LEFT($L147,1)&amp;REPT("*",LEN($L147)-1),LEFT($L147,1)&amp;"****"&amp;MID($L147,6,LEN($L147)-5))),$L147)</f>
      </c>
      <c r="H147" s="6">
        <f>IF($I147="","",INDEX(Registro!$I$2:$I$501,$I147))</f>
      </c>
      <c r="I147" s="0">
        <f>IFERROR(MATCH(135,Registro!$AE$2:$AE$501,0),"")</f>
      </c>
      <c r="J147" s="0">
        <f>IF($I147="","",INDEX(Registro!$E$2:$E$501,$I147))</f>
      </c>
      <c r="K147" s="0">
        <f>IF($I147="","",INDEX(Registro!$F$2:$F$501,$I147))</f>
      </c>
      <c r="L147" s="0">
        <f>IF($I147="","",INDEX(Registro!$G$2:$G$501,$I147))</f>
      </c>
    </row>
    <row r="148" spans="1:8">
      <c r="A148" s="6">
        <f>IF($I148="","",136)</f>
      </c>
      <c r="B148" s="6">
        <f>IF($I148="","",INDEX(Registro!$B$2:$B$501,$I148))</f>
      </c>
      <c r="C148" s="6">
        <f>IF($I148="","",INDEX(Registro!$H$2:$H$501,$I148))</f>
      </c>
      <c r="D148" s="6">
        <f>IF($I148="","",INDEX(Registro!$D$2:$D$501,$I148))</f>
      </c>
      <c r="E148" s="6">
        <f>IF($B$3="Anonimizados",IF($J148="","",IF(ISERROR(FIND(" ",$J148)),$J148,LEFT($J148,FIND(" ",$J148)-1)&amp;" "&amp;MID($J148,FIND(" ",$J148)+1,1)&amp;REPT("*",LEN($J148)-FIND(" ",$J148)-1))),$J148)</f>
      </c>
      <c r="F148" s="6">
        <f>IF($B$3="Anonimizados",IF($K148="","",IF(ISERROR(FIND(" ",$K148)),LEFT($K148,1)&amp;REPT("*",LEN($K148)-1),LEFT($K148,1)&amp;REPT("*",FIND(" ",$K148)-2)&amp;" "&amp;MID($K148,FIND(" ",$K148)+1,1)&amp;REPT("*",LEN($K148)-FIND(" ",$K148)-1))),$K148)</f>
      </c>
      <c r="G148" s="6">
        <f>IF($B$3="Anonimizados",IF($L148="","",IF(LEN($L148)&lt;6,LEFT($L148,1)&amp;REPT("*",LEN($L148)-1),LEFT($L148,1)&amp;"****"&amp;MID($L148,6,LEN($L148)-5))),$L148)</f>
      </c>
      <c r="H148" s="6">
        <f>IF($I148="","",INDEX(Registro!$I$2:$I$501,$I148))</f>
      </c>
      <c r="I148" s="0">
        <f>IFERROR(MATCH(136,Registro!$AE$2:$AE$501,0),"")</f>
      </c>
      <c r="J148" s="0">
        <f>IF($I148="","",INDEX(Registro!$E$2:$E$501,$I148))</f>
      </c>
      <c r="K148" s="0">
        <f>IF($I148="","",INDEX(Registro!$F$2:$F$501,$I148))</f>
      </c>
      <c r="L148" s="0">
        <f>IF($I148="","",INDEX(Registro!$G$2:$G$501,$I148))</f>
      </c>
    </row>
    <row r="149" spans="1:8">
      <c r="A149" s="6">
        <f>IF($I149="","",137)</f>
      </c>
      <c r="B149" s="6">
        <f>IF($I149="","",INDEX(Registro!$B$2:$B$501,$I149))</f>
      </c>
      <c r="C149" s="6">
        <f>IF($I149="","",INDEX(Registro!$H$2:$H$501,$I149))</f>
      </c>
      <c r="D149" s="6">
        <f>IF($I149="","",INDEX(Registro!$D$2:$D$501,$I149))</f>
      </c>
      <c r="E149" s="6">
        <f>IF($B$3="Anonimizados",IF($J149="","",IF(ISERROR(FIND(" ",$J149)),$J149,LEFT($J149,FIND(" ",$J149)-1)&amp;" "&amp;MID($J149,FIND(" ",$J149)+1,1)&amp;REPT("*",LEN($J149)-FIND(" ",$J149)-1))),$J149)</f>
      </c>
      <c r="F149" s="6">
        <f>IF($B$3="Anonimizados",IF($K149="","",IF(ISERROR(FIND(" ",$K149)),LEFT($K149,1)&amp;REPT("*",LEN($K149)-1),LEFT($K149,1)&amp;REPT("*",FIND(" ",$K149)-2)&amp;" "&amp;MID($K149,FIND(" ",$K149)+1,1)&amp;REPT("*",LEN($K149)-FIND(" ",$K149)-1))),$K149)</f>
      </c>
      <c r="G149" s="6">
        <f>IF($B$3="Anonimizados",IF($L149="","",IF(LEN($L149)&lt;6,LEFT($L149,1)&amp;REPT("*",LEN($L149)-1),LEFT($L149,1)&amp;"****"&amp;MID($L149,6,LEN($L149)-5))),$L149)</f>
      </c>
      <c r="H149" s="6">
        <f>IF($I149="","",INDEX(Registro!$I$2:$I$501,$I149))</f>
      </c>
      <c r="I149" s="0">
        <f>IFERROR(MATCH(137,Registro!$AE$2:$AE$501,0),"")</f>
      </c>
      <c r="J149" s="0">
        <f>IF($I149="","",INDEX(Registro!$E$2:$E$501,$I149))</f>
      </c>
      <c r="K149" s="0">
        <f>IF($I149="","",INDEX(Registro!$F$2:$F$501,$I149))</f>
      </c>
      <c r="L149" s="0">
        <f>IF($I149="","",INDEX(Registro!$G$2:$G$501,$I149))</f>
      </c>
    </row>
    <row r="150" spans="1:8">
      <c r="A150" s="6">
        <f>IF($I150="","",138)</f>
      </c>
      <c r="B150" s="6">
        <f>IF($I150="","",INDEX(Registro!$B$2:$B$501,$I150))</f>
      </c>
      <c r="C150" s="6">
        <f>IF($I150="","",INDEX(Registro!$H$2:$H$501,$I150))</f>
      </c>
      <c r="D150" s="6">
        <f>IF($I150="","",INDEX(Registro!$D$2:$D$501,$I150))</f>
      </c>
      <c r="E150" s="6">
        <f>IF($B$3="Anonimizados",IF($J150="","",IF(ISERROR(FIND(" ",$J150)),$J150,LEFT($J150,FIND(" ",$J150)-1)&amp;" "&amp;MID($J150,FIND(" ",$J150)+1,1)&amp;REPT("*",LEN($J150)-FIND(" ",$J150)-1))),$J150)</f>
      </c>
      <c r="F150" s="6">
        <f>IF($B$3="Anonimizados",IF($K150="","",IF(ISERROR(FIND(" ",$K150)),LEFT($K150,1)&amp;REPT("*",LEN($K150)-1),LEFT($K150,1)&amp;REPT("*",FIND(" ",$K150)-2)&amp;" "&amp;MID($K150,FIND(" ",$K150)+1,1)&amp;REPT("*",LEN($K150)-FIND(" ",$K150)-1))),$K150)</f>
      </c>
      <c r="G150" s="6">
        <f>IF($B$3="Anonimizados",IF($L150="","",IF(LEN($L150)&lt;6,LEFT($L150,1)&amp;REPT("*",LEN($L150)-1),LEFT($L150,1)&amp;"****"&amp;MID($L150,6,LEN($L150)-5))),$L150)</f>
      </c>
      <c r="H150" s="6">
        <f>IF($I150="","",INDEX(Registro!$I$2:$I$501,$I150))</f>
      </c>
      <c r="I150" s="0">
        <f>IFERROR(MATCH(138,Registro!$AE$2:$AE$501,0),"")</f>
      </c>
      <c r="J150" s="0">
        <f>IF($I150="","",INDEX(Registro!$E$2:$E$501,$I150))</f>
      </c>
      <c r="K150" s="0">
        <f>IF($I150="","",INDEX(Registro!$F$2:$F$501,$I150))</f>
      </c>
      <c r="L150" s="0">
        <f>IF($I150="","",INDEX(Registro!$G$2:$G$501,$I150))</f>
      </c>
    </row>
    <row r="151" spans="1:8">
      <c r="A151" s="6">
        <f>IF($I151="","",139)</f>
      </c>
      <c r="B151" s="6">
        <f>IF($I151="","",INDEX(Registro!$B$2:$B$501,$I151))</f>
      </c>
      <c r="C151" s="6">
        <f>IF($I151="","",INDEX(Registro!$H$2:$H$501,$I151))</f>
      </c>
      <c r="D151" s="6">
        <f>IF($I151="","",INDEX(Registro!$D$2:$D$501,$I151))</f>
      </c>
      <c r="E151" s="6">
        <f>IF($B$3="Anonimizados",IF($J151="","",IF(ISERROR(FIND(" ",$J151)),$J151,LEFT($J151,FIND(" ",$J151)-1)&amp;" "&amp;MID($J151,FIND(" ",$J151)+1,1)&amp;REPT("*",LEN($J151)-FIND(" ",$J151)-1))),$J151)</f>
      </c>
      <c r="F151" s="6">
        <f>IF($B$3="Anonimizados",IF($K151="","",IF(ISERROR(FIND(" ",$K151)),LEFT($K151,1)&amp;REPT("*",LEN($K151)-1),LEFT($K151,1)&amp;REPT("*",FIND(" ",$K151)-2)&amp;" "&amp;MID($K151,FIND(" ",$K151)+1,1)&amp;REPT("*",LEN($K151)-FIND(" ",$K151)-1))),$K151)</f>
      </c>
      <c r="G151" s="6">
        <f>IF($B$3="Anonimizados",IF($L151="","",IF(LEN($L151)&lt;6,LEFT($L151,1)&amp;REPT("*",LEN($L151)-1),LEFT($L151,1)&amp;"****"&amp;MID($L151,6,LEN($L151)-5))),$L151)</f>
      </c>
      <c r="H151" s="6">
        <f>IF($I151="","",INDEX(Registro!$I$2:$I$501,$I151))</f>
      </c>
      <c r="I151" s="0">
        <f>IFERROR(MATCH(139,Registro!$AE$2:$AE$501,0),"")</f>
      </c>
      <c r="J151" s="0">
        <f>IF($I151="","",INDEX(Registro!$E$2:$E$501,$I151))</f>
      </c>
      <c r="K151" s="0">
        <f>IF($I151="","",INDEX(Registro!$F$2:$F$501,$I151))</f>
      </c>
      <c r="L151" s="0">
        <f>IF($I151="","",INDEX(Registro!$G$2:$G$501,$I151))</f>
      </c>
    </row>
    <row r="152" spans="1:8">
      <c r="A152" s="6">
        <f>IF($I152="","",140)</f>
      </c>
      <c r="B152" s="6">
        <f>IF($I152="","",INDEX(Registro!$B$2:$B$501,$I152))</f>
      </c>
      <c r="C152" s="6">
        <f>IF($I152="","",INDEX(Registro!$H$2:$H$501,$I152))</f>
      </c>
      <c r="D152" s="6">
        <f>IF($I152="","",INDEX(Registro!$D$2:$D$501,$I152))</f>
      </c>
      <c r="E152" s="6">
        <f>IF($B$3="Anonimizados",IF($J152="","",IF(ISERROR(FIND(" ",$J152)),$J152,LEFT($J152,FIND(" ",$J152)-1)&amp;" "&amp;MID($J152,FIND(" ",$J152)+1,1)&amp;REPT("*",LEN($J152)-FIND(" ",$J152)-1))),$J152)</f>
      </c>
      <c r="F152" s="6">
        <f>IF($B$3="Anonimizados",IF($K152="","",IF(ISERROR(FIND(" ",$K152)),LEFT($K152,1)&amp;REPT("*",LEN($K152)-1),LEFT($K152,1)&amp;REPT("*",FIND(" ",$K152)-2)&amp;" "&amp;MID($K152,FIND(" ",$K152)+1,1)&amp;REPT("*",LEN($K152)-FIND(" ",$K152)-1))),$K152)</f>
      </c>
      <c r="G152" s="6">
        <f>IF($B$3="Anonimizados",IF($L152="","",IF(LEN($L152)&lt;6,LEFT($L152,1)&amp;REPT("*",LEN($L152)-1),LEFT($L152,1)&amp;"****"&amp;MID($L152,6,LEN($L152)-5))),$L152)</f>
      </c>
      <c r="H152" s="6">
        <f>IF($I152="","",INDEX(Registro!$I$2:$I$501,$I152))</f>
      </c>
      <c r="I152" s="0">
        <f>IFERROR(MATCH(140,Registro!$AE$2:$AE$501,0),"")</f>
      </c>
      <c r="J152" s="0">
        <f>IF($I152="","",INDEX(Registro!$E$2:$E$501,$I152))</f>
      </c>
      <c r="K152" s="0">
        <f>IF($I152="","",INDEX(Registro!$F$2:$F$501,$I152))</f>
      </c>
      <c r="L152" s="0">
        <f>IF($I152="","",INDEX(Registro!$G$2:$G$501,$I152))</f>
      </c>
    </row>
    <row r="153" spans="1:8">
      <c r="A153" s="6">
        <f>IF($I153="","",141)</f>
      </c>
      <c r="B153" s="6">
        <f>IF($I153="","",INDEX(Registro!$B$2:$B$501,$I153))</f>
      </c>
      <c r="C153" s="6">
        <f>IF($I153="","",INDEX(Registro!$H$2:$H$501,$I153))</f>
      </c>
      <c r="D153" s="6">
        <f>IF($I153="","",INDEX(Registro!$D$2:$D$501,$I153))</f>
      </c>
      <c r="E153" s="6">
        <f>IF($B$3="Anonimizados",IF($J153="","",IF(ISERROR(FIND(" ",$J153)),$J153,LEFT($J153,FIND(" ",$J153)-1)&amp;" "&amp;MID($J153,FIND(" ",$J153)+1,1)&amp;REPT("*",LEN($J153)-FIND(" ",$J153)-1))),$J153)</f>
      </c>
      <c r="F153" s="6">
        <f>IF($B$3="Anonimizados",IF($K153="","",IF(ISERROR(FIND(" ",$K153)),LEFT($K153,1)&amp;REPT("*",LEN($K153)-1),LEFT($K153,1)&amp;REPT("*",FIND(" ",$K153)-2)&amp;" "&amp;MID($K153,FIND(" ",$K153)+1,1)&amp;REPT("*",LEN($K153)-FIND(" ",$K153)-1))),$K153)</f>
      </c>
      <c r="G153" s="6">
        <f>IF($B$3="Anonimizados",IF($L153="","",IF(LEN($L153)&lt;6,LEFT($L153,1)&amp;REPT("*",LEN($L153)-1),LEFT($L153,1)&amp;"****"&amp;MID($L153,6,LEN($L153)-5))),$L153)</f>
      </c>
      <c r="H153" s="6">
        <f>IF($I153="","",INDEX(Registro!$I$2:$I$501,$I153))</f>
      </c>
      <c r="I153" s="0">
        <f>IFERROR(MATCH(141,Registro!$AE$2:$AE$501,0),"")</f>
      </c>
      <c r="J153" s="0">
        <f>IF($I153="","",INDEX(Registro!$E$2:$E$501,$I153))</f>
      </c>
      <c r="K153" s="0">
        <f>IF($I153="","",INDEX(Registro!$F$2:$F$501,$I153))</f>
      </c>
      <c r="L153" s="0">
        <f>IF($I153="","",INDEX(Registro!$G$2:$G$501,$I153))</f>
      </c>
    </row>
    <row r="154" spans="1:8">
      <c r="A154" s="6">
        <f>IF($I154="","",142)</f>
      </c>
      <c r="B154" s="6">
        <f>IF($I154="","",INDEX(Registro!$B$2:$B$501,$I154))</f>
      </c>
      <c r="C154" s="6">
        <f>IF($I154="","",INDEX(Registro!$H$2:$H$501,$I154))</f>
      </c>
      <c r="D154" s="6">
        <f>IF($I154="","",INDEX(Registro!$D$2:$D$501,$I154))</f>
      </c>
      <c r="E154" s="6">
        <f>IF($B$3="Anonimizados",IF($J154="","",IF(ISERROR(FIND(" ",$J154)),$J154,LEFT($J154,FIND(" ",$J154)-1)&amp;" "&amp;MID($J154,FIND(" ",$J154)+1,1)&amp;REPT("*",LEN($J154)-FIND(" ",$J154)-1))),$J154)</f>
      </c>
      <c r="F154" s="6">
        <f>IF($B$3="Anonimizados",IF($K154="","",IF(ISERROR(FIND(" ",$K154)),LEFT($K154,1)&amp;REPT("*",LEN($K154)-1),LEFT($K154,1)&amp;REPT("*",FIND(" ",$K154)-2)&amp;" "&amp;MID($K154,FIND(" ",$K154)+1,1)&amp;REPT("*",LEN($K154)-FIND(" ",$K154)-1))),$K154)</f>
      </c>
      <c r="G154" s="6">
        <f>IF($B$3="Anonimizados",IF($L154="","",IF(LEN($L154)&lt;6,LEFT($L154,1)&amp;REPT("*",LEN($L154)-1),LEFT($L154,1)&amp;"****"&amp;MID($L154,6,LEN($L154)-5))),$L154)</f>
      </c>
      <c r="H154" s="6">
        <f>IF($I154="","",INDEX(Registro!$I$2:$I$501,$I154))</f>
      </c>
      <c r="I154" s="0">
        <f>IFERROR(MATCH(142,Registro!$AE$2:$AE$501,0),"")</f>
      </c>
      <c r="J154" s="0">
        <f>IF($I154="","",INDEX(Registro!$E$2:$E$501,$I154))</f>
      </c>
      <c r="K154" s="0">
        <f>IF($I154="","",INDEX(Registro!$F$2:$F$501,$I154))</f>
      </c>
      <c r="L154" s="0">
        <f>IF($I154="","",INDEX(Registro!$G$2:$G$501,$I154))</f>
      </c>
    </row>
    <row r="155" spans="1:8">
      <c r="A155" s="6">
        <f>IF($I155="","",143)</f>
      </c>
      <c r="B155" s="6">
        <f>IF($I155="","",INDEX(Registro!$B$2:$B$501,$I155))</f>
      </c>
      <c r="C155" s="6">
        <f>IF($I155="","",INDEX(Registro!$H$2:$H$501,$I155))</f>
      </c>
      <c r="D155" s="6">
        <f>IF($I155="","",INDEX(Registro!$D$2:$D$501,$I155))</f>
      </c>
      <c r="E155" s="6">
        <f>IF($B$3="Anonimizados",IF($J155="","",IF(ISERROR(FIND(" ",$J155)),$J155,LEFT($J155,FIND(" ",$J155)-1)&amp;" "&amp;MID($J155,FIND(" ",$J155)+1,1)&amp;REPT("*",LEN($J155)-FIND(" ",$J155)-1))),$J155)</f>
      </c>
      <c r="F155" s="6">
        <f>IF($B$3="Anonimizados",IF($K155="","",IF(ISERROR(FIND(" ",$K155)),LEFT($K155,1)&amp;REPT("*",LEN($K155)-1),LEFT($K155,1)&amp;REPT("*",FIND(" ",$K155)-2)&amp;" "&amp;MID($K155,FIND(" ",$K155)+1,1)&amp;REPT("*",LEN($K155)-FIND(" ",$K155)-1))),$K155)</f>
      </c>
      <c r="G155" s="6">
        <f>IF($B$3="Anonimizados",IF($L155="","",IF(LEN($L155)&lt;6,LEFT($L155,1)&amp;REPT("*",LEN($L155)-1),LEFT($L155,1)&amp;"****"&amp;MID($L155,6,LEN($L155)-5))),$L155)</f>
      </c>
      <c r="H155" s="6">
        <f>IF($I155="","",INDEX(Registro!$I$2:$I$501,$I155))</f>
      </c>
      <c r="I155" s="0">
        <f>IFERROR(MATCH(143,Registro!$AE$2:$AE$501,0),"")</f>
      </c>
      <c r="J155" s="0">
        <f>IF($I155="","",INDEX(Registro!$E$2:$E$501,$I155))</f>
      </c>
      <c r="K155" s="0">
        <f>IF($I155="","",INDEX(Registro!$F$2:$F$501,$I155))</f>
      </c>
      <c r="L155" s="0">
        <f>IF($I155="","",INDEX(Registro!$G$2:$G$501,$I155))</f>
      </c>
    </row>
    <row r="156" spans="1:8">
      <c r="A156" s="6">
        <f>IF($I156="","",144)</f>
      </c>
      <c r="B156" s="6">
        <f>IF($I156="","",INDEX(Registro!$B$2:$B$501,$I156))</f>
      </c>
      <c r="C156" s="6">
        <f>IF($I156="","",INDEX(Registro!$H$2:$H$501,$I156))</f>
      </c>
      <c r="D156" s="6">
        <f>IF($I156="","",INDEX(Registro!$D$2:$D$501,$I156))</f>
      </c>
      <c r="E156" s="6">
        <f>IF($B$3="Anonimizados",IF($J156="","",IF(ISERROR(FIND(" ",$J156)),$J156,LEFT($J156,FIND(" ",$J156)-1)&amp;" "&amp;MID($J156,FIND(" ",$J156)+1,1)&amp;REPT("*",LEN($J156)-FIND(" ",$J156)-1))),$J156)</f>
      </c>
      <c r="F156" s="6">
        <f>IF($B$3="Anonimizados",IF($K156="","",IF(ISERROR(FIND(" ",$K156)),LEFT($K156,1)&amp;REPT("*",LEN($K156)-1),LEFT($K156,1)&amp;REPT("*",FIND(" ",$K156)-2)&amp;" "&amp;MID($K156,FIND(" ",$K156)+1,1)&amp;REPT("*",LEN($K156)-FIND(" ",$K156)-1))),$K156)</f>
      </c>
      <c r="G156" s="6">
        <f>IF($B$3="Anonimizados",IF($L156="","",IF(LEN($L156)&lt;6,LEFT($L156,1)&amp;REPT("*",LEN($L156)-1),LEFT($L156,1)&amp;"****"&amp;MID($L156,6,LEN($L156)-5))),$L156)</f>
      </c>
      <c r="H156" s="6">
        <f>IF($I156="","",INDEX(Registro!$I$2:$I$501,$I156))</f>
      </c>
      <c r="I156" s="0">
        <f>IFERROR(MATCH(144,Registro!$AE$2:$AE$501,0),"")</f>
      </c>
      <c r="J156" s="0">
        <f>IF($I156="","",INDEX(Registro!$E$2:$E$501,$I156))</f>
      </c>
      <c r="K156" s="0">
        <f>IF($I156="","",INDEX(Registro!$F$2:$F$501,$I156))</f>
      </c>
      <c r="L156" s="0">
        <f>IF($I156="","",INDEX(Registro!$G$2:$G$501,$I156))</f>
      </c>
    </row>
    <row r="157" spans="1:8">
      <c r="A157" s="6">
        <f>IF($I157="","",145)</f>
      </c>
      <c r="B157" s="6">
        <f>IF($I157="","",INDEX(Registro!$B$2:$B$501,$I157))</f>
      </c>
      <c r="C157" s="6">
        <f>IF($I157="","",INDEX(Registro!$H$2:$H$501,$I157))</f>
      </c>
      <c r="D157" s="6">
        <f>IF($I157="","",INDEX(Registro!$D$2:$D$501,$I157))</f>
      </c>
      <c r="E157" s="6">
        <f>IF($B$3="Anonimizados",IF($J157="","",IF(ISERROR(FIND(" ",$J157)),$J157,LEFT($J157,FIND(" ",$J157)-1)&amp;" "&amp;MID($J157,FIND(" ",$J157)+1,1)&amp;REPT("*",LEN($J157)-FIND(" ",$J157)-1))),$J157)</f>
      </c>
      <c r="F157" s="6">
        <f>IF($B$3="Anonimizados",IF($K157="","",IF(ISERROR(FIND(" ",$K157)),LEFT($K157,1)&amp;REPT("*",LEN($K157)-1),LEFT($K157,1)&amp;REPT("*",FIND(" ",$K157)-2)&amp;" "&amp;MID($K157,FIND(" ",$K157)+1,1)&amp;REPT("*",LEN($K157)-FIND(" ",$K157)-1))),$K157)</f>
      </c>
      <c r="G157" s="6">
        <f>IF($B$3="Anonimizados",IF($L157="","",IF(LEN($L157)&lt;6,LEFT($L157,1)&amp;REPT("*",LEN($L157)-1),LEFT($L157,1)&amp;"****"&amp;MID($L157,6,LEN($L157)-5))),$L157)</f>
      </c>
      <c r="H157" s="6">
        <f>IF($I157="","",INDEX(Registro!$I$2:$I$501,$I157))</f>
      </c>
      <c r="I157" s="0">
        <f>IFERROR(MATCH(145,Registro!$AE$2:$AE$501,0),"")</f>
      </c>
      <c r="J157" s="0">
        <f>IF($I157="","",INDEX(Registro!$E$2:$E$501,$I157))</f>
      </c>
      <c r="K157" s="0">
        <f>IF($I157="","",INDEX(Registro!$F$2:$F$501,$I157))</f>
      </c>
      <c r="L157" s="0">
        <f>IF($I157="","",INDEX(Registro!$G$2:$G$501,$I157))</f>
      </c>
    </row>
    <row r="158" spans="1:8">
      <c r="A158" s="6">
        <f>IF($I158="","",146)</f>
      </c>
      <c r="B158" s="6">
        <f>IF($I158="","",INDEX(Registro!$B$2:$B$501,$I158))</f>
      </c>
      <c r="C158" s="6">
        <f>IF($I158="","",INDEX(Registro!$H$2:$H$501,$I158))</f>
      </c>
      <c r="D158" s="6">
        <f>IF($I158="","",INDEX(Registro!$D$2:$D$501,$I158))</f>
      </c>
      <c r="E158" s="6">
        <f>IF($B$3="Anonimizados",IF($J158="","",IF(ISERROR(FIND(" ",$J158)),$J158,LEFT($J158,FIND(" ",$J158)-1)&amp;" "&amp;MID($J158,FIND(" ",$J158)+1,1)&amp;REPT("*",LEN($J158)-FIND(" ",$J158)-1))),$J158)</f>
      </c>
      <c r="F158" s="6">
        <f>IF($B$3="Anonimizados",IF($K158="","",IF(ISERROR(FIND(" ",$K158)),LEFT($K158,1)&amp;REPT("*",LEN($K158)-1),LEFT($K158,1)&amp;REPT("*",FIND(" ",$K158)-2)&amp;" "&amp;MID($K158,FIND(" ",$K158)+1,1)&amp;REPT("*",LEN($K158)-FIND(" ",$K158)-1))),$K158)</f>
      </c>
      <c r="G158" s="6">
        <f>IF($B$3="Anonimizados",IF($L158="","",IF(LEN($L158)&lt;6,LEFT($L158,1)&amp;REPT("*",LEN($L158)-1),LEFT($L158,1)&amp;"****"&amp;MID($L158,6,LEN($L158)-5))),$L158)</f>
      </c>
      <c r="H158" s="6">
        <f>IF($I158="","",INDEX(Registro!$I$2:$I$501,$I158))</f>
      </c>
      <c r="I158" s="0">
        <f>IFERROR(MATCH(146,Registro!$AE$2:$AE$501,0),"")</f>
      </c>
      <c r="J158" s="0">
        <f>IF($I158="","",INDEX(Registro!$E$2:$E$501,$I158))</f>
      </c>
      <c r="K158" s="0">
        <f>IF($I158="","",INDEX(Registro!$F$2:$F$501,$I158))</f>
      </c>
      <c r="L158" s="0">
        <f>IF($I158="","",INDEX(Registro!$G$2:$G$501,$I158))</f>
      </c>
    </row>
    <row r="159" spans="1:8">
      <c r="A159" s="6">
        <f>IF($I159="","",147)</f>
      </c>
      <c r="B159" s="6">
        <f>IF($I159="","",INDEX(Registro!$B$2:$B$501,$I159))</f>
      </c>
      <c r="C159" s="6">
        <f>IF($I159="","",INDEX(Registro!$H$2:$H$501,$I159))</f>
      </c>
      <c r="D159" s="6">
        <f>IF($I159="","",INDEX(Registro!$D$2:$D$501,$I159))</f>
      </c>
      <c r="E159" s="6">
        <f>IF($B$3="Anonimizados",IF($J159="","",IF(ISERROR(FIND(" ",$J159)),$J159,LEFT($J159,FIND(" ",$J159)-1)&amp;" "&amp;MID($J159,FIND(" ",$J159)+1,1)&amp;REPT("*",LEN($J159)-FIND(" ",$J159)-1))),$J159)</f>
      </c>
      <c r="F159" s="6">
        <f>IF($B$3="Anonimizados",IF($K159="","",IF(ISERROR(FIND(" ",$K159)),LEFT($K159,1)&amp;REPT("*",LEN($K159)-1),LEFT($K159,1)&amp;REPT("*",FIND(" ",$K159)-2)&amp;" "&amp;MID($K159,FIND(" ",$K159)+1,1)&amp;REPT("*",LEN($K159)-FIND(" ",$K159)-1))),$K159)</f>
      </c>
      <c r="G159" s="6">
        <f>IF($B$3="Anonimizados",IF($L159="","",IF(LEN($L159)&lt;6,LEFT($L159,1)&amp;REPT("*",LEN($L159)-1),LEFT($L159,1)&amp;"****"&amp;MID($L159,6,LEN($L159)-5))),$L159)</f>
      </c>
      <c r="H159" s="6">
        <f>IF($I159="","",INDEX(Registro!$I$2:$I$501,$I159))</f>
      </c>
      <c r="I159" s="0">
        <f>IFERROR(MATCH(147,Registro!$AE$2:$AE$501,0),"")</f>
      </c>
      <c r="J159" s="0">
        <f>IF($I159="","",INDEX(Registro!$E$2:$E$501,$I159))</f>
      </c>
      <c r="K159" s="0">
        <f>IF($I159="","",INDEX(Registro!$F$2:$F$501,$I159))</f>
      </c>
      <c r="L159" s="0">
        <f>IF($I159="","",INDEX(Registro!$G$2:$G$501,$I159))</f>
      </c>
    </row>
    <row r="160" spans="1:8">
      <c r="A160" s="6">
        <f>IF($I160="","",148)</f>
      </c>
      <c r="B160" s="6">
        <f>IF($I160="","",INDEX(Registro!$B$2:$B$501,$I160))</f>
      </c>
      <c r="C160" s="6">
        <f>IF($I160="","",INDEX(Registro!$H$2:$H$501,$I160))</f>
      </c>
      <c r="D160" s="6">
        <f>IF($I160="","",INDEX(Registro!$D$2:$D$501,$I160))</f>
      </c>
      <c r="E160" s="6">
        <f>IF($B$3="Anonimizados",IF($J160="","",IF(ISERROR(FIND(" ",$J160)),$J160,LEFT($J160,FIND(" ",$J160)-1)&amp;" "&amp;MID($J160,FIND(" ",$J160)+1,1)&amp;REPT("*",LEN($J160)-FIND(" ",$J160)-1))),$J160)</f>
      </c>
      <c r="F160" s="6">
        <f>IF($B$3="Anonimizados",IF($K160="","",IF(ISERROR(FIND(" ",$K160)),LEFT($K160,1)&amp;REPT("*",LEN($K160)-1),LEFT($K160,1)&amp;REPT("*",FIND(" ",$K160)-2)&amp;" "&amp;MID($K160,FIND(" ",$K160)+1,1)&amp;REPT("*",LEN($K160)-FIND(" ",$K160)-1))),$K160)</f>
      </c>
      <c r="G160" s="6">
        <f>IF($B$3="Anonimizados",IF($L160="","",IF(LEN($L160)&lt;6,LEFT($L160,1)&amp;REPT("*",LEN($L160)-1),LEFT($L160,1)&amp;"****"&amp;MID($L160,6,LEN($L160)-5))),$L160)</f>
      </c>
      <c r="H160" s="6">
        <f>IF($I160="","",INDEX(Registro!$I$2:$I$501,$I160))</f>
      </c>
      <c r="I160" s="0">
        <f>IFERROR(MATCH(148,Registro!$AE$2:$AE$501,0),"")</f>
      </c>
      <c r="J160" s="0">
        <f>IF($I160="","",INDEX(Registro!$E$2:$E$501,$I160))</f>
      </c>
      <c r="K160" s="0">
        <f>IF($I160="","",INDEX(Registro!$F$2:$F$501,$I160))</f>
      </c>
      <c r="L160" s="0">
        <f>IF($I160="","",INDEX(Registro!$G$2:$G$501,$I160))</f>
      </c>
    </row>
    <row r="161" spans="1:8">
      <c r="A161" s="6">
        <f>IF($I161="","",149)</f>
      </c>
      <c r="B161" s="6">
        <f>IF($I161="","",INDEX(Registro!$B$2:$B$501,$I161))</f>
      </c>
      <c r="C161" s="6">
        <f>IF($I161="","",INDEX(Registro!$H$2:$H$501,$I161))</f>
      </c>
      <c r="D161" s="6">
        <f>IF($I161="","",INDEX(Registro!$D$2:$D$501,$I161))</f>
      </c>
      <c r="E161" s="6">
        <f>IF($B$3="Anonimizados",IF($J161="","",IF(ISERROR(FIND(" ",$J161)),$J161,LEFT($J161,FIND(" ",$J161)-1)&amp;" "&amp;MID($J161,FIND(" ",$J161)+1,1)&amp;REPT("*",LEN($J161)-FIND(" ",$J161)-1))),$J161)</f>
      </c>
      <c r="F161" s="6">
        <f>IF($B$3="Anonimizados",IF($K161="","",IF(ISERROR(FIND(" ",$K161)),LEFT($K161,1)&amp;REPT("*",LEN($K161)-1),LEFT($K161,1)&amp;REPT("*",FIND(" ",$K161)-2)&amp;" "&amp;MID($K161,FIND(" ",$K161)+1,1)&amp;REPT("*",LEN($K161)-FIND(" ",$K161)-1))),$K161)</f>
      </c>
      <c r="G161" s="6">
        <f>IF($B$3="Anonimizados",IF($L161="","",IF(LEN($L161)&lt;6,LEFT($L161,1)&amp;REPT("*",LEN($L161)-1),LEFT($L161,1)&amp;"****"&amp;MID($L161,6,LEN($L161)-5))),$L161)</f>
      </c>
      <c r="H161" s="6">
        <f>IF($I161="","",INDEX(Registro!$I$2:$I$501,$I161))</f>
      </c>
      <c r="I161" s="0">
        <f>IFERROR(MATCH(149,Registro!$AE$2:$AE$501,0),"")</f>
      </c>
      <c r="J161" s="0">
        <f>IF($I161="","",INDEX(Registro!$E$2:$E$501,$I161))</f>
      </c>
      <c r="K161" s="0">
        <f>IF($I161="","",INDEX(Registro!$F$2:$F$501,$I161))</f>
      </c>
      <c r="L161" s="0">
        <f>IF($I161="","",INDEX(Registro!$G$2:$G$501,$I161))</f>
      </c>
    </row>
    <row r="162" spans="1:8">
      <c r="A162" s="6">
        <f>IF($I162="","",150)</f>
      </c>
      <c r="B162" s="6">
        <f>IF($I162="","",INDEX(Registro!$B$2:$B$501,$I162))</f>
      </c>
      <c r="C162" s="6">
        <f>IF($I162="","",INDEX(Registro!$H$2:$H$501,$I162))</f>
      </c>
      <c r="D162" s="6">
        <f>IF($I162="","",INDEX(Registro!$D$2:$D$501,$I162))</f>
      </c>
      <c r="E162" s="6">
        <f>IF($B$3="Anonimizados",IF($J162="","",IF(ISERROR(FIND(" ",$J162)),$J162,LEFT($J162,FIND(" ",$J162)-1)&amp;" "&amp;MID($J162,FIND(" ",$J162)+1,1)&amp;REPT("*",LEN($J162)-FIND(" ",$J162)-1))),$J162)</f>
      </c>
      <c r="F162" s="6">
        <f>IF($B$3="Anonimizados",IF($K162="","",IF(ISERROR(FIND(" ",$K162)),LEFT($K162,1)&amp;REPT("*",LEN($K162)-1),LEFT($K162,1)&amp;REPT("*",FIND(" ",$K162)-2)&amp;" "&amp;MID($K162,FIND(" ",$K162)+1,1)&amp;REPT("*",LEN($K162)-FIND(" ",$K162)-1))),$K162)</f>
      </c>
      <c r="G162" s="6">
        <f>IF($B$3="Anonimizados",IF($L162="","",IF(LEN($L162)&lt;6,LEFT($L162,1)&amp;REPT("*",LEN($L162)-1),LEFT($L162,1)&amp;"****"&amp;MID($L162,6,LEN($L162)-5))),$L162)</f>
      </c>
      <c r="H162" s="6">
        <f>IF($I162="","",INDEX(Registro!$I$2:$I$501,$I162))</f>
      </c>
      <c r="I162" s="0">
        <f>IFERROR(MATCH(150,Registro!$AE$2:$AE$501,0),"")</f>
      </c>
      <c r="J162" s="0">
        <f>IF($I162="","",INDEX(Registro!$E$2:$E$501,$I162))</f>
      </c>
      <c r="K162" s="0">
        <f>IF($I162="","",INDEX(Registro!$F$2:$F$501,$I162))</f>
      </c>
      <c r="L162" s="0">
        <f>IF($I162="","",INDEX(Registro!$G$2:$G$501,$I162))</f>
      </c>
    </row>
    <row r="163" spans="1:8" ht="22" customHeight="1">
      <c r="A163" s="7">
        <f>IF(COUNT(Registro!$AE$2:$AE$501)&gt;150,"Hay "&amp;(COUNT(Registro!$AE$2:$AE$501)-150)&amp;" filas más que no caben en este informe. Avisa para ampliarlo.","")</f>
      </c>
      <c r="B163" s="7"/>
      <c r="C163" s="7"/>
      <c r="D163" s="7"/>
      <c r="E163" s="7"/>
      <c r="F163" s="7"/>
      <c r="G163" s="7"/>
      <c r="H163" s="7"/>
    </row>
  </sheetData>
  <sheetProtection sheet="1" objects="1" scenarios="1" formatCells="1" formatColumns="1" formatRows="1" insertColumns="1" insertRows="1" insertHyperlinks="1" deleteColumns="1" deleteRows="1" sort="1" autoFilter="0" pivotTables="1" selectLockedCells="0" selectUnlockedCells="0"/>
  <mergeCells count="9">
    <mergeCell ref="A6:D6"/>
    <mergeCell ref="A7:D7"/>
    <mergeCell ref="A8:D8"/>
    <mergeCell ref="A9:D9"/>
    <mergeCell ref="A10:D10"/>
    <mergeCell ref="A1:H1"/>
    <mergeCell ref="A2:H2"/>
    <mergeCell ref="A4:H4"/>
    <mergeCell ref="A163:H163"/>
  </mergeCells>
  <conditionalFormatting sqref="A4:H4">
    <cfRule type="expression" dxfId="2" priority="1">
      <formula>$B$3="Visibles"</formula>
    </cfRule>
    <cfRule type="expression" dxfId="11" priority="2">
      <formula>$B$3="Anonimizados"</formula>
    </cfRule>
  </conditionalFormatting>
  <dataValidations count="1">
    <dataValidation type="list" allowBlank="1" showInputMessage="1" showErrorMessage="1" errorStyle="stop" errorTitle="Elige una opción" error="Visibles o Anonimizados." promptTitle="Datos personales" prompt="Anonimizados sustituye por asteriscos parte de los apellidos, los nombres y el NIA." sqref="B3">
      <formula1>"Visibles,Anonimizados"</formula1>
    </dataValidation>
  </dataValidations>
  <printOptions horizontalCentered="1"/>
  <pageMargins left="0.4" right="0.4" top="0.6" bottom="0.6" header="0.3" footer="0.3"/>
  <pageSetup paperSize="9" orientation="landscape" fitToWidth="1" fitToHeight="0" horizontalDpi="300" verticalDpi="300"/>
  <headerFooter>
    <oddFooter>&amp;L&amp;"Arial,Regular"&amp;8BAJAS DEL CENTRO&amp;C&amp;"Arial,Regular"&amp;8&amp;D&amp;R&amp;"Arial,Regular"&amp;8Página &amp;P de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H159"/>
  <sheetViews>
    <sheetView showGridLines="0" workbookViewId="0">
      <pane ySplit="8" topLeftCell="A9" activePane="bottomLeft" state="frozen"/>
    </sheetView>
  </sheetViews>
  <sheetFormatPr baseColWidth="10" defaultRowHeight="16"/>
  <cols>
    <col min="1" max="1" width="6" customWidth="1"/>
    <col min="2" max="2" width="34" customWidth="1"/>
    <col min="3" max="3" width="14" customWidth="1"/>
    <col min="4" max="4" width="26" customWidth="1"/>
    <col min="5" max="5" width="20" customWidth="1"/>
    <col min="6" max="6" width="14" customWidth="1"/>
    <col min="7" max="7" width="14" customWidth="1"/>
    <col min="8" max="8" width="9" hidden="1" customWidth="1"/>
  </cols>
  <sheetData>
    <row r="1" spans="1:7" ht="30" customHeight="1">
      <c r="A1" s="46" t="inlineStr">
        <is>
          <t xml:space="preserve">HORAS DISPONIBLES POR ESPECIALIDAD</t>
        </is>
      </c>
      <c r="B1" s="46"/>
      <c r="C1" s="46"/>
      <c r="D1" s="46"/>
      <c r="E1" s="46"/>
      <c r="F1" s="46"/>
      <c r="G1" s="46"/>
    </row>
    <row r="2" spans="1:7" ht="20" customHeight="1">
      <c r="A2" s="7">
        <f>"Centro: "&amp;IF(Portada!$B$4="","(sin indicar)",Portada!$B$4)&amp;"      ·      Código: "&amp;IF(Portada!$B$5="","(sin indicar)",Portada!$B$5)&amp;"      ·      Curso "&amp;Portada!$B$6</f>
      </c>
      <c r="B2" s="7"/>
      <c r="C2" s="7"/>
      <c r="D2" s="7"/>
      <c r="E2" s="7"/>
      <c r="F2" s="7"/>
      <c r="G2" s="7"/>
    </row>
    <row r="4" spans="1:7" ht="18" customHeight="1">
      <c r="A4" s="10" t="inlineStr">
        <is>
          <t xml:space="preserve">Total de horas disponibles:</t>
        </is>
      </c>
      <c r="D4" s="11">
        <f>COUNT(Registro!$AF$2:$AF$501)</f>
      </c>
    </row>
    <row r="5" spans="1:7" ht="18" customHeight="1">
      <c r="A5" s="10" t="inlineStr">
        <is>
          <t xml:space="preserve">De ellas, horas completas:</t>
        </is>
      </c>
      <c r="D5" s="11">
        <f>COUNTIFS(Registro!$Q$2:$Q$501,"Disponible",Registro!$N$2:$N$501,"1 hora")</f>
      </c>
    </row>
    <row r="6" spans="1:7" ht="18" customHeight="1">
      <c r="A6" s="10" t="inlineStr">
        <is>
          <t xml:space="preserve">De ellas, medias horas:</t>
        </is>
      </c>
      <c r="D6" s="11">
        <f>COUNTIFS(Registro!$Q$2:$Q$501,"Disponible",Registro!$N$2:$N$501,"30 minutos")</f>
      </c>
    </row>
    <row r="8" spans="1:7" ht="32" customHeight="1">
      <c r="A8" s="3" t="inlineStr">
        <is>
          <t xml:space="preserve">Nº</t>
        </is>
      </c>
      <c r="B8" s="3" t="inlineStr">
        <is>
          <t xml:space="preserve">Especialidad</t>
        </is>
      </c>
      <c r="C8" s="3" t="inlineStr">
        <is>
          <t xml:space="preserve">Curso</t>
        </is>
      </c>
      <c r="D8" s="3" t="inlineStr">
        <is>
          <t xml:space="preserve">Docente</t>
        </is>
      </c>
      <c r="E8" s="3" t="inlineStr">
        <is>
          <t xml:space="preserve">Horario</t>
        </is>
      </c>
      <c r="F8" s="3" t="inlineStr">
        <is>
          <t xml:space="preserve">Duración</t>
        </is>
      </c>
      <c r="G8" s="3" t="inlineStr">
        <is>
          <t xml:space="preserve">Alta</t>
        </is>
      </c>
    </row>
    <row r="9" spans="1:7">
      <c r="A9" s="6">
        <f>IF($H9="","",1)</f>
      </c>
      <c r="B9" s="6">
        <f>IF($H9="","",INDEX(Registro!$D$2:$D$501,$H9))</f>
      </c>
      <c r="C9" s="6">
        <f>IF($H9="","",INDEX(Registro!$H$2:$H$501,$H9))</f>
      </c>
      <c r="D9" s="6">
        <f>IF($H9="","",INDEX(Registro!$K$2:$K$501,$H9))</f>
      </c>
      <c r="E9" s="6">
        <f>IF($H9="","",INDEX(Registro!$M$2:$M$501,$H9))</f>
      </c>
      <c r="F9" s="6">
        <f>IF($H9="","",INDEX(Registro!$N$2:$N$501,$H9))</f>
      </c>
      <c r="G9" s="6">
        <f>IF($H9="","",INDEX(Registro!$B$2:$B$501,$H9))</f>
      </c>
      <c r="H9" s="0">
        <f>IFERROR(MATCH(1,Registro!$AF$2:$AF$501,0),"")</f>
      </c>
    </row>
    <row r="10" spans="1:7">
      <c r="A10" s="6">
        <f>IF($H10="","",2)</f>
      </c>
      <c r="B10" s="6">
        <f>IF($H10="","",INDEX(Registro!$D$2:$D$501,$H10))</f>
      </c>
      <c r="C10" s="6">
        <f>IF($H10="","",INDEX(Registro!$H$2:$H$501,$H10))</f>
      </c>
      <c r="D10" s="6">
        <f>IF($H10="","",INDEX(Registro!$K$2:$K$501,$H10))</f>
      </c>
      <c r="E10" s="6">
        <f>IF($H10="","",INDEX(Registro!$M$2:$M$501,$H10))</f>
      </c>
      <c r="F10" s="6">
        <f>IF($H10="","",INDEX(Registro!$N$2:$N$501,$H10))</f>
      </c>
      <c r="G10" s="6">
        <f>IF($H10="","",INDEX(Registro!$B$2:$B$501,$H10))</f>
      </c>
      <c r="H10" s="0">
        <f>IFERROR(MATCH(2,Registro!$AF$2:$AF$501,0),"")</f>
      </c>
    </row>
    <row r="11" spans="1:7">
      <c r="A11" s="6">
        <f>IF($H11="","",3)</f>
      </c>
      <c r="B11" s="6">
        <f>IF($H11="","",INDEX(Registro!$D$2:$D$501,$H11))</f>
      </c>
      <c r="C11" s="6">
        <f>IF($H11="","",INDEX(Registro!$H$2:$H$501,$H11))</f>
      </c>
      <c r="D11" s="6">
        <f>IF($H11="","",INDEX(Registro!$K$2:$K$501,$H11))</f>
      </c>
      <c r="E11" s="6">
        <f>IF($H11="","",INDEX(Registro!$M$2:$M$501,$H11))</f>
      </c>
      <c r="F11" s="6">
        <f>IF($H11="","",INDEX(Registro!$N$2:$N$501,$H11))</f>
      </c>
      <c r="G11" s="6">
        <f>IF($H11="","",INDEX(Registro!$B$2:$B$501,$H11))</f>
      </c>
      <c r="H11" s="0">
        <f>IFERROR(MATCH(3,Registro!$AF$2:$AF$501,0),"")</f>
      </c>
    </row>
    <row r="12" spans="1:7">
      <c r="A12" s="6">
        <f>IF($H12="","",4)</f>
      </c>
      <c r="B12" s="6">
        <f>IF($H12="","",INDEX(Registro!$D$2:$D$501,$H12))</f>
      </c>
      <c r="C12" s="6">
        <f>IF($H12="","",INDEX(Registro!$H$2:$H$501,$H12))</f>
      </c>
      <c r="D12" s="6">
        <f>IF($H12="","",INDEX(Registro!$K$2:$K$501,$H12))</f>
      </c>
      <c r="E12" s="6">
        <f>IF($H12="","",INDEX(Registro!$M$2:$M$501,$H12))</f>
      </c>
      <c r="F12" s="6">
        <f>IF($H12="","",INDEX(Registro!$N$2:$N$501,$H12))</f>
      </c>
      <c r="G12" s="6">
        <f>IF($H12="","",INDEX(Registro!$B$2:$B$501,$H12))</f>
      </c>
      <c r="H12" s="0">
        <f>IFERROR(MATCH(4,Registro!$AF$2:$AF$501,0),"")</f>
      </c>
    </row>
    <row r="13" spans="1:7">
      <c r="A13" s="6">
        <f>IF($H13="","",5)</f>
      </c>
      <c r="B13" s="6">
        <f>IF($H13="","",INDEX(Registro!$D$2:$D$501,$H13))</f>
      </c>
      <c r="C13" s="6">
        <f>IF($H13="","",INDEX(Registro!$H$2:$H$501,$H13))</f>
      </c>
      <c r="D13" s="6">
        <f>IF($H13="","",INDEX(Registro!$K$2:$K$501,$H13))</f>
      </c>
      <c r="E13" s="6">
        <f>IF($H13="","",INDEX(Registro!$M$2:$M$501,$H13))</f>
      </c>
      <c r="F13" s="6">
        <f>IF($H13="","",INDEX(Registro!$N$2:$N$501,$H13))</f>
      </c>
      <c r="G13" s="6">
        <f>IF($H13="","",INDEX(Registro!$B$2:$B$501,$H13))</f>
      </c>
      <c r="H13" s="0">
        <f>IFERROR(MATCH(5,Registro!$AF$2:$AF$501,0),"")</f>
      </c>
    </row>
    <row r="14" spans="1:7">
      <c r="A14" s="6">
        <f>IF($H14="","",6)</f>
      </c>
      <c r="B14" s="6">
        <f>IF($H14="","",INDEX(Registro!$D$2:$D$501,$H14))</f>
      </c>
      <c r="C14" s="6">
        <f>IF($H14="","",INDEX(Registro!$H$2:$H$501,$H14))</f>
      </c>
      <c r="D14" s="6">
        <f>IF($H14="","",INDEX(Registro!$K$2:$K$501,$H14))</f>
      </c>
      <c r="E14" s="6">
        <f>IF($H14="","",INDEX(Registro!$M$2:$M$501,$H14))</f>
      </c>
      <c r="F14" s="6">
        <f>IF($H14="","",INDEX(Registro!$N$2:$N$501,$H14))</f>
      </c>
      <c r="G14" s="6">
        <f>IF($H14="","",INDEX(Registro!$B$2:$B$501,$H14))</f>
      </c>
      <c r="H14" s="0">
        <f>IFERROR(MATCH(6,Registro!$AF$2:$AF$501,0),"")</f>
      </c>
    </row>
    <row r="15" spans="1:7">
      <c r="A15" s="6">
        <f>IF($H15="","",7)</f>
      </c>
      <c r="B15" s="6">
        <f>IF($H15="","",INDEX(Registro!$D$2:$D$501,$H15))</f>
      </c>
      <c r="C15" s="6">
        <f>IF($H15="","",INDEX(Registro!$H$2:$H$501,$H15))</f>
      </c>
      <c r="D15" s="6">
        <f>IF($H15="","",INDEX(Registro!$K$2:$K$501,$H15))</f>
      </c>
      <c r="E15" s="6">
        <f>IF($H15="","",INDEX(Registro!$M$2:$M$501,$H15))</f>
      </c>
      <c r="F15" s="6">
        <f>IF($H15="","",INDEX(Registro!$N$2:$N$501,$H15))</f>
      </c>
      <c r="G15" s="6">
        <f>IF($H15="","",INDEX(Registro!$B$2:$B$501,$H15))</f>
      </c>
      <c r="H15" s="0">
        <f>IFERROR(MATCH(7,Registro!$AF$2:$AF$501,0),"")</f>
      </c>
    </row>
    <row r="16" spans="1:7">
      <c r="A16" s="6">
        <f>IF($H16="","",8)</f>
      </c>
      <c r="B16" s="6">
        <f>IF($H16="","",INDEX(Registro!$D$2:$D$501,$H16))</f>
      </c>
      <c r="C16" s="6">
        <f>IF($H16="","",INDEX(Registro!$H$2:$H$501,$H16))</f>
      </c>
      <c r="D16" s="6">
        <f>IF($H16="","",INDEX(Registro!$K$2:$K$501,$H16))</f>
      </c>
      <c r="E16" s="6">
        <f>IF($H16="","",INDEX(Registro!$M$2:$M$501,$H16))</f>
      </c>
      <c r="F16" s="6">
        <f>IF($H16="","",INDEX(Registro!$N$2:$N$501,$H16))</f>
      </c>
      <c r="G16" s="6">
        <f>IF($H16="","",INDEX(Registro!$B$2:$B$501,$H16))</f>
      </c>
      <c r="H16" s="0">
        <f>IFERROR(MATCH(8,Registro!$AF$2:$AF$501,0),"")</f>
      </c>
    </row>
    <row r="17" spans="1:7">
      <c r="A17" s="6">
        <f>IF($H17="","",9)</f>
      </c>
      <c r="B17" s="6">
        <f>IF($H17="","",INDEX(Registro!$D$2:$D$501,$H17))</f>
      </c>
      <c r="C17" s="6">
        <f>IF($H17="","",INDEX(Registro!$H$2:$H$501,$H17))</f>
      </c>
      <c r="D17" s="6">
        <f>IF($H17="","",INDEX(Registro!$K$2:$K$501,$H17))</f>
      </c>
      <c r="E17" s="6">
        <f>IF($H17="","",INDEX(Registro!$M$2:$M$501,$H17))</f>
      </c>
      <c r="F17" s="6">
        <f>IF($H17="","",INDEX(Registro!$N$2:$N$501,$H17))</f>
      </c>
      <c r="G17" s="6">
        <f>IF($H17="","",INDEX(Registro!$B$2:$B$501,$H17))</f>
      </c>
      <c r="H17" s="0">
        <f>IFERROR(MATCH(9,Registro!$AF$2:$AF$501,0),"")</f>
      </c>
    </row>
    <row r="18" spans="1:7">
      <c r="A18" s="6">
        <f>IF($H18="","",10)</f>
      </c>
      <c r="B18" s="6">
        <f>IF($H18="","",INDEX(Registro!$D$2:$D$501,$H18))</f>
      </c>
      <c r="C18" s="6">
        <f>IF($H18="","",INDEX(Registro!$H$2:$H$501,$H18))</f>
      </c>
      <c r="D18" s="6">
        <f>IF($H18="","",INDEX(Registro!$K$2:$K$501,$H18))</f>
      </c>
      <c r="E18" s="6">
        <f>IF($H18="","",INDEX(Registro!$M$2:$M$501,$H18))</f>
      </c>
      <c r="F18" s="6">
        <f>IF($H18="","",INDEX(Registro!$N$2:$N$501,$H18))</f>
      </c>
      <c r="G18" s="6">
        <f>IF($H18="","",INDEX(Registro!$B$2:$B$501,$H18))</f>
      </c>
      <c r="H18" s="0">
        <f>IFERROR(MATCH(10,Registro!$AF$2:$AF$501,0),"")</f>
      </c>
    </row>
    <row r="19" spans="1:7">
      <c r="A19" s="6">
        <f>IF($H19="","",11)</f>
      </c>
      <c r="B19" s="6">
        <f>IF($H19="","",INDEX(Registro!$D$2:$D$501,$H19))</f>
      </c>
      <c r="C19" s="6">
        <f>IF($H19="","",INDEX(Registro!$H$2:$H$501,$H19))</f>
      </c>
      <c r="D19" s="6">
        <f>IF($H19="","",INDEX(Registro!$K$2:$K$501,$H19))</f>
      </c>
      <c r="E19" s="6">
        <f>IF($H19="","",INDEX(Registro!$M$2:$M$501,$H19))</f>
      </c>
      <c r="F19" s="6">
        <f>IF($H19="","",INDEX(Registro!$N$2:$N$501,$H19))</f>
      </c>
      <c r="G19" s="6">
        <f>IF($H19="","",INDEX(Registro!$B$2:$B$501,$H19))</f>
      </c>
      <c r="H19" s="0">
        <f>IFERROR(MATCH(11,Registro!$AF$2:$AF$501,0),"")</f>
      </c>
    </row>
    <row r="20" spans="1:7">
      <c r="A20" s="6">
        <f>IF($H20="","",12)</f>
      </c>
      <c r="B20" s="6">
        <f>IF($H20="","",INDEX(Registro!$D$2:$D$501,$H20))</f>
      </c>
      <c r="C20" s="6">
        <f>IF($H20="","",INDEX(Registro!$H$2:$H$501,$H20))</f>
      </c>
      <c r="D20" s="6">
        <f>IF($H20="","",INDEX(Registro!$K$2:$K$501,$H20))</f>
      </c>
      <c r="E20" s="6">
        <f>IF($H20="","",INDEX(Registro!$M$2:$M$501,$H20))</f>
      </c>
      <c r="F20" s="6">
        <f>IF($H20="","",INDEX(Registro!$N$2:$N$501,$H20))</f>
      </c>
      <c r="G20" s="6">
        <f>IF($H20="","",INDEX(Registro!$B$2:$B$501,$H20))</f>
      </c>
      <c r="H20" s="0">
        <f>IFERROR(MATCH(12,Registro!$AF$2:$AF$501,0),"")</f>
      </c>
    </row>
    <row r="21" spans="1:7">
      <c r="A21" s="6">
        <f>IF($H21="","",13)</f>
      </c>
      <c r="B21" s="6">
        <f>IF($H21="","",INDEX(Registro!$D$2:$D$501,$H21))</f>
      </c>
      <c r="C21" s="6">
        <f>IF($H21="","",INDEX(Registro!$H$2:$H$501,$H21))</f>
      </c>
      <c r="D21" s="6">
        <f>IF($H21="","",INDEX(Registro!$K$2:$K$501,$H21))</f>
      </c>
      <c r="E21" s="6">
        <f>IF($H21="","",INDEX(Registro!$M$2:$M$501,$H21))</f>
      </c>
      <c r="F21" s="6">
        <f>IF($H21="","",INDEX(Registro!$N$2:$N$501,$H21))</f>
      </c>
      <c r="G21" s="6">
        <f>IF($H21="","",INDEX(Registro!$B$2:$B$501,$H21))</f>
      </c>
      <c r="H21" s="0">
        <f>IFERROR(MATCH(13,Registro!$AF$2:$AF$501,0),"")</f>
      </c>
    </row>
    <row r="22" spans="1:7">
      <c r="A22" s="6">
        <f>IF($H22="","",14)</f>
      </c>
      <c r="B22" s="6">
        <f>IF($H22="","",INDEX(Registro!$D$2:$D$501,$H22))</f>
      </c>
      <c r="C22" s="6">
        <f>IF($H22="","",INDEX(Registro!$H$2:$H$501,$H22))</f>
      </c>
      <c r="D22" s="6">
        <f>IF($H22="","",INDEX(Registro!$K$2:$K$501,$H22))</f>
      </c>
      <c r="E22" s="6">
        <f>IF($H22="","",INDEX(Registro!$M$2:$M$501,$H22))</f>
      </c>
      <c r="F22" s="6">
        <f>IF($H22="","",INDEX(Registro!$N$2:$N$501,$H22))</f>
      </c>
      <c r="G22" s="6">
        <f>IF($H22="","",INDEX(Registro!$B$2:$B$501,$H22))</f>
      </c>
      <c r="H22" s="0">
        <f>IFERROR(MATCH(14,Registro!$AF$2:$AF$501,0),"")</f>
      </c>
    </row>
    <row r="23" spans="1:7">
      <c r="A23" s="6">
        <f>IF($H23="","",15)</f>
      </c>
      <c r="B23" s="6">
        <f>IF($H23="","",INDEX(Registro!$D$2:$D$501,$H23))</f>
      </c>
      <c r="C23" s="6">
        <f>IF($H23="","",INDEX(Registro!$H$2:$H$501,$H23))</f>
      </c>
      <c r="D23" s="6">
        <f>IF($H23="","",INDEX(Registro!$K$2:$K$501,$H23))</f>
      </c>
      <c r="E23" s="6">
        <f>IF($H23="","",INDEX(Registro!$M$2:$M$501,$H23))</f>
      </c>
      <c r="F23" s="6">
        <f>IF($H23="","",INDEX(Registro!$N$2:$N$501,$H23))</f>
      </c>
      <c r="G23" s="6">
        <f>IF($H23="","",INDEX(Registro!$B$2:$B$501,$H23))</f>
      </c>
      <c r="H23" s="0">
        <f>IFERROR(MATCH(15,Registro!$AF$2:$AF$501,0),"")</f>
      </c>
    </row>
    <row r="24" spans="1:7">
      <c r="A24" s="6">
        <f>IF($H24="","",16)</f>
      </c>
      <c r="B24" s="6">
        <f>IF($H24="","",INDEX(Registro!$D$2:$D$501,$H24))</f>
      </c>
      <c r="C24" s="6">
        <f>IF($H24="","",INDEX(Registro!$H$2:$H$501,$H24))</f>
      </c>
      <c r="D24" s="6">
        <f>IF($H24="","",INDEX(Registro!$K$2:$K$501,$H24))</f>
      </c>
      <c r="E24" s="6">
        <f>IF($H24="","",INDEX(Registro!$M$2:$M$501,$H24))</f>
      </c>
      <c r="F24" s="6">
        <f>IF($H24="","",INDEX(Registro!$N$2:$N$501,$H24))</f>
      </c>
      <c r="G24" s="6">
        <f>IF($H24="","",INDEX(Registro!$B$2:$B$501,$H24))</f>
      </c>
      <c r="H24" s="0">
        <f>IFERROR(MATCH(16,Registro!$AF$2:$AF$501,0),"")</f>
      </c>
    </row>
    <row r="25" spans="1:7">
      <c r="A25" s="6">
        <f>IF($H25="","",17)</f>
      </c>
      <c r="B25" s="6">
        <f>IF($H25="","",INDEX(Registro!$D$2:$D$501,$H25))</f>
      </c>
      <c r="C25" s="6">
        <f>IF($H25="","",INDEX(Registro!$H$2:$H$501,$H25))</f>
      </c>
      <c r="D25" s="6">
        <f>IF($H25="","",INDEX(Registro!$K$2:$K$501,$H25))</f>
      </c>
      <c r="E25" s="6">
        <f>IF($H25="","",INDEX(Registro!$M$2:$M$501,$H25))</f>
      </c>
      <c r="F25" s="6">
        <f>IF($H25="","",INDEX(Registro!$N$2:$N$501,$H25))</f>
      </c>
      <c r="G25" s="6">
        <f>IF($H25="","",INDEX(Registro!$B$2:$B$501,$H25))</f>
      </c>
      <c r="H25" s="0">
        <f>IFERROR(MATCH(17,Registro!$AF$2:$AF$501,0),"")</f>
      </c>
    </row>
    <row r="26" spans="1:7">
      <c r="A26" s="6">
        <f>IF($H26="","",18)</f>
      </c>
      <c r="B26" s="6">
        <f>IF($H26="","",INDEX(Registro!$D$2:$D$501,$H26))</f>
      </c>
      <c r="C26" s="6">
        <f>IF($H26="","",INDEX(Registro!$H$2:$H$501,$H26))</f>
      </c>
      <c r="D26" s="6">
        <f>IF($H26="","",INDEX(Registro!$K$2:$K$501,$H26))</f>
      </c>
      <c r="E26" s="6">
        <f>IF($H26="","",INDEX(Registro!$M$2:$M$501,$H26))</f>
      </c>
      <c r="F26" s="6">
        <f>IF($H26="","",INDEX(Registro!$N$2:$N$501,$H26))</f>
      </c>
      <c r="G26" s="6">
        <f>IF($H26="","",INDEX(Registro!$B$2:$B$501,$H26))</f>
      </c>
      <c r="H26" s="0">
        <f>IFERROR(MATCH(18,Registro!$AF$2:$AF$501,0),"")</f>
      </c>
    </row>
    <row r="27" spans="1:7">
      <c r="A27" s="6">
        <f>IF($H27="","",19)</f>
      </c>
      <c r="B27" s="6">
        <f>IF($H27="","",INDEX(Registro!$D$2:$D$501,$H27))</f>
      </c>
      <c r="C27" s="6">
        <f>IF($H27="","",INDEX(Registro!$H$2:$H$501,$H27))</f>
      </c>
      <c r="D27" s="6">
        <f>IF($H27="","",INDEX(Registro!$K$2:$K$501,$H27))</f>
      </c>
      <c r="E27" s="6">
        <f>IF($H27="","",INDEX(Registro!$M$2:$M$501,$H27))</f>
      </c>
      <c r="F27" s="6">
        <f>IF($H27="","",INDEX(Registro!$N$2:$N$501,$H27))</f>
      </c>
      <c r="G27" s="6">
        <f>IF($H27="","",INDEX(Registro!$B$2:$B$501,$H27))</f>
      </c>
      <c r="H27" s="0">
        <f>IFERROR(MATCH(19,Registro!$AF$2:$AF$501,0),"")</f>
      </c>
    </row>
    <row r="28" spans="1:7">
      <c r="A28" s="6">
        <f>IF($H28="","",20)</f>
      </c>
      <c r="B28" s="6">
        <f>IF($H28="","",INDEX(Registro!$D$2:$D$501,$H28))</f>
      </c>
      <c r="C28" s="6">
        <f>IF($H28="","",INDEX(Registro!$H$2:$H$501,$H28))</f>
      </c>
      <c r="D28" s="6">
        <f>IF($H28="","",INDEX(Registro!$K$2:$K$501,$H28))</f>
      </c>
      <c r="E28" s="6">
        <f>IF($H28="","",INDEX(Registro!$M$2:$M$501,$H28))</f>
      </c>
      <c r="F28" s="6">
        <f>IF($H28="","",INDEX(Registro!$N$2:$N$501,$H28))</f>
      </c>
      <c r="G28" s="6">
        <f>IF($H28="","",INDEX(Registro!$B$2:$B$501,$H28))</f>
      </c>
      <c r="H28" s="0">
        <f>IFERROR(MATCH(20,Registro!$AF$2:$AF$501,0),"")</f>
      </c>
    </row>
    <row r="29" spans="1:7">
      <c r="A29" s="6">
        <f>IF($H29="","",21)</f>
      </c>
      <c r="B29" s="6">
        <f>IF($H29="","",INDEX(Registro!$D$2:$D$501,$H29))</f>
      </c>
      <c r="C29" s="6">
        <f>IF($H29="","",INDEX(Registro!$H$2:$H$501,$H29))</f>
      </c>
      <c r="D29" s="6">
        <f>IF($H29="","",INDEX(Registro!$K$2:$K$501,$H29))</f>
      </c>
      <c r="E29" s="6">
        <f>IF($H29="","",INDEX(Registro!$M$2:$M$501,$H29))</f>
      </c>
      <c r="F29" s="6">
        <f>IF($H29="","",INDEX(Registro!$N$2:$N$501,$H29))</f>
      </c>
      <c r="G29" s="6">
        <f>IF($H29="","",INDEX(Registro!$B$2:$B$501,$H29))</f>
      </c>
      <c r="H29" s="0">
        <f>IFERROR(MATCH(21,Registro!$AF$2:$AF$501,0),"")</f>
      </c>
    </row>
    <row r="30" spans="1:7">
      <c r="A30" s="6">
        <f>IF($H30="","",22)</f>
      </c>
      <c r="B30" s="6">
        <f>IF($H30="","",INDEX(Registro!$D$2:$D$501,$H30))</f>
      </c>
      <c r="C30" s="6">
        <f>IF($H30="","",INDEX(Registro!$H$2:$H$501,$H30))</f>
      </c>
      <c r="D30" s="6">
        <f>IF($H30="","",INDEX(Registro!$K$2:$K$501,$H30))</f>
      </c>
      <c r="E30" s="6">
        <f>IF($H30="","",INDEX(Registro!$M$2:$M$501,$H30))</f>
      </c>
      <c r="F30" s="6">
        <f>IF($H30="","",INDEX(Registro!$N$2:$N$501,$H30))</f>
      </c>
      <c r="G30" s="6">
        <f>IF($H30="","",INDEX(Registro!$B$2:$B$501,$H30))</f>
      </c>
      <c r="H30" s="0">
        <f>IFERROR(MATCH(22,Registro!$AF$2:$AF$501,0),"")</f>
      </c>
    </row>
    <row r="31" spans="1:7">
      <c r="A31" s="6">
        <f>IF($H31="","",23)</f>
      </c>
      <c r="B31" s="6">
        <f>IF($H31="","",INDEX(Registro!$D$2:$D$501,$H31))</f>
      </c>
      <c r="C31" s="6">
        <f>IF($H31="","",INDEX(Registro!$H$2:$H$501,$H31))</f>
      </c>
      <c r="D31" s="6">
        <f>IF($H31="","",INDEX(Registro!$K$2:$K$501,$H31))</f>
      </c>
      <c r="E31" s="6">
        <f>IF($H31="","",INDEX(Registro!$M$2:$M$501,$H31))</f>
      </c>
      <c r="F31" s="6">
        <f>IF($H31="","",INDEX(Registro!$N$2:$N$501,$H31))</f>
      </c>
      <c r="G31" s="6">
        <f>IF($H31="","",INDEX(Registro!$B$2:$B$501,$H31))</f>
      </c>
      <c r="H31" s="0">
        <f>IFERROR(MATCH(23,Registro!$AF$2:$AF$501,0),"")</f>
      </c>
    </row>
    <row r="32" spans="1:7">
      <c r="A32" s="6">
        <f>IF($H32="","",24)</f>
      </c>
      <c r="B32" s="6">
        <f>IF($H32="","",INDEX(Registro!$D$2:$D$501,$H32))</f>
      </c>
      <c r="C32" s="6">
        <f>IF($H32="","",INDEX(Registro!$H$2:$H$501,$H32))</f>
      </c>
      <c r="D32" s="6">
        <f>IF($H32="","",INDEX(Registro!$K$2:$K$501,$H32))</f>
      </c>
      <c r="E32" s="6">
        <f>IF($H32="","",INDEX(Registro!$M$2:$M$501,$H32))</f>
      </c>
      <c r="F32" s="6">
        <f>IF($H32="","",INDEX(Registro!$N$2:$N$501,$H32))</f>
      </c>
      <c r="G32" s="6">
        <f>IF($H32="","",INDEX(Registro!$B$2:$B$501,$H32))</f>
      </c>
      <c r="H32" s="0">
        <f>IFERROR(MATCH(24,Registro!$AF$2:$AF$501,0),"")</f>
      </c>
    </row>
    <row r="33" spans="1:7">
      <c r="A33" s="6">
        <f>IF($H33="","",25)</f>
      </c>
      <c r="B33" s="6">
        <f>IF($H33="","",INDEX(Registro!$D$2:$D$501,$H33))</f>
      </c>
      <c r="C33" s="6">
        <f>IF($H33="","",INDEX(Registro!$H$2:$H$501,$H33))</f>
      </c>
      <c r="D33" s="6">
        <f>IF($H33="","",INDEX(Registro!$K$2:$K$501,$H33))</f>
      </c>
      <c r="E33" s="6">
        <f>IF($H33="","",INDEX(Registro!$M$2:$M$501,$H33))</f>
      </c>
      <c r="F33" s="6">
        <f>IF($H33="","",INDEX(Registro!$N$2:$N$501,$H33))</f>
      </c>
      <c r="G33" s="6">
        <f>IF($H33="","",INDEX(Registro!$B$2:$B$501,$H33))</f>
      </c>
      <c r="H33" s="0">
        <f>IFERROR(MATCH(25,Registro!$AF$2:$AF$501,0),"")</f>
      </c>
    </row>
    <row r="34" spans="1:7">
      <c r="A34" s="6">
        <f>IF($H34="","",26)</f>
      </c>
      <c r="B34" s="6">
        <f>IF($H34="","",INDEX(Registro!$D$2:$D$501,$H34))</f>
      </c>
      <c r="C34" s="6">
        <f>IF($H34="","",INDEX(Registro!$H$2:$H$501,$H34))</f>
      </c>
      <c r="D34" s="6">
        <f>IF($H34="","",INDEX(Registro!$K$2:$K$501,$H34))</f>
      </c>
      <c r="E34" s="6">
        <f>IF($H34="","",INDEX(Registro!$M$2:$M$501,$H34))</f>
      </c>
      <c r="F34" s="6">
        <f>IF($H34="","",INDEX(Registro!$N$2:$N$501,$H34))</f>
      </c>
      <c r="G34" s="6">
        <f>IF($H34="","",INDEX(Registro!$B$2:$B$501,$H34))</f>
      </c>
      <c r="H34" s="0">
        <f>IFERROR(MATCH(26,Registro!$AF$2:$AF$501,0),"")</f>
      </c>
    </row>
    <row r="35" spans="1:7">
      <c r="A35" s="6">
        <f>IF($H35="","",27)</f>
      </c>
      <c r="B35" s="6">
        <f>IF($H35="","",INDEX(Registro!$D$2:$D$501,$H35))</f>
      </c>
      <c r="C35" s="6">
        <f>IF($H35="","",INDEX(Registro!$H$2:$H$501,$H35))</f>
      </c>
      <c r="D35" s="6">
        <f>IF($H35="","",INDEX(Registro!$K$2:$K$501,$H35))</f>
      </c>
      <c r="E35" s="6">
        <f>IF($H35="","",INDEX(Registro!$M$2:$M$501,$H35))</f>
      </c>
      <c r="F35" s="6">
        <f>IF($H35="","",INDEX(Registro!$N$2:$N$501,$H35))</f>
      </c>
      <c r="G35" s="6">
        <f>IF($H35="","",INDEX(Registro!$B$2:$B$501,$H35))</f>
      </c>
      <c r="H35" s="0">
        <f>IFERROR(MATCH(27,Registro!$AF$2:$AF$501,0),"")</f>
      </c>
    </row>
    <row r="36" spans="1:7">
      <c r="A36" s="6">
        <f>IF($H36="","",28)</f>
      </c>
      <c r="B36" s="6">
        <f>IF($H36="","",INDEX(Registro!$D$2:$D$501,$H36))</f>
      </c>
      <c r="C36" s="6">
        <f>IF($H36="","",INDEX(Registro!$H$2:$H$501,$H36))</f>
      </c>
      <c r="D36" s="6">
        <f>IF($H36="","",INDEX(Registro!$K$2:$K$501,$H36))</f>
      </c>
      <c r="E36" s="6">
        <f>IF($H36="","",INDEX(Registro!$M$2:$M$501,$H36))</f>
      </c>
      <c r="F36" s="6">
        <f>IF($H36="","",INDEX(Registro!$N$2:$N$501,$H36))</f>
      </c>
      <c r="G36" s="6">
        <f>IF($H36="","",INDEX(Registro!$B$2:$B$501,$H36))</f>
      </c>
      <c r="H36" s="0">
        <f>IFERROR(MATCH(28,Registro!$AF$2:$AF$501,0),"")</f>
      </c>
    </row>
    <row r="37" spans="1:7">
      <c r="A37" s="6">
        <f>IF($H37="","",29)</f>
      </c>
      <c r="B37" s="6">
        <f>IF($H37="","",INDEX(Registro!$D$2:$D$501,$H37))</f>
      </c>
      <c r="C37" s="6">
        <f>IF($H37="","",INDEX(Registro!$H$2:$H$501,$H37))</f>
      </c>
      <c r="D37" s="6">
        <f>IF($H37="","",INDEX(Registro!$K$2:$K$501,$H37))</f>
      </c>
      <c r="E37" s="6">
        <f>IF($H37="","",INDEX(Registro!$M$2:$M$501,$H37))</f>
      </c>
      <c r="F37" s="6">
        <f>IF($H37="","",INDEX(Registro!$N$2:$N$501,$H37))</f>
      </c>
      <c r="G37" s="6">
        <f>IF($H37="","",INDEX(Registro!$B$2:$B$501,$H37))</f>
      </c>
      <c r="H37" s="0">
        <f>IFERROR(MATCH(29,Registro!$AF$2:$AF$501,0),"")</f>
      </c>
    </row>
    <row r="38" spans="1:7">
      <c r="A38" s="6">
        <f>IF($H38="","",30)</f>
      </c>
      <c r="B38" s="6">
        <f>IF($H38="","",INDEX(Registro!$D$2:$D$501,$H38))</f>
      </c>
      <c r="C38" s="6">
        <f>IF($H38="","",INDEX(Registro!$H$2:$H$501,$H38))</f>
      </c>
      <c r="D38" s="6">
        <f>IF($H38="","",INDEX(Registro!$K$2:$K$501,$H38))</f>
      </c>
      <c r="E38" s="6">
        <f>IF($H38="","",INDEX(Registro!$M$2:$M$501,$H38))</f>
      </c>
      <c r="F38" s="6">
        <f>IF($H38="","",INDEX(Registro!$N$2:$N$501,$H38))</f>
      </c>
      <c r="G38" s="6">
        <f>IF($H38="","",INDEX(Registro!$B$2:$B$501,$H38))</f>
      </c>
      <c r="H38" s="0">
        <f>IFERROR(MATCH(30,Registro!$AF$2:$AF$501,0),"")</f>
      </c>
    </row>
    <row r="39" spans="1:7">
      <c r="A39" s="6">
        <f>IF($H39="","",31)</f>
      </c>
      <c r="B39" s="6">
        <f>IF($H39="","",INDEX(Registro!$D$2:$D$501,$H39))</f>
      </c>
      <c r="C39" s="6">
        <f>IF($H39="","",INDEX(Registro!$H$2:$H$501,$H39))</f>
      </c>
      <c r="D39" s="6">
        <f>IF($H39="","",INDEX(Registro!$K$2:$K$501,$H39))</f>
      </c>
      <c r="E39" s="6">
        <f>IF($H39="","",INDEX(Registro!$M$2:$M$501,$H39))</f>
      </c>
      <c r="F39" s="6">
        <f>IF($H39="","",INDEX(Registro!$N$2:$N$501,$H39))</f>
      </c>
      <c r="G39" s="6">
        <f>IF($H39="","",INDEX(Registro!$B$2:$B$501,$H39))</f>
      </c>
      <c r="H39" s="0">
        <f>IFERROR(MATCH(31,Registro!$AF$2:$AF$501,0),"")</f>
      </c>
    </row>
    <row r="40" spans="1:7">
      <c r="A40" s="6">
        <f>IF($H40="","",32)</f>
      </c>
      <c r="B40" s="6">
        <f>IF($H40="","",INDEX(Registro!$D$2:$D$501,$H40))</f>
      </c>
      <c r="C40" s="6">
        <f>IF($H40="","",INDEX(Registro!$H$2:$H$501,$H40))</f>
      </c>
      <c r="D40" s="6">
        <f>IF($H40="","",INDEX(Registro!$K$2:$K$501,$H40))</f>
      </c>
      <c r="E40" s="6">
        <f>IF($H40="","",INDEX(Registro!$M$2:$M$501,$H40))</f>
      </c>
      <c r="F40" s="6">
        <f>IF($H40="","",INDEX(Registro!$N$2:$N$501,$H40))</f>
      </c>
      <c r="G40" s="6">
        <f>IF($H40="","",INDEX(Registro!$B$2:$B$501,$H40))</f>
      </c>
      <c r="H40" s="0">
        <f>IFERROR(MATCH(32,Registro!$AF$2:$AF$501,0),"")</f>
      </c>
    </row>
    <row r="41" spans="1:7">
      <c r="A41" s="6">
        <f>IF($H41="","",33)</f>
      </c>
      <c r="B41" s="6">
        <f>IF($H41="","",INDEX(Registro!$D$2:$D$501,$H41))</f>
      </c>
      <c r="C41" s="6">
        <f>IF($H41="","",INDEX(Registro!$H$2:$H$501,$H41))</f>
      </c>
      <c r="D41" s="6">
        <f>IF($H41="","",INDEX(Registro!$K$2:$K$501,$H41))</f>
      </c>
      <c r="E41" s="6">
        <f>IF($H41="","",INDEX(Registro!$M$2:$M$501,$H41))</f>
      </c>
      <c r="F41" s="6">
        <f>IF($H41="","",INDEX(Registro!$N$2:$N$501,$H41))</f>
      </c>
      <c r="G41" s="6">
        <f>IF($H41="","",INDEX(Registro!$B$2:$B$501,$H41))</f>
      </c>
      <c r="H41" s="0">
        <f>IFERROR(MATCH(33,Registro!$AF$2:$AF$501,0),"")</f>
      </c>
    </row>
    <row r="42" spans="1:7">
      <c r="A42" s="6">
        <f>IF($H42="","",34)</f>
      </c>
      <c r="B42" s="6">
        <f>IF($H42="","",INDEX(Registro!$D$2:$D$501,$H42))</f>
      </c>
      <c r="C42" s="6">
        <f>IF($H42="","",INDEX(Registro!$H$2:$H$501,$H42))</f>
      </c>
      <c r="D42" s="6">
        <f>IF($H42="","",INDEX(Registro!$K$2:$K$501,$H42))</f>
      </c>
      <c r="E42" s="6">
        <f>IF($H42="","",INDEX(Registro!$M$2:$M$501,$H42))</f>
      </c>
      <c r="F42" s="6">
        <f>IF($H42="","",INDEX(Registro!$N$2:$N$501,$H42))</f>
      </c>
      <c r="G42" s="6">
        <f>IF($H42="","",INDEX(Registro!$B$2:$B$501,$H42))</f>
      </c>
      <c r="H42" s="0">
        <f>IFERROR(MATCH(34,Registro!$AF$2:$AF$501,0),"")</f>
      </c>
    </row>
    <row r="43" spans="1:7">
      <c r="A43" s="6">
        <f>IF($H43="","",35)</f>
      </c>
      <c r="B43" s="6">
        <f>IF($H43="","",INDEX(Registro!$D$2:$D$501,$H43))</f>
      </c>
      <c r="C43" s="6">
        <f>IF($H43="","",INDEX(Registro!$H$2:$H$501,$H43))</f>
      </c>
      <c r="D43" s="6">
        <f>IF($H43="","",INDEX(Registro!$K$2:$K$501,$H43))</f>
      </c>
      <c r="E43" s="6">
        <f>IF($H43="","",INDEX(Registro!$M$2:$M$501,$H43))</f>
      </c>
      <c r="F43" s="6">
        <f>IF($H43="","",INDEX(Registro!$N$2:$N$501,$H43))</f>
      </c>
      <c r="G43" s="6">
        <f>IF($H43="","",INDEX(Registro!$B$2:$B$501,$H43))</f>
      </c>
      <c r="H43" s="0">
        <f>IFERROR(MATCH(35,Registro!$AF$2:$AF$501,0),"")</f>
      </c>
    </row>
    <row r="44" spans="1:7">
      <c r="A44" s="6">
        <f>IF($H44="","",36)</f>
      </c>
      <c r="B44" s="6">
        <f>IF($H44="","",INDEX(Registro!$D$2:$D$501,$H44))</f>
      </c>
      <c r="C44" s="6">
        <f>IF($H44="","",INDEX(Registro!$H$2:$H$501,$H44))</f>
      </c>
      <c r="D44" s="6">
        <f>IF($H44="","",INDEX(Registro!$K$2:$K$501,$H44))</f>
      </c>
      <c r="E44" s="6">
        <f>IF($H44="","",INDEX(Registro!$M$2:$M$501,$H44))</f>
      </c>
      <c r="F44" s="6">
        <f>IF($H44="","",INDEX(Registro!$N$2:$N$501,$H44))</f>
      </c>
      <c r="G44" s="6">
        <f>IF($H44="","",INDEX(Registro!$B$2:$B$501,$H44))</f>
      </c>
      <c r="H44" s="0">
        <f>IFERROR(MATCH(36,Registro!$AF$2:$AF$501,0),"")</f>
      </c>
    </row>
    <row r="45" spans="1:7">
      <c r="A45" s="6">
        <f>IF($H45="","",37)</f>
      </c>
      <c r="B45" s="6">
        <f>IF($H45="","",INDEX(Registro!$D$2:$D$501,$H45))</f>
      </c>
      <c r="C45" s="6">
        <f>IF($H45="","",INDEX(Registro!$H$2:$H$501,$H45))</f>
      </c>
      <c r="D45" s="6">
        <f>IF($H45="","",INDEX(Registro!$K$2:$K$501,$H45))</f>
      </c>
      <c r="E45" s="6">
        <f>IF($H45="","",INDEX(Registro!$M$2:$M$501,$H45))</f>
      </c>
      <c r="F45" s="6">
        <f>IF($H45="","",INDEX(Registro!$N$2:$N$501,$H45))</f>
      </c>
      <c r="G45" s="6">
        <f>IF($H45="","",INDEX(Registro!$B$2:$B$501,$H45))</f>
      </c>
      <c r="H45" s="0">
        <f>IFERROR(MATCH(37,Registro!$AF$2:$AF$501,0),"")</f>
      </c>
    </row>
    <row r="46" spans="1:7">
      <c r="A46" s="6">
        <f>IF($H46="","",38)</f>
      </c>
      <c r="B46" s="6">
        <f>IF($H46="","",INDEX(Registro!$D$2:$D$501,$H46))</f>
      </c>
      <c r="C46" s="6">
        <f>IF($H46="","",INDEX(Registro!$H$2:$H$501,$H46))</f>
      </c>
      <c r="D46" s="6">
        <f>IF($H46="","",INDEX(Registro!$K$2:$K$501,$H46))</f>
      </c>
      <c r="E46" s="6">
        <f>IF($H46="","",INDEX(Registro!$M$2:$M$501,$H46))</f>
      </c>
      <c r="F46" s="6">
        <f>IF($H46="","",INDEX(Registro!$N$2:$N$501,$H46))</f>
      </c>
      <c r="G46" s="6">
        <f>IF($H46="","",INDEX(Registro!$B$2:$B$501,$H46))</f>
      </c>
      <c r="H46" s="0">
        <f>IFERROR(MATCH(38,Registro!$AF$2:$AF$501,0),"")</f>
      </c>
    </row>
    <row r="47" spans="1:7">
      <c r="A47" s="6">
        <f>IF($H47="","",39)</f>
      </c>
      <c r="B47" s="6">
        <f>IF($H47="","",INDEX(Registro!$D$2:$D$501,$H47))</f>
      </c>
      <c r="C47" s="6">
        <f>IF($H47="","",INDEX(Registro!$H$2:$H$501,$H47))</f>
      </c>
      <c r="D47" s="6">
        <f>IF($H47="","",INDEX(Registro!$K$2:$K$501,$H47))</f>
      </c>
      <c r="E47" s="6">
        <f>IF($H47="","",INDEX(Registro!$M$2:$M$501,$H47))</f>
      </c>
      <c r="F47" s="6">
        <f>IF($H47="","",INDEX(Registro!$N$2:$N$501,$H47))</f>
      </c>
      <c r="G47" s="6">
        <f>IF($H47="","",INDEX(Registro!$B$2:$B$501,$H47))</f>
      </c>
      <c r="H47" s="0">
        <f>IFERROR(MATCH(39,Registro!$AF$2:$AF$501,0),"")</f>
      </c>
    </row>
    <row r="48" spans="1:7">
      <c r="A48" s="6">
        <f>IF($H48="","",40)</f>
      </c>
      <c r="B48" s="6">
        <f>IF($H48="","",INDEX(Registro!$D$2:$D$501,$H48))</f>
      </c>
      <c r="C48" s="6">
        <f>IF($H48="","",INDEX(Registro!$H$2:$H$501,$H48))</f>
      </c>
      <c r="D48" s="6">
        <f>IF($H48="","",INDEX(Registro!$K$2:$K$501,$H48))</f>
      </c>
      <c r="E48" s="6">
        <f>IF($H48="","",INDEX(Registro!$M$2:$M$501,$H48))</f>
      </c>
      <c r="F48" s="6">
        <f>IF($H48="","",INDEX(Registro!$N$2:$N$501,$H48))</f>
      </c>
      <c r="G48" s="6">
        <f>IF($H48="","",INDEX(Registro!$B$2:$B$501,$H48))</f>
      </c>
      <c r="H48" s="0">
        <f>IFERROR(MATCH(40,Registro!$AF$2:$AF$501,0),"")</f>
      </c>
    </row>
    <row r="49" spans="1:7">
      <c r="A49" s="6">
        <f>IF($H49="","",41)</f>
      </c>
      <c r="B49" s="6">
        <f>IF($H49="","",INDEX(Registro!$D$2:$D$501,$H49))</f>
      </c>
      <c r="C49" s="6">
        <f>IF($H49="","",INDEX(Registro!$H$2:$H$501,$H49))</f>
      </c>
      <c r="D49" s="6">
        <f>IF($H49="","",INDEX(Registro!$K$2:$K$501,$H49))</f>
      </c>
      <c r="E49" s="6">
        <f>IF($H49="","",INDEX(Registro!$M$2:$M$501,$H49))</f>
      </c>
      <c r="F49" s="6">
        <f>IF($H49="","",INDEX(Registro!$N$2:$N$501,$H49))</f>
      </c>
      <c r="G49" s="6">
        <f>IF($H49="","",INDEX(Registro!$B$2:$B$501,$H49))</f>
      </c>
      <c r="H49" s="0">
        <f>IFERROR(MATCH(41,Registro!$AF$2:$AF$501,0),"")</f>
      </c>
    </row>
    <row r="50" spans="1:7">
      <c r="A50" s="6">
        <f>IF($H50="","",42)</f>
      </c>
      <c r="B50" s="6">
        <f>IF($H50="","",INDEX(Registro!$D$2:$D$501,$H50))</f>
      </c>
      <c r="C50" s="6">
        <f>IF($H50="","",INDEX(Registro!$H$2:$H$501,$H50))</f>
      </c>
      <c r="D50" s="6">
        <f>IF($H50="","",INDEX(Registro!$K$2:$K$501,$H50))</f>
      </c>
      <c r="E50" s="6">
        <f>IF($H50="","",INDEX(Registro!$M$2:$M$501,$H50))</f>
      </c>
      <c r="F50" s="6">
        <f>IF($H50="","",INDEX(Registro!$N$2:$N$501,$H50))</f>
      </c>
      <c r="G50" s="6">
        <f>IF($H50="","",INDEX(Registro!$B$2:$B$501,$H50))</f>
      </c>
      <c r="H50" s="0">
        <f>IFERROR(MATCH(42,Registro!$AF$2:$AF$501,0),"")</f>
      </c>
    </row>
    <row r="51" spans="1:7">
      <c r="A51" s="6">
        <f>IF($H51="","",43)</f>
      </c>
      <c r="B51" s="6">
        <f>IF($H51="","",INDEX(Registro!$D$2:$D$501,$H51))</f>
      </c>
      <c r="C51" s="6">
        <f>IF($H51="","",INDEX(Registro!$H$2:$H$501,$H51))</f>
      </c>
      <c r="D51" s="6">
        <f>IF($H51="","",INDEX(Registro!$K$2:$K$501,$H51))</f>
      </c>
      <c r="E51" s="6">
        <f>IF($H51="","",INDEX(Registro!$M$2:$M$501,$H51))</f>
      </c>
      <c r="F51" s="6">
        <f>IF($H51="","",INDEX(Registro!$N$2:$N$501,$H51))</f>
      </c>
      <c r="G51" s="6">
        <f>IF($H51="","",INDEX(Registro!$B$2:$B$501,$H51))</f>
      </c>
      <c r="H51" s="0">
        <f>IFERROR(MATCH(43,Registro!$AF$2:$AF$501,0),"")</f>
      </c>
    </row>
    <row r="52" spans="1:7">
      <c r="A52" s="6">
        <f>IF($H52="","",44)</f>
      </c>
      <c r="B52" s="6">
        <f>IF($H52="","",INDEX(Registro!$D$2:$D$501,$H52))</f>
      </c>
      <c r="C52" s="6">
        <f>IF($H52="","",INDEX(Registro!$H$2:$H$501,$H52))</f>
      </c>
      <c r="D52" s="6">
        <f>IF($H52="","",INDEX(Registro!$K$2:$K$501,$H52))</f>
      </c>
      <c r="E52" s="6">
        <f>IF($H52="","",INDEX(Registro!$M$2:$M$501,$H52))</f>
      </c>
      <c r="F52" s="6">
        <f>IF($H52="","",INDEX(Registro!$N$2:$N$501,$H52))</f>
      </c>
      <c r="G52" s="6">
        <f>IF($H52="","",INDEX(Registro!$B$2:$B$501,$H52))</f>
      </c>
      <c r="H52" s="0">
        <f>IFERROR(MATCH(44,Registro!$AF$2:$AF$501,0),"")</f>
      </c>
    </row>
    <row r="53" spans="1:7">
      <c r="A53" s="6">
        <f>IF($H53="","",45)</f>
      </c>
      <c r="B53" s="6">
        <f>IF($H53="","",INDEX(Registro!$D$2:$D$501,$H53))</f>
      </c>
      <c r="C53" s="6">
        <f>IF($H53="","",INDEX(Registro!$H$2:$H$501,$H53))</f>
      </c>
      <c r="D53" s="6">
        <f>IF($H53="","",INDEX(Registro!$K$2:$K$501,$H53))</f>
      </c>
      <c r="E53" s="6">
        <f>IF($H53="","",INDEX(Registro!$M$2:$M$501,$H53))</f>
      </c>
      <c r="F53" s="6">
        <f>IF($H53="","",INDEX(Registro!$N$2:$N$501,$H53))</f>
      </c>
      <c r="G53" s="6">
        <f>IF($H53="","",INDEX(Registro!$B$2:$B$501,$H53))</f>
      </c>
      <c r="H53" s="0">
        <f>IFERROR(MATCH(45,Registro!$AF$2:$AF$501,0),"")</f>
      </c>
    </row>
    <row r="54" spans="1:7">
      <c r="A54" s="6">
        <f>IF($H54="","",46)</f>
      </c>
      <c r="B54" s="6">
        <f>IF($H54="","",INDEX(Registro!$D$2:$D$501,$H54))</f>
      </c>
      <c r="C54" s="6">
        <f>IF($H54="","",INDEX(Registro!$H$2:$H$501,$H54))</f>
      </c>
      <c r="D54" s="6">
        <f>IF($H54="","",INDEX(Registro!$K$2:$K$501,$H54))</f>
      </c>
      <c r="E54" s="6">
        <f>IF($H54="","",INDEX(Registro!$M$2:$M$501,$H54))</f>
      </c>
      <c r="F54" s="6">
        <f>IF($H54="","",INDEX(Registro!$N$2:$N$501,$H54))</f>
      </c>
      <c r="G54" s="6">
        <f>IF($H54="","",INDEX(Registro!$B$2:$B$501,$H54))</f>
      </c>
      <c r="H54" s="0">
        <f>IFERROR(MATCH(46,Registro!$AF$2:$AF$501,0),"")</f>
      </c>
    </row>
    <row r="55" spans="1:7">
      <c r="A55" s="6">
        <f>IF($H55="","",47)</f>
      </c>
      <c r="B55" s="6">
        <f>IF($H55="","",INDEX(Registro!$D$2:$D$501,$H55))</f>
      </c>
      <c r="C55" s="6">
        <f>IF($H55="","",INDEX(Registro!$H$2:$H$501,$H55))</f>
      </c>
      <c r="D55" s="6">
        <f>IF($H55="","",INDEX(Registro!$K$2:$K$501,$H55))</f>
      </c>
      <c r="E55" s="6">
        <f>IF($H55="","",INDEX(Registro!$M$2:$M$501,$H55))</f>
      </c>
      <c r="F55" s="6">
        <f>IF($H55="","",INDEX(Registro!$N$2:$N$501,$H55))</f>
      </c>
      <c r="G55" s="6">
        <f>IF($H55="","",INDEX(Registro!$B$2:$B$501,$H55))</f>
      </c>
      <c r="H55" s="0">
        <f>IFERROR(MATCH(47,Registro!$AF$2:$AF$501,0),"")</f>
      </c>
    </row>
    <row r="56" spans="1:7">
      <c r="A56" s="6">
        <f>IF($H56="","",48)</f>
      </c>
      <c r="B56" s="6">
        <f>IF($H56="","",INDEX(Registro!$D$2:$D$501,$H56))</f>
      </c>
      <c r="C56" s="6">
        <f>IF($H56="","",INDEX(Registro!$H$2:$H$501,$H56))</f>
      </c>
      <c r="D56" s="6">
        <f>IF($H56="","",INDEX(Registro!$K$2:$K$501,$H56))</f>
      </c>
      <c r="E56" s="6">
        <f>IF($H56="","",INDEX(Registro!$M$2:$M$501,$H56))</f>
      </c>
      <c r="F56" s="6">
        <f>IF($H56="","",INDEX(Registro!$N$2:$N$501,$H56))</f>
      </c>
      <c r="G56" s="6">
        <f>IF($H56="","",INDEX(Registro!$B$2:$B$501,$H56))</f>
      </c>
      <c r="H56" s="0">
        <f>IFERROR(MATCH(48,Registro!$AF$2:$AF$501,0),"")</f>
      </c>
    </row>
    <row r="57" spans="1:7">
      <c r="A57" s="6">
        <f>IF($H57="","",49)</f>
      </c>
      <c r="B57" s="6">
        <f>IF($H57="","",INDEX(Registro!$D$2:$D$501,$H57))</f>
      </c>
      <c r="C57" s="6">
        <f>IF($H57="","",INDEX(Registro!$H$2:$H$501,$H57))</f>
      </c>
      <c r="D57" s="6">
        <f>IF($H57="","",INDEX(Registro!$K$2:$K$501,$H57))</f>
      </c>
      <c r="E57" s="6">
        <f>IF($H57="","",INDEX(Registro!$M$2:$M$501,$H57))</f>
      </c>
      <c r="F57" s="6">
        <f>IF($H57="","",INDEX(Registro!$N$2:$N$501,$H57))</f>
      </c>
      <c r="G57" s="6">
        <f>IF($H57="","",INDEX(Registro!$B$2:$B$501,$H57))</f>
      </c>
      <c r="H57" s="0">
        <f>IFERROR(MATCH(49,Registro!$AF$2:$AF$501,0),"")</f>
      </c>
    </row>
    <row r="58" spans="1:7">
      <c r="A58" s="6">
        <f>IF($H58="","",50)</f>
      </c>
      <c r="B58" s="6">
        <f>IF($H58="","",INDEX(Registro!$D$2:$D$501,$H58))</f>
      </c>
      <c r="C58" s="6">
        <f>IF($H58="","",INDEX(Registro!$H$2:$H$501,$H58))</f>
      </c>
      <c r="D58" s="6">
        <f>IF($H58="","",INDEX(Registro!$K$2:$K$501,$H58))</f>
      </c>
      <c r="E58" s="6">
        <f>IF($H58="","",INDEX(Registro!$M$2:$M$501,$H58))</f>
      </c>
      <c r="F58" s="6">
        <f>IF($H58="","",INDEX(Registro!$N$2:$N$501,$H58))</f>
      </c>
      <c r="G58" s="6">
        <f>IF($H58="","",INDEX(Registro!$B$2:$B$501,$H58))</f>
      </c>
      <c r="H58" s="0">
        <f>IFERROR(MATCH(50,Registro!$AF$2:$AF$501,0),"")</f>
      </c>
    </row>
    <row r="59" spans="1:7">
      <c r="A59" s="6">
        <f>IF($H59="","",51)</f>
      </c>
      <c r="B59" s="6">
        <f>IF($H59="","",INDEX(Registro!$D$2:$D$501,$H59))</f>
      </c>
      <c r="C59" s="6">
        <f>IF($H59="","",INDEX(Registro!$H$2:$H$501,$H59))</f>
      </c>
      <c r="D59" s="6">
        <f>IF($H59="","",INDEX(Registro!$K$2:$K$501,$H59))</f>
      </c>
      <c r="E59" s="6">
        <f>IF($H59="","",INDEX(Registro!$M$2:$M$501,$H59))</f>
      </c>
      <c r="F59" s="6">
        <f>IF($H59="","",INDEX(Registro!$N$2:$N$501,$H59))</f>
      </c>
      <c r="G59" s="6">
        <f>IF($H59="","",INDEX(Registro!$B$2:$B$501,$H59))</f>
      </c>
      <c r="H59" s="0">
        <f>IFERROR(MATCH(51,Registro!$AF$2:$AF$501,0),"")</f>
      </c>
    </row>
    <row r="60" spans="1:7">
      <c r="A60" s="6">
        <f>IF($H60="","",52)</f>
      </c>
      <c r="B60" s="6">
        <f>IF($H60="","",INDEX(Registro!$D$2:$D$501,$H60))</f>
      </c>
      <c r="C60" s="6">
        <f>IF($H60="","",INDEX(Registro!$H$2:$H$501,$H60))</f>
      </c>
      <c r="D60" s="6">
        <f>IF($H60="","",INDEX(Registro!$K$2:$K$501,$H60))</f>
      </c>
      <c r="E60" s="6">
        <f>IF($H60="","",INDEX(Registro!$M$2:$M$501,$H60))</f>
      </c>
      <c r="F60" s="6">
        <f>IF($H60="","",INDEX(Registro!$N$2:$N$501,$H60))</f>
      </c>
      <c r="G60" s="6">
        <f>IF($H60="","",INDEX(Registro!$B$2:$B$501,$H60))</f>
      </c>
      <c r="H60" s="0">
        <f>IFERROR(MATCH(52,Registro!$AF$2:$AF$501,0),"")</f>
      </c>
    </row>
    <row r="61" spans="1:7">
      <c r="A61" s="6">
        <f>IF($H61="","",53)</f>
      </c>
      <c r="B61" s="6">
        <f>IF($H61="","",INDEX(Registro!$D$2:$D$501,$H61))</f>
      </c>
      <c r="C61" s="6">
        <f>IF($H61="","",INDEX(Registro!$H$2:$H$501,$H61))</f>
      </c>
      <c r="D61" s="6">
        <f>IF($H61="","",INDEX(Registro!$K$2:$K$501,$H61))</f>
      </c>
      <c r="E61" s="6">
        <f>IF($H61="","",INDEX(Registro!$M$2:$M$501,$H61))</f>
      </c>
      <c r="F61" s="6">
        <f>IF($H61="","",INDEX(Registro!$N$2:$N$501,$H61))</f>
      </c>
      <c r="G61" s="6">
        <f>IF($H61="","",INDEX(Registro!$B$2:$B$501,$H61))</f>
      </c>
      <c r="H61" s="0">
        <f>IFERROR(MATCH(53,Registro!$AF$2:$AF$501,0),"")</f>
      </c>
    </row>
    <row r="62" spans="1:7">
      <c r="A62" s="6">
        <f>IF($H62="","",54)</f>
      </c>
      <c r="B62" s="6">
        <f>IF($H62="","",INDEX(Registro!$D$2:$D$501,$H62))</f>
      </c>
      <c r="C62" s="6">
        <f>IF($H62="","",INDEX(Registro!$H$2:$H$501,$H62))</f>
      </c>
      <c r="D62" s="6">
        <f>IF($H62="","",INDEX(Registro!$K$2:$K$501,$H62))</f>
      </c>
      <c r="E62" s="6">
        <f>IF($H62="","",INDEX(Registro!$M$2:$M$501,$H62))</f>
      </c>
      <c r="F62" s="6">
        <f>IF($H62="","",INDEX(Registro!$N$2:$N$501,$H62))</f>
      </c>
      <c r="G62" s="6">
        <f>IF($H62="","",INDEX(Registro!$B$2:$B$501,$H62))</f>
      </c>
      <c r="H62" s="0">
        <f>IFERROR(MATCH(54,Registro!$AF$2:$AF$501,0),"")</f>
      </c>
    </row>
    <row r="63" spans="1:7">
      <c r="A63" s="6">
        <f>IF($H63="","",55)</f>
      </c>
      <c r="B63" s="6">
        <f>IF($H63="","",INDEX(Registro!$D$2:$D$501,$H63))</f>
      </c>
      <c r="C63" s="6">
        <f>IF($H63="","",INDEX(Registro!$H$2:$H$501,$H63))</f>
      </c>
      <c r="D63" s="6">
        <f>IF($H63="","",INDEX(Registro!$K$2:$K$501,$H63))</f>
      </c>
      <c r="E63" s="6">
        <f>IF($H63="","",INDEX(Registro!$M$2:$M$501,$H63))</f>
      </c>
      <c r="F63" s="6">
        <f>IF($H63="","",INDEX(Registro!$N$2:$N$501,$H63))</f>
      </c>
      <c r="G63" s="6">
        <f>IF($H63="","",INDEX(Registro!$B$2:$B$501,$H63))</f>
      </c>
      <c r="H63" s="0">
        <f>IFERROR(MATCH(55,Registro!$AF$2:$AF$501,0),"")</f>
      </c>
    </row>
    <row r="64" spans="1:7">
      <c r="A64" s="6">
        <f>IF($H64="","",56)</f>
      </c>
      <c r="B64" s="6">
        <f>IF($H64="","",INDEX(Registro!$D$2:$D$501,$H64))</f>
      </c>
      <c r="C64" s="6">
        <f>IF($H64="","",INDEX(Registro!$H$2:$H$501,$H64))</f>
      </c>
      <c r="D64" s="6">
        <f>IF($H64="","",INDEX(Registro!$K$2:$K$501,$H64))</f>
      </c>
      <c r="E64" s="6">
        <f>IF($H64="","",INDEX(Registro!$M$2:$M$501,$H64))</f>
      </c>
      <c r="F64" s="6">
        <f>IF($H64="","",INDEX(Registro!$N$2:$N$501,$H64))</f>
      </c>
      <c r="G64" s="6">
        <f>IF($H64="","",INDEX(Registro!$B$2:$B$501,$H64))</f>
      </c>
      <c r="H64" s="0">
        <f>IFERROR(MATCH(56,Registro!$AF$2:$AF$501,0),"")</f>
      </c>
    </row>
    <row r="65" spans="1:7">
      <c r="A65" s="6">
        <f>IF($H65="","",57)</f>
      </c>
      <c r="B65" s="6">
        <f>IF($H65="","",INDEX(Registro!$D$2:$D$501,$H65))</f>
      </c>
      <c r="C65" s="6">
        <f>IF($H65="","",INDEX(Registro!$H$2:$H$501,$H65))</f>
      </c>
      <c r="D65" s="6">
        <f>IF($H65="","",INDEX(Registro!$K$2:$K$501,$H65))</f>
      </c>
      <c r="E65" s="6">
        <f>IF($H65="","",INDEX(Registro!$M$2:$M$501,$H65))</f>
      </c>
      <c r="F65" s="6">
        <f>IF($H65="","",INDEX(Registro!$N$2:$N$501,$H65))</f>
      </c>
      <c r="G65" s="6">
        <f>IF($H65="","",INDEX(Registro!$B$2:$B$501,$H65))</f>
      </c>
      <c r="H65" s="0">
        <f>IFERROR(MATCH(57,Registro!$AF$2:$AF$501,0),"")</f>
      </c>
    </row>
    <row r="66" spans="1:7">
      <c r="A66" s="6">
        <f>IF($H66="","",58)</f>
      </c>
      <c r="B66" s="6">
        <f>IF($H66="","",INDEX(Registro!$D$2:$D$501,$H66))</f>
      </c>
      <c r="C66" s="6">
        <f>IF($H66="","",INDEX(Registro!$H$2:$H$501,$H66))</f>
      </c>
      <c r="D66" s="6">
        <f>IF($H66="","",INDEX(Registro!$K$2:$K$501,$H66))</f>
      </c>
      <c r="E66" s="6">
        <f>IF($H66="","",INDEX(Registro!$M$2:$M$501,$H66))</f>
      </c>
      <c r="F66" s="6">
        <f>IF($H66="","",INDEX(Registro!$N$2:$N$501,$H66))</f>
      </c>
      <c r="G66" s="6">
        <f>IF($H66="","",INDEX(Registro!$B$2:$B$501,$H66))</f>
      </c>
      <c r="H66" s="0">
        <f>IFERROR(MATCH(58,Registro!$AF$2:$AF$501,0),"")</f>
      </c>
    </row>
    <row r="67" spans="1:7">
      <c r="A67" s="6">
        <f>IF($H67="","",59)</f>
      </c>
      <c r="B67" s="6">
        <f>IF($H67="","",INDEX(Registro!$D$2:$D$501,$H67))</f>
      </c>
      <c r="C67" s="6">
        <f>IF($H67="","",INDEX(Registro!$H$2:$H$501,$H67))</f>
      </c>
      <c r="D67" s="6">
        <f>IF($H67="","",INDEX(Registro!$K$2:$K$501,$H67))</f>
      </c>
      <c r="E67" s="6">
        <f>IF($H67="","",INDEX(Registro!$M$2:$M$501,$H67))</f>
      </c>
      <c r="F67" s="6">
        <f>IF($H67="","",INDEX(Registro!$N$2:$N$501,$H67))</f>
      </c>
      <c r="G67" s="6">
        <f>IF($H67="","",INDEX(Registro!$B$2:$B$501,$H67))</f>
      </c>
      <c r="H67" s="0">
        <f>IFERROR(MATCH(59,Registro!$AF$2:$AF$501,0),"")</f>
      </c>
    </row>
    <row r="68" spans="1:7">
      <c r="A68" s="6">
        <f>IF($H68="","",60)</f>
      </c>
      <c r="B68" s="6">
        <f>IF($H68="","",INDEX(Registro!$D$2:$D$501,$H68))</f>
      </c>
      <c r="C68" s="6">
        <f>IF($H68="","",INDEX(Registro!$H$2:$H$501,$H68))</f>
      </c>
      <c r="D68" s="6">
        <f>IF($H68="","",INDEX(Registro!$K$2:$K$501,$H68))</f>
      </c>
      <c r="E68" s="6">
        <f>IF($H68="","",INDEX(Registro!$M$2:$M$501,$H68))</f>
      </c>
      <c r="F68" s="6">
        <f>IF($H68="","",INDEX(Registro!$N$2:$N$501,$H68))</f>
      </c>
      <c r="G68" s="6">
        <f>IF($H68="","",INDEX(Registro!$B$2:$B$501,$H68))</f>
      </c>
      <c r="H68" s="0">
        <f>IFERROR(MATCH(60,Registro!$AF$2:$AF$501,0),"")</f>
      </c>
    </row>
    <row r="69" spans="1:7">
      <c r="A69" s="6">
        <f>IF($H69="","",61)</f>
      </c>
      <c r="B69" s="6">
        <f>IF($H69="","",INDEX(Registro!$D$2:$D$501,$H69))</f>
      </c>
      <c r="C69" s="6">
        <f>IF($H69="","",INDEX(Registro!$H$2:$H$501,$H69))</f>
      </c>
      <c r="D69" s="6">
        <f>IF($H69="","",INDEX(Registro!$K$2:$K$501,$H69))</f>
      </c>
      <c r="E69" s="6">
        <f>IF($H69="","",INDEX(Registro!$M$2:$M$501,$H69))</f>
      </c>
      <c r="F69" s="6">
        <f>IF($H69="","",INDEX(Registro!$N$2:$N$501,$H69))</f>
      </c>
      <c r="G69" s="6">
        <f>IF($H69="","",INDEX(Registro!$B$2:$B$501,$H69))</f>
      </c>
      <c r="H69" s="0">
        <f>IFERROR(MATCH(61,Registro!$AF$2:$AF$501,0),"")</f>
      </c>
    </row>
    <row r="70" spans="1:7">
      <c r="A70" s="6">
        <f>IF($H70="","",62)</f>
      </c>
      <c r="B70" s="6">
        <f>IF($H70="","",INDEX(Registro!$D$2:$D$501,$H70))</f>
      </c>
      <c r="C70" s="6">
        <f>IF($H70="","",INDEX(Registro!$H$2:$H$501,$H70))</f>
      </c>
      <c r="D70" s="6">
        <f>IF($H70="","",INDEX(Registro!$K$2:$K$501,$H70))</f>
      </c>
      <c r="E70" s="6">
        <f>IF($H70="","",INDEX(Registro!$M$2:$M$501,$H70))</f>
      </c>
      <c r="F70" s="6">
        <f>IF($H70="","",INDEX(Registro!$N$2:$N$501,$H70))</f>
      </c>
      <c r="G70" s="6">
        <f>IF($H70="","",INDEX(Registro!$B$2:$B$501,$H70))</f>
      </c>
      <c r="H70" s="0">
        <f>IFERROR(MATCH(62,Registro!$AF$2:$AF$501,0),"")</f>
      </c>
    </row>
    <row r="71" spans="1:7">
      <c r="A71" s="6">
        <f>IF($H71="","",63)</f>
      </c>
      <c r="B71" s="6">
        <f>IF($H71="","",INDEX(Registro!$D$2:$D$501,$H71))</f>
      </c>
      <c r="C71" s="6">
        <f>IF($H71="","",INDEX(Registro!$H$2:$H$501,$H71))</f>
      </c>
      <c r="D71" s="6">
        <f>IF($H71="","",INDEX(Registro!$K$2:$K$501,$H71))</f>
      </c>
      <c r="E71" s="6">
        <f>IF($H71="","",INDEX(Registro!$M$2:$M$501,$H71))</f>
      </c>
      <c r="F71" s="6">
        <f>IF($H71="","",INDEX(Registro!$N$2:$N$501,$H71))</f>
      </c>
      <c r="G71" s="6">
        <f>IF($H71="","",INDEX(Registro!$B$2:$B$501,$H71))</f>
      </c>
      <c r="H71" s="0">
        <f>IFERROR(MATCH(63,Registro!$AF$2:$AF$501,0),"")</f>
      </c>
    </row>
    <row r="72" spans="1:7">
      <c r="A72" s="6">
        <f>IF($H72="","",64)</f>
      </c>
      <c r="B72" s="6">
        <f>IF($H72="","",INDEX(Registro!$D$2:$D$501,$H72))</f>
      </c>
      <c r="C72" s="6">
        <f>IF($H72="","",INDEX(Registro!$H$2:$H$501,$H72))</f>
      </c>
      <c r="D72" s="6">
        <f>IF($H72="","",INDEX(Registro!$K$2:$K$501,$H72))</f>
      </c>
      <c r="E72" s="6">
        <f>IF($H72="","",INDEX(Registro!$M$2:$M$501,$H72))</f>
      </c>
      <c r="F72" s="6">
        <f>IF($H72="","",INDEX(Registro!$N$2:$N$501,$H72))</f>
      </c>
      <c r="G72" s="6">
        <f>IF($H72="","",INDEX(Registro!$B$2:$B$501,$H72))</f>
      </c>
      <c r="H72" s="0">
        <f>IFERROR(MATCH(64,Registro!$AF$2:$AF$501,0),"")</f>
      </c>
    </row>
    <row r="73" spans="1:7">
      <c r="A73" s="6">
        <f>IF($H73="","",65)</f>
      </c>
      <c r="B73" s="6">
        <f>IF($H73="","",INDEX(Registro!$D$2:$D$501,$H73))</f>
      </c>
      <c r="C73" s="6">
        <f>IF($H73="","",INDEX(Registro!$H$2:$H$501,$H73))</f>
      </c>
      <c r="D73" s="6">
        <f>IF($H73="","",INDEX(Registro!$K$2:$K$501,$H73))</f>
      </c>
      <c r="E73" s="6">
        <f>IF($H73="","",INDEX(Registro!$M$2:$M$501,$H73))</f>
      </c>
      <c r="F73" s="6">
        <f>IF($H73="","",INDEX(Registro!$N$2:$N$501,$H73))</f>
      </c>
      <c r="G73" s="6">
        <f>IF($H73="","",INDEX(Registro!$B$2:$B$501,$H73))</f>
      </c>
      <c r="H73" s="0">
        <f>IFERROR(MATCH(65,Registro!$AF$2:$AF$501,0),"")</f>
      </c>
    </row>
    <row r="74" spans="1:7">
      <c r="A74" s="6">
        <f>IF($H74="","",66)</f>
      </c>
      <c r="B74" s="6">
        <f>IF($H74="","",INDEX(Registro!$D$2:$D$501,$H74))</f>
      </c>
      <c r="C74" s="6">
        <f>IF($H74="","",INDEX(Registro!$H$2:$H$501,$H74))</f>
      </c>
      <c r="D74" s="6">
        <f>IF($H74="","",INDEX(Registro!$K$2:$K$501,$H74))</f>
      </c>
      <c r="E74" s="6">
        <f>IF($H74="","",INDEX(Registro!$M$2:$M$501,$H74))</f>
      </c>
      <c r="F74" s="6">
        <f>IF($H74="","",INDEX(Registro!$N$2:$N$501,$H74))</f>
      </c>
      <c r="G74" s="6">
        <f>IF($H74="","",INDEX(Registro!$B$2:$B$501,$H74))</f>
      </c>
      <c r="H74" s="0">
        <f>IFERROR(MATCH(66,Registro!$AF$2:$AF$501,0),"")</f>
      </c>
    </row>
    <row r="75" spans="1:7">
      <c r="A75" s="6">
        <f>IF($H75="","",67)</f>
      </c>
      <c r="B75" s="6">
        <f>IF($H75="","",INDEX(Registro!$D$2:$D$501,$H75))</f>
      </c>
      <c r="C75" s="6">
        <f>IF($H75="","",INDEX(Registro!$H$2:$H$501,$H75))</f>
      </c>
      <c r="D75" s="6">
        <f>IF($H75="","",INDEX(Registro!$K$2:$K$501,$H75))</f>
      </c>
      <c r="E75" s="6">
        <f>IF($H75="","",INDEX(Registro!$M$2:$M$501,$H75))</f>
      </c>
      <c r="F75" s="6">
        <f>IF($H75="","",INDEX(Registro!$N$2:$N$501,$H75))</f>
      </c>
      <c r="G75" s="6">
        <f>IF($H75="","",INDEX(Registro!$B$2:$B$501,$H75))</f>
      </c>
      <c r="H75" s="0">
        <f>IFERROR(MATCH(67,Registro!$AF$2:$AF$501,0),"")</f>
      </c>
    </row>
    <row r="76" spans="1:7">
      <c r="A76" s="6">
        <f>IF($H76="","",68)</f>
      </c>
      <c r="B76" s="6">
        <f>IF($H76="","",INDEX(Registro!$D$2:$D$501,$H76))</f>
      </c>
      <c r="C76" s="6">
        <f>IF($H76="","",INDEX(Registro!$H$2:$H$501,$H76))</f>
      </c>
      <c r="D76" s="6">
        <f>IF($H76="","",INDEX(Registro!$K$2:$K$501,$H76))</f>
      </c>
      <c r="E76" s="6">
        <f>IF($H76="","",INDEX(Registro!$M$2:$M$501,$H76))</f>
      </c>
      <c r="F76" s="6">
        <f>IF($H76="","",INDEX(Registro!$N$2:$N$501,$H76))</f>
      </c>
      <c r="G76" s="6">
        <f>IF($H76="","",INDEX(Registro!$B$2:$B$501,$H76))</f>
      </c>
      <c r="H76" s="0">
        <f>IFERROR(MATCH(68,Registro!$AF$2:$AF$501,0),"")</f>
      </c>
    </row>
    <row r="77" spans="1:7">
      <c r="A77" s="6">
        <f>IF($H77="","",69)</f>
      </c>
      <c r="B77" s="6">
        <f>IF($H77="","",INDEX(Registro!$D$2:$D$501,$H77))</f>
      </c>
      <c r="C77" s="6">
        <f>IF($H77="","",INDEX(Registro!$H$2:$H$501,$H77))</f>
      </c>
      <c r="D77" s="6">
        <f>IF($H77="","",INDEX(Registro!$K$2:$K$501,$H77))</f>
      </c>
      <c r="E77" s="6">
        <f>IF($H77="","",INDEX(Registro!$M$2:$M$501,$H77))</f>
      </c>
      <c r="F77" s="6">
        <f>IF($H77="","",INDEX(Registro!$N$2:$N$501,$H77))</f>
      </c>
      <c r="G77" s="6">
        <f>IF($H77="","",INDEX(Registro!$B$2:$B$501,$H77))</f>
      </c>
      <c r="H77" s="0">
        <f>IFERROR(MATCH(69,Registro!$AF$2:$AF$501,0),"")</f>
      </c>
    </row>
    <row r="78" spans="1:7">
      <c r="A78" s="6">
        <f>IF($H78="","",70)</f>
      </c>
      <c r="B78" s="6">
        <f>IF($H78="","",INDEX(Registro!$D$2:$D$501,$H78))</f>
      </c>
      <c r="C78" s="6">
        <f>IF($H78="","",INDEX(Registro!$H$2:$H$501,$H78))</f>
      </c>
      <c r="D78" s="6">
        <f>IF($H78="","",INDEX(Registro!$K$2:$K$501,$H78))</f>
      </c>
      <c r="E78" s="6">
        <f>IF($H78="","",INDEX(Registro!$M$2:$M$501,$H78))</f>
      </c>
      <c r="F78" s="6">
        <f>IF($H78="","",INDEX(Registro!$N$2:$N$501,$H78))</f>
      </c>
      <c r="G78" s="6">
        <f>IF($H78="","",INDEX(Registro!$B$2:$B$501,$H78))</f>
      </c>
      <c r="H78" s="0">
        <f>IFERROR(MATCH(70,Registro!$AF$2:$AF$501,0),"")</f>
      </c>
    </row>
    <row r="79" spans="1:7">
      <c r="A79" s="6">
        <f>IF($H79="","",71)</f>
      </c>
      <c r="B79" s="6">
        <f>IF($H79="","",INDEX(Registro!$D$2:$D$501,$H79))</f>
      </c>
      <c r="C79" s="6">
        <f>IF($H79="","",INDEX(Registro!$H$2:$H$501,$H79))</f>
      </c>
      <c r="D79" s="6">
        <f>IF($H79="","",INDEX(Registro!$K$2:$K$501,$H79))</f>
      </c>
      <c r="E79" s="6">
        <f>IF($H79="","",INDEX(Registro!$M$2:$M$501,$H79))</f>
      </c>
      <c r="F79" s="6">
        <f>IF($H79="","",INDEX(Registro!$N$2:$N$501,$H79))</f>
      </c>
      <c r="G79" s="6">
        <f>IF($H79="","",INDEX(Registro!$B$2:$B$501,$H79))</f>
      </c>
      <c r="H79" s="0">
        <f>IFERROR(MATCH(71,Registro!$AF$2:$AF$501,0),"")</f>
      </c>
    </row>
    <row r="80" spans="1:7">
      <c r="A80" s="6">
        <f>IF($H80="","",72)</f>
      </c>
      <c r="B80" s="6">
        <f>IF($H80="","",INDEX(Registro!$D$2:$D$501,$H80))</f>
      </c>
      <c r="C80" s="6">
        <f>IF($H80="","",INDEX(Registro!$H$2:$H$501,$H80))</f>
      </c>
      <c r="D80" s="6">
        <f>IF($H80="","",INDEX(Registro!$K$2:$K$501,$H80))</f>
      </c>
      <c r="E80" s="6">
        <f>IF($H80="","",INDEX(Registro!$M$2:$M$501,$H80))</f>
      </c>
      <c r="F80" s="6">
        <f>IF($H80="","",INDEX(Registro!$N$2:$N$501,$H80))</f>
      </c>
      <c r="G80" s="6">
        <f>IF($H80="","",INDEX(Registro!$B$2:$B$501,$H80))</f>
      </c>
      <c r="H80" s="0">
        <f>IFERROR(MATCH(72,Registro!$AF$2:$AF$501,0),"")</f>
      </c>
    </row>
    <row r="81" spans="1:7">
      <c r="A81" s="6">
        <f>IF($H81="","",73)</f>
      </c>
      <c r="B81" s="6">
        <f>IF($H81="","",INDEX(Registro!$D$2:$D$501,$H81))</f>
      </c>
      <c r="C81" s="6">
        <f>IF($H81="","",INDEX(Registro!$H$2:$H$501,$H81))</f>
      </c>
      <c r="D81" s="6">
        <f>IF($H81="","",INDEX(Registro!$K$2:$K$501,$H81))</f>
      </c>
      <c r="E81" s="6">
        <f>IF($H81="","",INDEX(Registro!$M$2:$M$501,$H81))</f>
      </c>
      <c r="F81" s="6">
        <f>IF($H81="","",INDEX(Registro!$N$2:$N$501,$H81))</f>
      </c>
      <c r="G81" s="6">
        <f>IF($H81="","",INDEX(Registro!$B$2:$B$501,$H81))</f>
      </c>
      <c r="H81" s="0">
        <f>IFERROR(MATCH(73,Registro!$AF$2:$AF$501,0),"")</f>
      </c>
    </row>
    <row r="82" spans="1:7">
      <c r="A82" s="6">
        <f>IF($H82="","",74)</f>
      </c>
      <c r="B82" s="6">
        <f>IF($H82="","",INDEX(Registro!$D$2:$D$501,$H82))</f>
      </c>
      <c r="C82" s="6">
        <f>IF($H82="","",INDEX(Registro!$H$2:$H$501,$H82))</f>
      </c>
      <c r="D82" s="6">
        <f>IF($H82="","",INDEX(Registro!$K$2:$K$501,$H82))</f>
      </c>
      <c r="E82" s="6">
        <f>IF($H82="","",INDEX(Registro!$M$2:$M$501,$H82))</f>
      </c>
      <c r="F82" s="6">
        <f>IF($H82="","",INDEX(Registro!$N$2:$N$501,$H82))</f>
      </c>
      <c r="G82" s="6">
        <f>IF($H82="","",INDEX(Registro!$B$2:$B$501,$H82))</f>
      </c>
      <c r="H82" s="0">
        <f>IFERROR(MATCH(74,Registro!$AF$2:$AF$501,0),"")</f>
      </c>
    </row>
    <row r="83" spans="1:7">
      <c r="A83" s="6">
        <f>IF($H83="","",75)</f>
      </c>
      <c r="B83" s="6">
        <f>IF($H83="","",INDEX(Registro!$D$2:$D$501,$H83))</f>
      </c>
      <c r="C83" s="6">
        <f>IF($H83="","",INDEX(Registro!$H$2:$H$501,$H83))</f>
      </c>
      <c r="D83" s="6">
        <f>IF($H83="","",INDEX(Registro!$K$2:$K$501,$H83))</f>
      </c>
      <c r="E83" s="6">
        <f>IF($H83="","",INDEX(Registro!$M$2:$M$501,$H83))</f>
      </c>
      <c r="F83" s="6">
        <f>IF($H83="","",INDEX(Registro!$N$2:$N$501,$H83))</f>
      </c>
      <c r="G83" s="6">
        <f>IF($H83="","",INDEX(Registro!$B$2:$B$501,$H83))</f>
      </c>
      <c r="H83" s="0">
        <f>IFERROR(MATCH(75,Registro!$AF$2:$AF$501,0),"")</f>
      </c>
    </row>
    <row r="84" spans="1:7">
      <c r="A84" s="6">
        <f>IF($H84="","",76)</f>
      </c>
      <c r="B84" s="6">
        <f>IF($H84="","",INDEX(Registro!$D$2:$D$501,$H84))</f>
      </c>
      <c r="C84" s="6">
        <f>IF($H84="","",INDEX(Registro!$H$2:$H$501,$H84))</f>
      </c>
      <c r="D84" s="6">
        <f>IF($H84="","",INDEX(Registro!$K$2:$K$501,$H84))</f>
      </c>
      <c r="E84" s="6">
        <f>IF($H84="","",INDEX(Registro!$M$2:$M$501,$H84))</f>
      </c>
      <c r="F84" s="6">
        <f>IF($H84="","",INDEX(Registro!$N$2:$N$501,$H84))</f>
      </c>
      <c r="G84" s="6">
        <f>IF($H84="","",INDEX(Registro!$B$2:$B$501,$H84))</f>
      </c>
      <c r="H84" s="0">
        <f>IFERROR(MATCH(76,Registro!$AF$2:$AF$501,0),"")</f>
      </c>
    </row>
    <row r="85" spans="1:7">
      <c r="A85" s="6">
        <f>IF($H85="","",77)</f>
      </c>
      <c r="B85" s="6">
        <f>IF($H85="","",INDEX(Registro!$D$2:$D$501,$H85))</f>
      </c>
      <c r="C85" s="6">
        <f>IF($H85="","",INDEX(Registro!$H$2:$H$501,$H85))</f>
      </c>
      <c r="D85" s="6">
        <f>IF($H85="","",INDEX(Registro!$K$2:$K$501,$H85))</f>
      </c>
      <c r="E85" s="6">
        <f>IF($H85="","",INDEX(Registro!$M$2:$M$501,$H85))</f>
      </c>
      <c r="F85" s="6">
        <f>IF($H85="","",INDEX(Registro!$N$2:$N$501,$H85))</f>
      </c>
      <c r="G85" s="6">
        <f>IF($H85="","",INDEX(Registro!$B$2:$B$501,$H85))</f>
      </c>
      <c r="H85" s="0">
        <f>IFERROR(MATCH(77,Registro!$AF$2:$AF$501,0),"")</f>
      </c>
    </row>
    <row r="86" spans="1:7">
      <c r="A86" s="6">
        <f>IF($H86="","",78)</f>
      </c>
      <c r="B86" s="6">
        <f>IF($H86="","",INDEX(Registro!$D$2:$D$501,$H86))</f>
      </c>
      <c r="C86" s="6">
        <f>IF($H86="","",INDEX(Registro!$H$2:$H$501,$H86))</f>
      </c>
      <c r="D86" s="6">
        <f>IF($H86="","",INDEX(Registro!$K$2:$K$501,$H86))</f>
      </c>
      <c r="E86" s="6">
        <f>IF($H86="","",INDEX(Registro!$M$2:$M$501,$H86))</f>
      </c>
      <c r="F86" s="6">
        <f>IF($H86="","",INDEX(Registro!$N$2:$N$501,$H86))</f>
      </c>
      <c r="G86" s="6">
        <f>IF($H86="","",INDEX(Registro!$B$2:$B$501,$H86))</f>
      </c>
      <c r="H86" s="0">
        <f>IFERROR(MATCH(78,Registro!$AF$2:$AF$501,0),"")</f>
      </c>
    </row>
    <row r="87" spans="1:7">
      <c r="A87" s="6">
        <f>IF($H87="","",79)</f>
      </c>
      <c r="B87" s="6">
        <f>IF($H87="","",INDEX(Registro!$D$2:$D$501,$H87))</f>
      </c>
      <c r="C87" s="6">
        <f>IF($H87="","",INDEX(Registro!$H$2:$H$501,$H87))</f>
      </c>
      <c r="D87" s="6">
        <f>IF($H87="","",INDEX(Registro!$K$2:$K$501,$H87))</f>
      </c>
      <c r="E87" s="6">
        <f>IF($H87="","",INDEX(Registro!$M$2:$M$501,$H87))</f>
      </c>
      <c r="F87" s="6">
        <f>IF($H87="","",INDEX(Registro!$N$2:$N$501,$H87))</f>
      </c>
      <c r="G87" s="6">
        <f>IF($H87="","",INDEX(Registro!$B$2:$B$501,$H87))</f>
      </c>
      <c r="H87" s="0">
        <f>IFERROR(MATCH(79,Registro!$AF$2:$AF$501,0),"")</f>
      </c>
    </row>
    <row r="88" spans="1:7">
      <c r="A88" s="6">
        <f>IF($H88="","",80)</f>
      </c>
      <c r="B88" s="6">
        <f>IF($H88="","",INDEX(Registro!$D$2:$D$501,$H88))</f>
      </c>
      <c r="C88" s="6">
        <f>IF($H88="","",INDEX(Registro!$H$2:$H$501,$H88))</f>
      </c>
      <c r="D88" s="6">
        <f>IF($H88="","",INDEX(Registro!$K$2:$K$501,$H88))</f>
      </c>
      <c r="E88" s="6">
        <f>IF($H88="","",INDEX(Registro!$M$2:$M$501,$H88))</f>
      </c>
      <c r="F88" s="6">
        <f>IF($H88="","",INDEX(Registro!$N$2:$N$501,$H88))</f>
      </c>
      <c r="G88" s="6">
        <f>IF($H88="","",INDEX(Registro!$B$2:$B$501,$H88))</f>
      </c>
      <c r="H88" s="0">
        <f>IFERROR(MATCH(80,Registro!$AF$2:$AF$501,0),"")</f>
      </c>
    </row>
    <row r="89" spans="1:7">
      <c r="A89" s="6">
        <f>IF($H89="","",81)</f>
      </c>
      <c r="B89" s="6">
        <f>IF($H89="","",INDEX(Registro!$D$2:$D$501,$H89))</f>
      </c>
      <c r="C89" s="6">
        <f>IF($H89="","",INDEX(Registro!$H$2:$H$501,$H89))</f>
      </c>
      <c r="D89" s="6">
        <f>IF($H89="","",INDEX(Registro!$K$2:$K$501,$H89))</f>
      </c>
      <c r="E89" s="6">
        <f>IF($H89="","",INDEX(Registro!$M$2:$M$501,$H89))</f>
      </c>
      <c r="F89" s="6">
        <f>IF($H89="","",INDEX(Registro!$N$2:$N$501,$H89))</f>
      </c>
      <c r="G89" s="6">
        <f>IF($H89="","",INDEX(Registro!$B$2:$B$501,$H89))</f>
      </c>
      <c r="H89" s="0">
        <f>IFERROR(MATCH(81,Registro!$AF$2:$AF$501,0),"")</f>
      </c>
    </row>
    <row r="90" spans="1:7">
      <c r="A90" s="6">
        <f>IF($H90="","",82)</f>
      </c>
      <c r="B90" s="6">
        <f>IF($H90="","",INDEX(Registro!$D$2:$D$501,$H90))</f>
      </c>
      <c r="C90" s="6">
        <f>IF($H90="","",INDEX(Registro!$H$2:$H$501,$H90))</f>
      </c>
      <c r="D90" s="6">
        <f>IF($H90="","",INDEX(Registro!$K$2:$K$501,$H90))</f>
      </c>
      <c r="E90" s="6">
        <f>IF($H90="","",INDEX(Registro!$M$2:$M$501,$H90))</f>
      </c>
      <c r="F90" s="6">
        <f>IF($H90="","",INDEX(Registro!$N$2:$N$501,$H90))</f>
      </c>
      <c r="G90" s="6">
        <f>IF($H90="","",INDEX(Registro!$B$2:$B$501,$H90))</f>
      </c>
      <c r="H90" s="0">
        <f>IFERROR(MATCH(82,Registro!$AF$2:$AF$501,0),"")</f>
      </c>
    </row>
    <row r="91" spans="1:7">
      <c r="A91" s="6">
        <f>IF($H91="","",83)</f>
      </c>
      <c r="B91" s="6">
        <f>IF($H91="","",INDEX(Registro!$D$2:$D$501,$H91))</f>
      </c>
      <c r="C91" s="6">
        <f>IF($H91="","",INDEX(Registro!$H$2:$H$501,$H91))</f>
      </c>
      <c r="D91" s="6">
        <f>IF($H91="","",INDEX(Registro!$K$2:$K$501,$H91))</f>
      </c>
      <c r="E91" s="6">
        <f>IF($H91="","",INDEX(Registro!$M$2:$M$501,$H91))</f>
      </c>
      <c r="F91" s="6">
        <f>IF($H91="","",INDEX(Registro!$N$2:$N$501,$H91))</f>
      </c>
      <c r="G91" s="6">
        <f>IF($H91="","",INDEX(Registro!$B$2:$B$501,$H91))</f>
      </c>
      <c r="H91" s="0">
        <f>IFERROR(MATCH(83,Registro!$AF$2:$AF$501,0),"")</f>
      </c>
    </row>
    <row r="92" spans="1:7">
      <c r="A92" s="6">
        <f>IF($H92="","",84)</f>
      </c>
      <c r="B92" s="6">
        <f>IF($H92="","",INDEX(Registro!$D$2:$D$501,$H92))</f>
      </c>
      <c r="C92" s="6">
        <f>IF($H92="","",INDEX(Registro!$H$2:$H$501,$H92))</f>
      </c>
      <c r="D92" s="6">
        <f>IF($H92="","",INDEX(Registro!$K$2:$K$501,$H92))</f>
      </c>
      <c r="E92" s="6">
        <f>IF($H92="","",INDEX(Registro!$M$2:$M$501,$H92))</f>
      </c>
      <c r="F92" s="6">
        <f>IF($H92="","",INDEX(Registro!$N$2:$N$501,$H92))</f>
      </c>
      <c r="G92" s="6">
        <f>IF($H92="","",INDEX(Registro!$B$2:$B$501,$H92))</f>
      </c>
      <c r="H92" s="0">
        <f>IFERROR(MATCH(84,Registro!$AF$2:$AF$501,0),"")</f>
      </c>
    </row>
    <row r="93" spans="1:7">
      <c r="A93" s="6">
        <f>IF($H93="","",85)</f>
      </c>
      <c r="B93" s="6">
        <f>IF($H93="","",INDEX(Registro!$D$2:$D$501,$H93))</f>
      </c>
      <c r="C93" s="6">
        <f>IF($H93="","",INDEX(Registro!$H$2:$H$501,$H93))</f>
      </c>
      <c r="D93" s="6">
        <f>IF($H93="","",INDEX(Registro!$K$2:$K$501,$H93))</f>
      </c>
      <c r="E93" s="6">
        <f>IF($H93="","",INDEX(Registro!$M$2:$M$501,$H93))</f>
      </c>
      <c r="F93" s="6">
        <f>IF($H93="","",INDEX(Registro!$N$2:$N$501,$H93))</f>
      </c>
      <c r="G93" s="6">
        <f>IF($H93="","",INDEX(Registro!$B$2:$B$501,$H93))</f>
      </c>
      <c r="H93" s="0">
        <f>IFERROR(MATCH(85,Registro!$AF$2:$AF$501,0),"")</f>
      </c>
    </row>
    <row r="94" spans="1:7">
      <c r="A94" s="6">
        <f>IF($H94="","",86)</f>
      </c>
      <c r="B94" s="6">
        <f>IF($H94="","",INDEX(Registro!$D$2:$D$501,$H94))</f>
      </c>
      <c r="C94" s="6">
        <f>IF($H94="","",INDEX(Registro!$H$2:$H$501,$H94))</f>
      </c>
      <c r="D94" s="6">
        <f>IF($H94="","",INDEX(Registro!$K$2:$K$501,$H94))</f>
      </c>
      <c r="E94" s="6">
        <f>IF($H94="","",INDEX(Registro!$M$2:$M$501,$H94))</f>
      </c>
      <c r="F94" s="6">
        <f>IF($H94="","",INDEX(Registro!$N$2:$N$501,$H94))</f>
      </c>
      <c r="G94" s="6">
        <f>IF($H94="","",INDEX(Registro!$B$2:$B$501,$H94))</f>
      </c>
      <c r="H94" s="0">
        <f>IFERROR(MATCH(86,Registro!$AF$2:$AF$501,0),"")</f>
      </c>
    </row>
    <row r="95" spans="1:7">
      <c r="A95" s="6">
        <f>IF($H95="","",87)</f>
      </c>
      <c r="B95" s="6">
        <f>IF($H95="","",INDEX(Registro!$D$2:$D$501,$H95))</f>
      </c>
      <c r="C95" s="6">
        <f>IF($H95="","",INDEX(Registro!$H$2:$H$501,$H95))</f>
      </c>
      <c r="D95" s="6">
        <f>IF($H95="","",INDEX(Registro!$K$2:$K$501,$H95))</f>
      </c>
      <c r="E95" s="6">
        <f>IF($H95="","",INDEX(Registro!$M$2:$M$501,$H95))</f>
      </c>
      <c r="F95" s="6">
        <f>IF($H95="","",INDEX(Registro!$N$2:$N$501,$H95))</f>
      </c>
      <c r="G95" s="6">
        <f>IF($H95="","",INDEX(Registro!$B$2:$B$501,$H95))</f>
      </c>
      <c r="H95" s="0">
        <f>IFERROR(MATCH(87,Registro!$AF$2:$AF$501,0),"")</f>
      </c>
    </row>
    <row r="96" spans="1:7">
      <c r="A96" s="6">
        <f>IF($H96="","",88)</f>
      </c>
      <c r="B96" s="6">
        <f>IF($H96="","",INDEX(Registro!$D$2:$D$501,$H96))</f>
      </c>
      <c r="C96" s="6">
        <f>IF($H96="","",INDEX(Registro!$H$2:$H$501,$H96))</f>
      </c>
      <c r="D96" s="6">
        <f>IF($H96="","",INDEX(Registro!$K$2:$K$501,$H96))</f>
      </c>
      <c r="E96" s="6">
        <f>IF($H96="","",INDEX(Registro!$M$2:$M$501,$H96))</f>
      </c>
      <c r="F96" s="6">
        <f>IF($H96="","",INDEX(Registro!$N$2:$N$501,$H96))</f>
      </c>
      <c r="G96" s="6">
        <f>IF($H96="","",INDEX(Registro!$B$2:$B$501,$H96))</f>
      </c>
      <c r="H96" s="0">
        <f>IFERROR(MATCH(88,Registro!$AF$2:$AF$501,0),"")</f>
      </c>
    </row>
    <row r="97" spans="1:7">
      <c r="A97" s="6">
        <f>IF($H97="","",89)</f>
      </c>
      <c r="B97" s="6">
        <f>IF($H97="","",INDEX(Registro!$D$2:$D$501,$H97))</f>
      </c>
      <c r="C97" s="6">
        <f>IF($H97="","",INDEX(Registro!$H$2:$H$501,$H97))</f>
      </c>
      <c r="D97" s="6">
        <f>IF($H97="","",INDEX(Registro!$K$2:$K$501,$H97))</f>
      </c>
      <c r="E97" s="6">
        <f>IF($H97="","",INDEX(Registro!$M$2:$M$501,$H97))</f>
      </c>
      <c r="F97" s="6">
        <f>IF($H97="","",INDEX(Registro!$N$2:$N$501,$H97))</f>
      </c>
      <c r="G97" s="6">
        <f>IF($H97="","",INDEX(Registro!$B$2:$B$501,$H97))</f>
      </c>
      <c r="H97" s="0">
        <f>IFERROR(MATCH(89,Registro!$AF$2:$AF$501,0),"")</f>
      </c>
    </row>
    <row r="98" spans="1:7">
      <c r="A98" s="6">
        <f>IF($H98="","",90)</f>
      </c>
      <c r="B98" s="6">
        <f>IF($H98="","",INDEX(Registro!$D$2:$D$501,$H98))</f>
      </c>
      <c r="C98" s="6">
        <f>IF($H98="","",INDEX(Registro!$H$2:$H$501,$H98))</f>
      </c>
      <c r="D98" s="6">
        <f>IF($H98="","",INDEX(Registro!$K$2:$K$501,$H98))</f>
      </c>
      <c r="E98" s="6">
        <f>IF($H98="","",INDEX(Registro!$M$2:$M$501,$H98))</f>
      </c>
      <c r="F98" s="6">
        <f>IF($H98="","",INDEX(Registro!$N$2:$N$501,$H98))</f>
      </c>
      <c r="G98" s="6">
        <f>IF($H98="","",INDEX(Registro!$B$2:$B$501,$H98))</f>
      </c>
      <c r="H98" s="0">
        <f>IFERROR(MATCH(90,Registro!$AF$2:$AF$501,0),"")</f>
      </c>
    </row>
    <row r="99" spans="1:7">
      <c r="A99" s="6">
        <f>IF($H99="","",91)</f>
      </c>
      <c r="B99" s="6">
        <f>IF($H99="","",INDEX(Registro!$D$2:$D$501,$H99))</f>
      </c>
      <c r="C99" s="6">
        <f>IF($H99="","",INDEX(Registro!$H$2:$H$501,$H99))</f>
      </c>
      <c r="D99" s="6">
        <f>IF($H99="","",INDEX(Registro!$K$2:$K$501,$H99))</f>
      </c>
      <c r="E99" s="6">
        <f>IF($H99="","",INDEX(Registro!$M$2:$M$501,$H99))</f>
      </c>
      <c r="F99" s="6">
        <f>IF($H99="","",INDEX(Registro!$N$2:$N$501,$H99))</f>
      </c>
      <c r="G99" s="6">
        <f>IF($H99="","",INDEX(Registro!$B$2:$B$501,$H99))</f>
      </c>
      <c r="H99" s="0">
        <f>IFERROR(MATCH(91,Registro!$AF$2:$AF$501,0),"")</f>
      </c>
    </row>
    <row r="100" spans="1:7">
      <c r="A100" s="6">
        <f>IF($H100="","",92)</f>
      </c>
      <c r="B100" s="6">
        <f>IF($H100="","",INDEX(Registro!$D$2:$D$501,$H100))</f>
      </c>
      <c r="C100" s="6">
        <f>IF($H100="","",INDEX(Registro!$H$2:$H$501,$H100))</f>
      </c>
      <c r="D100" s="6">
        <f>IF($H100="","",INDEX(Registro!$K$2:$K$501,$H100))</f>
      </c>
      <c r="E100" s="6">
        <f>IF($H100="","",INDEX(Registro!$M$2:$M$501,$H100))</f>
      </c>
      <c r="F100" s="6">
        <f>IF($H100="","",INDEX(Registro!$N$2:$N$501,$H100))</f>
      </c>
      <c r="G100" s="6">
        <f>IF($H100="","",INDEX(Registro!$B$2:$B$501,$H100))</f>
      </c>
      <c r="H100" s="0">
        <f>IFERROR(MATCH(92,Registro!$AF$2:$AF$501,0),"")</f>
      </c>
    </row>
    <row r="101" spans="1:7">
      <c r="A101" s="6">
        <f>IF($H101="","",93)</f>
      </c>
      <c r="B101" s="6">
        <f>IF($H101="","",INDEX(Registro!$D$2:$D$501,$H101))</f>
      </c>
      <c r="C101" s="6">
        <f>IF($H101="","",INDEX(Registro!$H$2:$H$501,$H101))</f>
      </c>
      <c r="D101" s="6">
        <f>IF($H101="","",INDEX(Registro!$K$2:$K$501,$H101))</f>
      </c>
      <c r="E101" s="6">
        <f>IF($H101="","",INDEX(Registro!$M$2:$M$501,$H101))</f>
      </c>
      <c r="F101" s="6">
        <f>IF($H101="","",INDEX(Registro!$N$2:$N$501,$H101))</f>
      </c>
      <c r="G101" s="6">
        <f>IF($H101="","",INDEX(Registro!$B$2:$B$501,$H101))</f>
      </c>
      <c r="H101" s="0">
        <f>IFERROR(MATCH(93,Registro!$AF$2:$AF$501,0),"")</f>
      </c>
    </row>
    <row r="102" spans="1:7">
      <c r="A102" s="6">
        <f>IF($H102="","",94)</f>
      </c>
      <c r="B102" s="6">
        <f>IF($H102="","",INDEX(Registro!$D$2:$D$501,$H102))</f>
      </c>
      <c r="C102" s="6">
        <f>IF($H102="","",INDEX(Registro!$H$2:$H$501,$H102))</f>
      </c>
      <c r="D102" s="6">
        <f>IF($H102="","",INDEX(Registro!$K$2:$K$501,$H102))</f>
      </c>
      <c r="E102" s="6">
        <f>IF($H102="","",INDEX(Registro!$M$2:$M$501,$H102))</f>
      </c>
      <c r="F102" s="6">
        <f>IF($H102="","",INDEX(Registro!$N$2:$N$501,$H102))</f>
      </c>
      <c r="G102" s="6">
        <f>IF($H102="","",INDEX(Registro!$B$2:$B$501,$H102))</f>
      </c>
      <c r="H102" s="0">
        <f>IFERROR(MATCH(94,Registro!$AF$2:$AF$501,0),"")</f>
      </c>
    </row>
    <row r="103" spans="1:7">
      <c r="A103" s="6">
        <f>IF($H103="","",95)</f>
      </c>
      <c r="B103" s="6">
        <f>IF($H103="","",INDEX(Registro!$D$2:$D$501,$H103))</f>
      </c>
      <c r="C103" s="6">
        <f>IF($H103="","",INDEX(Registro!$H$2:$H$501,$H103))</f>
      </c>
      <c r="D103" s="6">
        <f>IF($H103="","",INDEX(Registro!$K$2:$K$501,$H103))</f>
      </c>
      <c r="E103" s="6">
        <f>IF($H103="","",INDEX(Registro!$M$2:$M$501,$H103))</f>
      </c>
      <c r="F103" s="6">
        <f>IF($H103="","",INDEX(Registro!$N$2:$N$501,$H103))</f>
      </c>
      <c r="G103" s="6">
        <f>IF($H103="","",INDEX(Registro!$B$2:$B$501,$H103))</f>
      </c>
      <c r="H103" s="0">
        <f>IFERROR(MATCH(95,Registro!$AF$2:$AF$501,0),"")</f>
      </c>
    </row>
    <row r="104" spans="1:7">
      <c r="A104" s="6">
        <f>IF($H104="","",96)</f>
      </c>
      <c r="B104" s="6">
        <f>IF($H104="","",INDEX(Registro!$D$2:$D$501,$H104))</f>
      </c>
      <c r="C104" s="6">
        <f>IF($H104="","",INDEX(Registro!$H$2:$H$501,$H104))</f>
      </c>
      <c r="D104" s="6">
        <f>IF($H104="","",INDEX(Registro!$K$2:$K$501,$H104))</f>
      </c>
      <c r="E104" s="6">
        <f>IF($H104="","",INDEX(Registro!$M$2:$M$501,$H104))</f>
      </c>
      <c r="F104" s="6">
        <f>IF($H104="","",INDEX(Registro!$N$2:$N$501,$H104))</f>
      </c>
      <c r="G104" s="6">
        <f>IF($H104="","",INDEX(Registro!$B$2:$B$501,$H104))</f>
      </c>
      <c r="H104" s="0">
        <f>IFERROR(MATCH(96,Registro!$AF$2:$AF$501,0),"")</f>
      </c>
    </row>
    <row r="105" spans="1:7">
      <c r="A105" s="6">
        <f>IF($H105="","",97)</f>
      </c>
      <c r="B105" s="6">
        <f>IF($H105="","",INDEX(Registro!$D$2:$D$501,$H105))</f>
      </c>
      <c r="C105" s="6">
        <f>IF($H105="","",INDEX(Registro!$H$2:$H$501,$H105))</f>
      </c>
      <c r="D105" s="6">
        <f>IF($H105="","",INDEX(Registro!$K$2:$K$501,$H105))</f>
      </c>
      <c r="E105" s="6">
        <f>IF($H105="","",INDEX(Registro!$M$2:$M$501,$H105))</f>
      </c>
      <c r="F105" s="6">
        <f>IF($H105="","",INDEX(Registro!$N$2:$N$501,$H105))</f>
      </c>
      <c r="G105" s="6">
        <f>IF($H105="","",INDEX(Registro!$B$2:$B$501,$H105))</f>
      </c>
      <c r="H105" s="0">
        <f>IFERROR(MATCH(97,Registro!$AF$2:$AF$501,0),"")</f>
      </c>
    </row>
    <row r="106" spans="1:7">
      <c r="A106" s="6">
        <f>IF($H106="","",98)</f>
      </c>
      <c r="B106" s="6">
        <f>IF($H106="","",INDEX(Registro!$D$2:$D$501,$H106))</f>
      </c>
      <c r="C106" s="6">
        <f>IF($H106="","",INDEX(Registro!$H$2:$H$501,$H106))</f>
      </c>
      <c r="D106" s="6">
        <f>IF($H106="","",INDEX(Registro!$K$2:$K$501,$H106))</f>
      </c>
      <c r="E106" s="6">
        <f>IF($H106="","",INDEX(Registro!$M$2:$M$501,$H106))</f>
      </c>
      <c r="F106" s="6">
        <f>IF($H106="","",INDEX(Registro!$N$2:$N$501,$H106))</f>
      </c>
      <c r="G106" s="6">
        <f>IF($H106="","",INDEX(Registro!$B$2:$B$501,$H106))</f>
      </c>
      <c r="H106" s="0">
        <f>IFERROR(MATCH(98,Registro!$AF$2:$AF$501,0),"")</f>
      </c>
    </row>
    <row r="107" spans="1:7">
      <c r="A107" s="6">
        <f>IF($H107="","",99)</f>
      </c>
      <c r="B107" s="6">
        <f>IF($H107="","",INDEX(Registro!$D$2:$D$501,$H107))</f>
      </c>
      <c r="C107" s="6">
        <f>IF($H107="","",INDEX(Registro!$H$2:$H$501,$H107))</f>
      </c>
      <c r="D107" s="6">
        <f>IF($H107="","",INDEX(Registro!$K$2:$K$501,$H107))</f>
      </c>
      <c r="E107" s="6">
        <f>IF($H107="","",INDEX(Registro!$M$2:$M$501,$H107))</f>
      </c>
      <c r="F107" s="6">
        <f>IF($H107="","",INDEX(Registro!$N$2:$N$501,$H107))</f>
      </c>
      <c r="G107" s="6">
        <f>IF($H107="","",INDEX(Registro!$B$2:$B$501,$H107))</f>
      </c>
      <c r="H107" s="0">
        <f>IFERROR(MATCH(99,Registro!$AF$2:$AF$501,0),"")</f>
      </c>
    </row>
    <row r="108" spans="1:7">
      <c r="A108" s="6">
        <f>IF($H108="","",100)</f>
      </c>
      <c r="B108" s="6">
        <f>IF($H108="","",INDEX(Registro!$D$2:$D$501,$H108))</f>
      </c>
      <c r="C108" s="6">
        <f>IF($H108="","",INDEX(Registro!$H$2:$H$501,$H108))</f>
      </c>
      <c r="D108" s="6">
        <f>IF($H108="","",INDEX(Registro!$K$2:$K$501,$H108))</f>
      </c>
      <c r="E108" s="6">
        <f>IF($H108="","",INDEX(Registro!$M$2:$M$501,$H108))</f>
      </c>
      <c r="F108" s="6">
        <f>IF($H108="","",INDEX(Registro!$N$2:$N$501,$H108))</f>
      </c>
      <c r="G108" s="6">
        <f>IF($H108="","",INDEX(Registro!$B$2:$B$501,$H108))</f>
      </c>
      <c r="H108" s="0">
        <f>IFERROR(MATCH(100,Registro!$AF$2:$AF$501,0),"")</f>
      </c>
    </row>
    <row r="109" spans="1:7">
      <c r="A109" s="6">
        <f>IF($H109="","",101)</f>
      </c>
      <c r="B109" s="6">
        <f>IF($H109="","",INDEX(Registro!$D$2:$D$501,$H109))</f>
      </c>
      <c r="C109" s="6">
        <f>IF($H109="","",INDEX(Registro!$H$2:$H$501,$H109))</f>
      </c>
      <c r="D109" s="6">
        <f>IF($H109="","",INDEX(Registro!$K$2:$K$501,$H109))</f>
      </c>
      <c r="E109" s="6">
        <f>IF($H109="","",INDEX(Registro!$M$2:$M$501,$H109))</f>
      </c>
      <c r="F109" s="6">
        <f>IF($H109="","",INDEX(Registro!$N$2:$N$501,$H109))</f>
      </c>
      <c r="G109" s="6">
        <f>IF($H109="","",INDEX(Registro!$B$2:$B$501,$H109))</f>
      </c>
      <c r="H109" s="0">
        <f>IFERROR(MATCH(101,Registro!$AF$2:$AF$501,0),"")</f>
      </c>
    </row>
    <row r="110" spans="1:7">
      <c r="A110" s="6">
        <f>IF($H110="","",102)</f>
      </c>
      <c r="B110" s="6">
        <f>IF($H110="","",INDEX(Registro!$D$2:$D$501,$H110))</f>
      </c>
      <c r="C110" s="6">
        <f>IF($H110="","",INDEX(Registro!$H$2:$H$501,$H110))</f>
      </c>
      <c r="D110" s="6">
        <f>IF($H110="","",INDEX(Registro!$K$2:$K$501,$H110))</f>
      </c>
      <c r="E110" s="6">
        <f>IF($H110="","",INDEX(Registro!$M$2:$M$501,$H110))</f>
      </c>
      <c r="F110" s="6">
        <f>IF($H110="","",INDEX(Registro!$N$2:$N$501,$H110))</f>
      </c>
      <c r="G110" s="6">
        <f>IF($H110="","",INDEX(Registro!$B$2:$B$501,$H110))</f>
      </c>
      <c r="H110" s="0">
        <f>IFERROR(MATCH(102,Registro!$AF$2:$AF$501,0),"")</f>
      </c>
    </row>
    <row r="111" spans="1:7">
      <c r="A111" s="6">
        <f>IF($H111="","",103)</f>
      </c>
      <c r="B111" s="6">
        <f>IF($H111="","",INDEX(Registro!$D$2:$D$501,$H111))</f>
      </c>
      <c r="C111" s="6">
        <f>IF($H111="","",INDEX(Registro!$H$2:$H$501,$H111))</f>
      </c>
      <c r="D111" s="6">
        <f>IF($H111="","",INDEX(Registro!$K$2:$K$501,$H111))</f>
      </c>
      <c r="E111" s="6">
        <f>IF($H111="","",INDEX(Registro!$M$2:$M$501,$H111))</f>
      </c>
      <c r="F111" s="6">
        <f>IF($H111="","",INDEX(Registro!$N$2:$N$501,$H111))</f>
      </c>
      <c r="G111" s="6">
        <f>IF($H111="","",INDEX(Registro!$B$2:$B$501,$H111))</f>
      </c>
      <c r="H111" s="0">
        <f>IFERROR(MATCH(103,Registro!$AF$2:$AF$501,0),"")</f>
      </c>
    </row>
    <row r="112" spans="1:7">
      <c r="A112" s="6">
        <f>IF($H112="","",104)</f>
      </c>
      <c r="B112" s="6">
        <f>IF($H112="","",INDEX(Registro!$D$2:$D$501,$H112))</f>
      </c>
      <c r="C112" s="6">
        <f>IF($H112="","",INDEX(Registro!$H$2:$H$501,$H112))</f>
      </c>
      <c r="D112" s="6">
        <f>IF($H112="","",INDEX(Registro!$K$2:$K$501,$H112))</f>
      </c>
      <c r="E112" s="6">
        <f>IF($H112="","",INDEX(Registro!$M$2:$M$501,$H112))</f>
      </c>
      <c r="F112" s="6">
        <f>IF($H112="","",INDEX(Registro!$N$2:$N$501,$H112))</f>
      </c>
      <c r="G112" s="6">
        <f>IF($H112="","",INDEX(Registro!$B$2:$B$501,$H112))</f>
      </c>
      <c r="H112" s="0">
        <f>IFERROR(MATCH(104,Registro!$AF$2:$AF$501,0),"")</f>
      </c>
    </row>
    <row r="113" spans="1:7">
      <c r="A113" s="6">
        <f>IF($H113="","",105)</f>
      </c>
      <c r="B113" s="6">
        <f>IF($H113="","",INDEX(Registro!$D$2:$D$501,$H113))</f>
      </c>
      <c r="C113" s="6">
        <f>IF($H113="","",INDEX(Registro!$H$2:$H$501,$H113))</f>
      </c>
      <c r="D113" s="6">
        <f>IF($H113="","",INDEX(Registro!$K$2:$K$501,$H113))</f>
      </c>
      <c r="E113" s="6">
        <f>IF($H113="","",INDEX(Registro!$M$2:$M$501,$H113))</f>
      </c>
      <c r="F113" s="6">
        <f>IF($H113="","",INDEX(Registro!$N$2:$N$501,$H113))</f>
      </c>
      <c r="G113" s="6">
        <f>IF($H113="","",INDEX(Registro!$B$2:$B$501,$H113))</f>
      </c>
      <c r="H113" s="0">
        <f>IFERROR(MATCH(105,Registro!$AF$2:$AF$501,0),"")</f>
      </c>
    </row>
    <row r="114" spans="1:7">
      <c r="A114" s="6">
        <f>IF($H114="","",106)</f>
      </c>
      <c r="B114" s="6">
        <f>IF($H114="","",INDEX(Registro!$D$2:$D$501,$H114))</f>
      </c>
      <c r="C114" s="6">
        <f>IF($H114="","",INDEX(Registro!$H$2:$H$501,$H114))</f>
      </c>
      <c r="D114" s="6">
        <f>IF($H114="","",INDEX(Registro!$K$2:$K$501,$H114))</f>
      </c>
      <c r="E114" s="6">
        <f>IF($H114="","",INDEX(Registro!$M$2:$M$501,$H114))</f>
      </c>
      <c r="F114" s="6">
        <f>IF($H114="","",INDEX(Registro!$N$2:$N$501,$H114))</f>
      </c>
      <c r="G114" s="6">
        <f>IF($H114="","",INDEX(Registro!$B$2:$B$501,$H114))</f>
      </c>
      <c r="H114" s="0">
        <f>IFERROR(MATCH(106,Registro!$AF$2:$AF$501,0),"")</f>
      </c>
    </row>
    <row r="115" spans="1:7">
      <c r="A115" s="6">
        <f>IF($H115="","",107)</f>
      </c>
      <c r="B115" s="6">
        <f>IF($H115="","",INDEX(Registro!$D$2:$D$501,$H115))</f>
      </c>
      <c r="C115" s="6">
        <f>IF($H115="","",INDEX(Registro!$H$2:$H$501,$H115))</f>
      </c>
      <c r="D115" s="6">
        <f>IF($H115="","",INDEX(Registro!$K$2:$K$501,$H115))</f>
      </c>
      <c r="E115" s="6">
        <f>IF($H115="","",INDEX(Registro!$M$2:$M$501,$H115))</f>
      </c>
      <c r="F115" s="6">
        <f>IF($H115="","",INDEX(Registro!$N$2:$N$501,$H115))</f>
      </c>
      <c r="G115" s="6">
        <f>IF($H115="","",INDEX(Registro!$B$2:$B$501,$H115))</f>
      </c>
      <c r="H115" s="0">
        <f>IFERROR(MATCH(107,Registro!$AF$2:$AF$501,0),"")</f>
      </c>
    </row>
    <row r="116" spans="1:7">
      <c r="A116" s="6">
        <f>IF($H116="","",108)</f>
      </c>
      <c r="B116" s="6">
        <f>IF($H116="","",INDEX(Registro!$D$2:$D$501,$H116))</f>
      </c>
      <c r="C116" s="6">
        <f>IF($H116="","",INDEX(Registro!$H$2:$H$501,$H116))</f>
      </c>
      <c r="D116" s="6">
        <f>IF($H116="","",INDEX(Registro!$K$2:$K$501,$H116))</f>
      </c>
      <c r="E116" s="6">
        <f>IF($H116="","",INDEX(Registro!$M$2:$M$501,$H116))</f>
      </c>
      <c r="F116" s="6">
        <f>IF($H116="","",INDEX(Registro!$N$2:$N$501,$H116))</f>
      </c>
      <c r="G116" s="6">
        <f>IF($H116="","",INDEX(Registro!$B$2:$B$501,$H116))</f>
      </c>
      <c r="H116" s="0">
        <f>IFERROR(MATCH(108,Registro!$AF$2:$AF$501,0),"")</f>
      </c>
    </row>
    <row r="117" spans="1:7">
      <c r="A117" s="6">
        <f>IF($H117="","",109)</f>
      </c>
      <c r="B117" s="6">
        <f>IF($H117="","",INDEX(Registro!$D$2:$D$501,$H117))</f>
      </c>
      <c r="C117" s="6">
        <f>IF($H117="","",INDEX(Registro!$H$2:$H$501,$H117))</f>
      </c>
      <c r="D117" s="6">
        <f>IF($H117="","",INDEX(Registro!$K$2:$K$501,$H117))</f>
      </c>
      <c r="E117" s="6">
        <f>IF($H117="","",INDEX(Registro!$M$2:$M$501,$H117))</f>
      </c>
      <c r="F117" s="6">
        <f>IF($H117="","",INDEX(Registro!$N$2:$N$501,$H117))</f>
      </c>
      <c r="G117" s="6">
        <f>IF($H117="","",INDEX(Registro!$B$2:$B$501,$H117))</f>
      </c>
      <c r="H117" s="0">
        <f>IFERROR(MATCH(109,Registro!$AF$2:$AF$501,0),"")</f>
      </c>
    </row>
    <row r="118" spans="1:7">
      <c r="A118" s="6">
        <f>IF($H118="","",110)</f>
      </c>
      <c r="B118" s="6">
        <f>IF($H118="","",INDEX(Registro!$D$2:$D$501,$H118))</f>
      </c>
      <c r="C118" s="6">
        <f>IF($H118="","",INDEX(Registro!$H$2:$H$501,$H118))</f>
      </c>
      <c r="D118" s="6">
        <f>IF($H118="","",INDEX(Registro!$K$2:$K$501,$H118))</f>
      </c>
      <c r="E118" s="6">
        <f>IF($H118="","",INDEX(Registro!$M$2:$M$501,$H118))</f>
      </c>
      <c r="F118" s="6">
        <f>IF($H118="","",INDEX(Registro!$N$2:$N$501,$H118))</f>
      </c>
      <c r="G118" s="6">
        <f>IF($H118="","",INDEX(Registro!$B$2:$B$501,$H118))</f>
      </c>
      <c r="H118" s="0">
        <f>IFERROR(MATCH(110,Registro!$AF$2:$AF$501,0),"")</f>
      </c>
    </row>
    <row r="119" spans="1:7">
      <c r="A119" s="6">
        <f>IF($H119="","",111)</f>
      </c>
      <c r="B119" s="6">
        <f>IF($H119="","",INDEX(Registro!$D$2:$D$501,$H119))</f>
      </c>
      <c r="C119" s="6">
        <f>IF($H119="","",INDEX(Registro!$H$2:$H$501,$H119))</f>
      </c>
      <c r="D119" s="6">
        <f>IF($H119="","",INDEX(Registro!$K$2:$K$501,$H119))</f>
      </c>
      <c r="E119" s="6">
        <f>IF($H119="","",INDEX(Registro!$M$2:$M$501,$H119))</f>
      </c>
      <c r="F119" s="6">
        <f>IF($H119="","",INDEX(Registro!$N$2:$N$501,$H119))</f>
      </c>
      <c r="G119" s="6">
        <f>IF($H119="","",INDEX(Registro!$B$2:$B$501,$H119))</f>
      </c>
      <c r="H119" s="0">
        <f>IFERROR(MATCH(111,Registro!$AF$2:$AF$501,0),"")</f>
      </c>
    </row>
    <row r="120" spans="1:7">
      <c r="A120" s="6">
        <f>IF($H120="","",112)</f>
      </c>
      <c r="B120" s="6">
        <f>IF($H120="","",INDEX(Registro!$D$2:$D$501,$H120))</f>
      </c>
      <c r="C120" s="6">
        <f>IF($H120="","",INDEX(Registro!$H$2:$H$501,$H120))</f>
      </c>
      <c r="D120" s="6">
        <f>IF($H120="","",INDEX(Registro!$K$2:$K$501,$H120))</f>
      </c>
      <c r="E120" s="6">
        <f>IF($H120="","",INDEX(Registro!$M$2:$M$501,$H120))</f>
      </c>
      <c r="F120" s="6">
        <f>IF($H120="","",INDEX(Registro!$N$2:$N$501,$H120))</f>
      </c>
      <c r="G120" s="6">
        <f>IF($H120="","",INDEX(Registro!$B$2:$B$501,$H120))</f>
      </c>
      <c r="H120" s="0">
        <f>IFERROR(MATCH(112,Registro!$AF$2:$AF$501,0),"")</f>
      </c>
    </row>
    <row r="121" spans="1:7">
      <c r="A121" s="6">
        <f>IF($H121="","",113)</f>
      </c>
      <c r="B121" s="6">
        <f>IF($H121="","",INDEX(Registro!$D$2:$D$501,$H121))</f>
      </c>
      <c r="C121" s="6">
        <f>IF($H121="","",INDEX(Registro!$H$2:$H$501,$H121))</f>
      </c>
      <c r="D121" s="6">
        <f>IF($H121="","",INDEX(Registro!$K$2:$K$501,$H121))</f>
      </c>
      <c r="E121" s="6">
        <f>IF($H121="","",INDEX(Registro!$M$2:$M$501,$H121))</f>
      </c>
      <c r="F121" s="6">
        <f>IF($H121="","",INDEX(Registro!$N$2:$N$501,$H121))</f>
      </c>
      <c r="G121" s="6">
        <f>IF($H121="","",INDEX(Registro!$B$2:$B$501,$H121))</f>
      </c>
      <c r="H121" s="0">
        <f>IFERROR(MATCH(113,Registro!$AF$2:$AF$501,0),"")</f>
      </c>
    </row>
    <row r="122" spans="1:7">
      <c r="A122" s="6">
        <f>IF($H122="","",114)</f>
      </c>
      <c r="B122" s="6">
        <f>IF($H122="","",INDEX(Registro!$D$2:$D$501,$H122))</f>
      </c>
      <c r="C122" s="6">
        <f>IF($H122="","",INDEX(Registro!$H$2:$H$501,$H122))</f>
      </c>
      <c r="D122" s="6">
        <f>IF($H122="","",INDEX(Registro!$K$2:$K$501,$H122))</f>
      </c>
      <c r="E122" s="6">
        <f>IF($H122="","",INDEX(Registro!$M$2:$M$501,$H122))</f>
      </c>
      <c r="F122" s="6">
        <f>IF($H122="","",INDEX(Registro!$N$2:$N$501,$H122))</f>
      </c>
      <c r="G122" s="6">
        <f>IF($H122="","",INDEX(Registro!$B$2:$B$501,$H122))</f>
      </c>
      <c r="H122" s="0">
        <f>IFERROR(MATCH(114,Registro!$AF$2:$AF$501,0),"")</f>
      </c>
    </row>
    <row r="123" spans="1:7">
      <c r="A123" s="6">
        <f>IF($H123="","",115)</f>
      </c>
      <c r="B123" s="6">
        <f>IF($H123="","",INDEX(Registro!$D$2:$D$501,$H123))</f>
      </c>
      <c r="C123" s="6">
        <f>IF($H123="","",INDEX(Registro!$H$2:$H$501,$H123))</f>
      </c>
      <c r="D123" s="6">
        <f>IF($H123="","",INDEX(Registro!$K$2:$K$501,$H123))</f>
      </c>
      <c r="E123" s="6">
        <f>IF($H123="","",INDEX(Registro!$M$2:$M$501,$H123))</f>
      </c>
      <c r="F123" s="6">
        <f>IF($H123="","",INDEX(Registro!$N$2:$N$501,$H123))</f>
      </c>
      <c r="G123" s="6">
        <f>IF($H123="","",INDEX(Registro!$B$2:$B$501,$H123))</f>
      </c>
      <c r="H123" s="0">
        <f>IFERROR(MATCH(115,Registro!$AF$2:$AF$501,0),"")</f>
      </c>
    </row>
    <row r="124" spans="1:7">
      <c r="A124" s="6">
        <f>IF($H124="","",116)</f>
      </c>
      <c r="B124" s="6">
        <f>IF($H124="","",INDEX(Registro!$D$2:$D$501,$H124))</f>
      </c>
      <c r="C124" s="6">
        <f>IF($H124="","",INDEX(Registro!$H$2:$H$501,$H124))</f>
      </c>
      <c r="D124" s="6">
        <f>IF($H124="","",INDEX(Registro!$K$2:$K$501,$H124))</f>
      </c>
      <c r="E124" s="6">
        <f>IF($H124="","",INDEX(Registro!$M$2:$M$501,$H124))</f>
      </c>
      <c r="F124" s="6">
        <f>IF($H124="","",INDEX(Registro!$N$2:$N$501,$H124))</f>
      </c>
      <c r="G124" s="6">
        <f>IF($H124="","",INDEX(Registro!$B$2:$B$501,$H124))</f>
      </c>
      <c r="H124" s="0">
        <f>IFERROR(MATCH(116,Registro!$AF$2:$AF$501,0),"")</f>
      </c>
    </row>
    <row r="125" spans="1:7">
      <c r="A125" s="6">
        <f>IF($H125="","",117)</f>
      </c>
      <c r="B125" s="6">
        <f>IF($H125="","",INDEX(Registro!$D$2:$D$501,$H125))</f>
      </c>
      <c r="C125" s="6">
        <f>IF($H125="","",INDEX(Registro!$H$2:$H$501,$H125))</f>
      </c>
      <c r="D125" s="6">
        <f>IF($H125="","",INDEX(Registro!$K$2:$K$501,$H125))</f>
      </c>
      <c r="E125" s="6">
        <f>IF($H125="","",INDEX(Registro!$M$2:$M$501,$H125))</f>
      </c>
      <c r="F125" s="6">
        <f>IF($H125="","",INDEX(Registro!$N$2:$N$501,$H125))</f>
      </c>
      <c r="G125" s="6">
        <f>IF($H125="","",INDEX(Registro!$B$2:$B$501,$H125))</f>
      </c>
      <c r="H125" s="0">
        <f>IFERROR(MATCH(117,Registro!$AF$2:$AF$501,0),"")</f>
      </c>
    </row>
    <row r="126" spans="1:7">
      <c r="A126" s="6">
        <f>IF($H126="","",118)</f>
      </c>
      <c r="B126" s="6">
        <f>IF($H126="","",INDEX(Registro!$D$2:$D$501,$H126))</f>
      </c>
      <c r="C126" s="6">
        <f>IF($H126="","",INDEX(Registro!$H$2:$H$501,$H126))</f>
      </c>
      <c r="D126" s="6">
        <f>IF($H126="","",INDEX(Registro!$K$2:$K$501,$H126))</f>
      </c>
      <c r="E126" s="6">
        <f>IF($H126="","",INDEX(Registro!$M$2:$M$501,$H126))</f>
      </c>
      <c r="F126" s="6">
        <f>IF($H126="","",INDEX(Registro!$N$2:$N$501,$H126))</f>
      </c>
      <c r="G126" s="6">
        <f>IF($H126="","",INDEX(Registro!$B$2:$B$501,$H126))</f>
      </c>
      <c r="H126" s="0">
        <f>IFERROR(MATCH(118,Registro!$AF$2:$AF$501,0),"")</f>
      </c>
    </row>
    <row r="127" spans="1:7">
      <c r="A127" s="6">
        <f>IF($H127="","",119)</f>
      </c>
      <c r="B127" s="6">
        <f>IF($H127="","",INDEX(Registro!$D$2:$D$501,$H127))</f>
      </c>
      <c r="C127" s="6">
        <f>IF($H127="","",INDEX(Registro!$H$2:$H$501,$H127))</f>
      </c>
      <c r="D127" s="6">
        <f>IF($H127="","",INDEX(Registro!$K$2:$K$501,$H127))</f>
      </c>
      <c r="E127" s="6">
        <f>IF($H127="","",INDEX(Registro!$M$2:$M$501,$H127))</f>
      </c>
      <c r="F127" s="6">
        <f>IF($H127="","",INDEX(Registro!$N$2:$N$501,$H127))</f>
      </c>
      <c r="G127" s="6">
        <f>IF($H127="","",INDEX(Registro!$B$2:$B$501,$H127))</f>
      </c>
      <c r="H127" s="0">
        <f>IFERROR(MATCH(119,Registro!$AF$2:$AF$501,0),"")</f>
      </c>
    </row>
    <row r="128" spans="1:7">
      <c r="A128" s="6">
        <f>IF($H128="","",120)</f>
      </c>
      <c r="B128" s="6">
        <f>IF($H128="","",INDEX(Registro!$D$2:$D$501,$H128))</f>
      </c>
      <c r="C128" s="6">
        <f>IF($H128="","",INDEX(Registro!$H$2:$H$501,$H128))</f>
      </c>
      <c r="D128" s="6">
        <f>IF($H128="","",INDEX(Registro!$K$2:$K$501,$H128))</f>
      </c>
      <c r="E128" s="6">
        <f>IF($H128="","",INDEX(Registro!$M$2:$M$501,$H128))</f>
      </c>
      <c r="F128" s="6">
        <f>IF($H128="","",INDEX(Registro!$N$2:$N$501,$H128))</f>
      </c>
      <c r="G128" s="6">
        <f>IF($H128="","",INDEX(Registro!$B$2:$B$501,$H128))</f>
      </c>
      <c r="H128" s="0">
        <f>IFERROR(MATCH(120,Registro!$AF$2:$AF$501,0),"")</f>
      </c>
    </row>
    <row r="129" spans="1:7">
      <c r="A129" s="6">
        <f>IF($H129="","",121)</f>
      </c>
      <c r="B129" s="6">
        <f>IF($H129="","",INDEX(Registro!$D$2:$D$501,$H129))</f>
      </c>
      <c r="C129" s="6">
        <f>IF($H129="","",INDEX(Registro!$H$2:$H$501,$H129))</f>
      </c>
      <c r="D129" s="6">
        <f>IF($H129="","",INDEX(Registro!$K$2:$K$501,$H129))</f>
      </c>
      <c r="E129" s="6">
        <f>IF($H129="","",INDEX(Registro!$M$2:$M$501,$H129))</f>
      </c>
      <c r="F129" s="6">
        <f>IF($H129="","",INDEX(Registro!$N$2:$N$501,$H129))</f>
      </c>
      <c r="G129" s="6">
        <f>IF($H129="","",INDEX(Registro!$B$2:$B$501,$H129))</f>
      </c>
      <c r="H129" s="0">
        <f>IFERROR(MATCH(121,Registro!$AF$2:$AF$501,0),"")</f>
      </c>
    </row>
    <row r="130" spans="1:7">
      <c r="A130" s="6">
        <f>IF($H130="","",122)</f>
      </c>
      <c r="B130" s="6">
        <f>IF($H130="","",INDEX(Registro!$D$2:$D$501,$H130))</f>
      </c>
      <c r="C130" s="6">
        <f>IF($H130="","",INDEX(Registro!$H$2:$H$501,$H130))</f>
      </c>
      <c r="D130" s="6">
        <f>IF($H130="","",INDEX(Registro!$K$2:$K$501,$H130))</f>
      </c>
      <c r="E130" s="6">
        <f>IF($H130="","",INDEX(Registro!$M$2:$M$501,$H130))</f>
      </c>
      <c r="F130" s="6">
        <f>IF($H130="","",INDEX(Registro!$N$2:$N$501,$H130))</f>
      </c>
      <c r="G130" s="6">
        <f>IF($H130="","",INDEX(Registro!$B$2:$B$501,$H130))</f>
      </c>
      <c r="H130" s="0">
        <f>IFERROR(MATCH(122,Registro!$AF$2:$AF$501,0),"")</f>
      </c>
    </row>
    <row r="131" spans="1:7">
      <c r="A131" s="6">
        <f>IF($H131="","",123)</f>
      </c>
      <c r="B131" s="6">
        <f>IF($H131="","",INDEX(Registro!$D$2:$D$501,$H131))</f>
      </c>
      <c r="C131" s="6">
        <f>IF($H131="","",INDEX(Registro!$H$2:$H$501,$H131))</f>
      </c>
      <c r="D131" s="6">
        <f>IF($H131="","",INDEX(Registro!$K$2:$K$501,$H131))</f>
      </c>
      <c r="E131" s="6">
        <f>IF($H131="","",INDEX(Registro!$M$2:$M$501,$H131))</f>
      </c>
      <c r="F131" s="6">
        <f>IF($H131="","",INDEX(Registro!$N$2:$N$501,$H131))</f>
      </c>
      <c r="G131" s="6">
        <f>IF($H131="","",INDEX(Registro!$B$2:$B$501,$H131))</f>
      </c>
      <c r="H131" s="0">
        <f>IFERROR(MATCH(123,Registro!$AF$2:$AF$501,0),"")</f>
      </c>
    </row>
    <row r="132" spans="1:7">
      <c r="A132" s="6">
        <f>IF($H132="","",124)</f>
      </c>
      <c r="B132" s="6">
        <f>IF($H132="","",INDEX(Registro!$D$2:$D$501,$H132))</f>
      </c>
      <c r="C132" s="6">
        <f>IF($H132="","",INDEX(Registro!$H$2:$H$501,$H132))</f>
      </c>
      <c r="D132" s="6">
        <f>IF($H132="","",INDEX(Registro!$K$2:$K$501,$H132))</f>
      </c>
      <c r="E132" s="6">
        <f>IF($H132="","",INDEX(Registro!$M$2:$M$501,$H132))</f>
      </c>
      <c r="F132" s="6">
        <f>IF($H132="","",INDEX(Registro!$N$2:$N$501,$H132))</f>
      </c>
      <c r="G132" s="6">
        <f>IF($H132="","",INDEX(Registro!$B$2:$B$501,$H132))</f>
      </c>
      <c r="H132" s="0">
        <f>IFERROR(MATCH(124,Registro!$AF$2:$AF$501,0),"")</f>
      </c>
    </row>
    <row r="133" spans="1:7">
      <c r="A133" s="6">
        <f>IF($H133="","",125)</f>
      </c>
      <c r="B133" s="6">
        <f>IF($H133="","",INDEX(Registro!$D$2:$D$501,$H133))</f>
      </c>
      <c r="C133" s="6">
        <f>IF($H133="","",INDEX(Registro!$H$2:$H$501,$H133))</f>
      </c>
      <c r="D133" s="6">
        <f>IF($H133="","",INDEX(Registro!$K$2:$K$501,$H133))</f>
      </c>
      <c r="E133" s="6">
        <f>IF($H133="","",INDEX(Registro!$M$2:$M$501,$H133))</f>
      </c>
      <c r="F133" s="6">
        <f>IF($H133="","",INDEX(Registro!$N$2:$N$501,$H133))</f>
      </c>
      <c r="G133" s="6">
        <f>IF($H133="","",INDEX(Registro!$B$2:$B$501,$H133))</f>
      </c>
      <c r="H133" s="0">
        <f>IFERROR(MATCH(125,Registro!$AF$2:$AF$501,0),"")</f>
      </c>
    </row>
    <row r="134" spans="1:7">
      <c r="A134" s="6">
        <f>IF($H134="","",126)</f>
      </c>
      <c r="B134" s="6">
        <f>IF($H134="","",INDEX(Registro!$D$2:$D$501,$H134))</f>
      </c>
      <c r="C134" s="6">
        <f>IF($H134="","",INDEX(Registro!$H$2:$H$501,$H134))</f>
      </c>
      <c r="D134" s="6">
        <f>IF($H134="","",INDEX(Registro!$K$2:$K$501,$H134))</f>
      </c>
      <c r="E134" s="6">
        <f>IF($H134="","",INDEX(Registro!$M$2:$M$501,$H134))</f>
      </c>
      <c r="F134" s="6">
        <f>IF($H134="","",INDEX(Registro!$N$2:$N$501,$H134))</f>
      </c>
      <c r="G134" s="6">
        <f>IF($H134="","",INDEX(Registro!$B$2:$B$501,$H134))</f>
      </c>
      <c r="H134" s="0">
        <f>IFERROR(MATCH(126,Registro!$AF$2:$AF$501,0),"")</f>
      </c>
    </row>
    <row r="135" spans="1:7">
      <c r="A135" s="6">
        <f>IF($H135="","",127)</f>
      </c>
      <c r="B135" s="6">
        <f>IF($H135="","",INDEX(Registro!$D$2:$D$501,$H135))</f>
      </c>
      <c r="C135" s="6">
        <f>IF($H135="","",INDEX(Registro!$H$2:$H$501,$H135))</f>
      </c>
      <c r="D135" s="6">
        <f>IF($H135="","",INDEX(Registro!$K$2:$K$501,$H135))</f>
      </c>
      <c r="E135" s="6">
        <f>IF($H135="","",INDEX(Registro!$M$2:$M$501,$H135))</f>
      </c>
      <c r="F135" s="6">
        <f>IF($H135="","",INDEX(Registro!$N$2:$N$501,$H135))</f>
      </c>
      <c r="G135" s="6">
        <f>IF($H135="","",INDEX(Registro!$B$2:$B$501,$H135))</f>
      </c>
      <c r="H135" s="0">
        <f>IFERROR(MATCH(127,Registro!$AF$2:$AF$501,0),"")</f>
      </c>
    </row>
    <row r="136" spans="1:7">
      <c r="A136" s="6">
        <f>IF($H136="","",128)</f>
      </c>
      <c r="B136" s="6">
        <f>IF($H136="","",INDEX(Registro!$D$2:$D$501,$H136))</f>
      </c>
      <c r="C136" s="6">
        <f>IF($H136="","",INDEX(Registro!$H$2:$H$501,$H136))</f>
      </c>
      <c r="D136" s="6">
        <f>IF($H136="","",INDEX(Registro!$K$2:$K$501,$H136))</f>
      </c>
      <c r="E136" s="6">
        <f>IF($H136="","",INDEX(Registro!$M$2:$M$501,$H136))</f>
      </c>
      <c r="F136" s="6">
        <f>IF($H136="","",INDEX(Registro!$N$2:$N$501,$H136))</f>
      </c>
      <c r="G136" s="6">
        <f>IF($H136="","",INDEX(Registro!$B$2:$B$501,$H136))</f>
      </c>
      <c r="H136" s="0">
        <f>IFERROR(MATCH(128,Registro!$AF$2:$AF$501,0),"")</f>
      </c>
    </row>
    <row r="137" spans="1:7">
      <c r="A137" s="6">
        <f>IF($H137="","",129)</f>
      </c>
      <c r="B137" s="6">
        <f>IF($H137="","",INDEX(Registro!$D$2:$D$501,$H137))</f>
      </c>
      <c r="C137" s="6">
        <f>IF($H137="","",INDEX(Registro!$H$2:$H$501,$H137))</f>
      </c>
      <c r="D137" s="6">
        <f>IF($H137="","",INDEX(Registro!$K$2:$K$501,$H137))</f>
      </c>
      <c r="E137" s="6">
        <f>IF($H137="","",INDEX(Registro!$M$2:$M$501,$H137))</f>
      </c>
      <c r="F137" s="6">
        <f>IF($H137="","",INDEX(Registro!$N$2:$N$501,$H137))</f>
      </c>
      <c r="G137" s="6">
        <f>IF($H137="","",INDEX(Registro!$B$2:$B$501,$H137))</f>
      </c>
      <c r="H137" s="0">
        <f>IFERROR(MATCH(129,Registro!$AF$2:$AF$501,0),"")</f>
      </c>
    </row>
    <row r="138" spans="1:7">
      <c r="A138" s="6">
        <f>IF($H138="","",130)</f>
      </c>
      <c r="B138" s="6">
        <f>IF($H138="","",INDEX(Registro!$D$2:$D$501,$H138))</f>
      </c>
      <c r="C138" s="6">
        <f>IF($H138="","",INDEX(Registro!$H$2:$H$501,$H138))</f>
      </c>
      <c r="D138" s="6">
        <f>IF($H138="","",INDEX(Registro!$K$2:$K$501,$H138))</f>
      </c>
      <c r="E138" s="6">
        <f>IF($H138="","",INDEX(Registro!$M$2:$M$501,$H138))</f>
      </c>
      <c r="F138" s="6">
        <f>IF($H138="","",INDEX(Registro!$N$2:$N$501,$H138))</f>
      </c>
      <c r="G138" s="6">
        <f>IF($H138="","",INDEX(Registro!$B$2:$B$501,$H138))</f>
      </c>
      <c r="H138" s="0">
        <f>IFERROR(MATCH(130,Registro!$AF$2:$AF$501,0),"")</f>
      </c>
    </row>
    <row r="139" spans="1:7">
      <c r="A139" s="6">
        <f>IF($H139="","",131)</f>
      </c>
      <c r="B139" s="6">
        <f>IF($H139="","",INDEX(Registro!$D$2:$D$501,$H139))</f>
      </c>
      <c r="C139" s="6">
        <f>IF($H139="","",INDEX(Registro!$H$2:$H$501,$H139))</f>
      </c>
      <c r="D139" s="6">
        <f>IF($H139="","",INDEX(Registro!$K$2:$K$501,$H139))</f>
      </c>
      <c r="E139" s="6">
        <f>IF($H139="","",INDEX(Registro!$M$2:$M$501,$H139))</f>
      </c>
      <c r="F139" s="6">
        <f>IF($H139="","",INDEX(Registro!$N$2:$N$501,$H139))</f>
      </c>
      <c r="G139" s="6">
        <f>IF($H139="","",INDEX(Registro!$B$2:$B$501,$H139))</f>
      </c>
      <c r="H139" s="0">
        <f>IFERROR(MATCH(131,Registro!$AF$2:$AF$501,0),"")</f>
      </c>
    </row>
    <row r="140" spans="1:7">
      <c r="A140" s="6">
        <f>IF($H140="","",132)</f>
      </c>
      <c r="B140" s="6">
        <f>IF($H140="","",INDEX(Registro!$D$2:$D$501,$H140))</f>
      </c>
      <c r="C140" s="6">
        <f>IF($H140="","",INDEX(Registro!$H$2:$H$501,$H140))</f>
      </c>
      <c r="D140" s="6">
        <f>IF($H140="","",INDEX(Registro!$K$2:$K$501,$H140))</f>
      </c>
      <c r="E140" s="6">
        <f>IF($H140="","",INDEX(Registro!$M$2:$M$501,$H140))</f>
      </c>
      <c r="F140" s="6">
        <f>IF($H140="","",INDEX(Registro!$N$2:$N$501,$H140))</f>
      </c>
      <c r="G140" s="6">
        <f>IF($H140="","",INDEX(Registro!$B$2:$B$501,$H140))</f>
      </c>
      <c r="H140" s="0">
        <f>IFERROR(MATCH(132,Registro!$AF$2:$AF$501,0),"")</f>
      </c>
    </row>
    <row r="141" spans="1:7">
      <c r="A141" s="6">
        <f>IF($H141="","",133)</f>
      </c>
      <c r="B141" s="6">
        <f>IF($H141="","",INDEX(Registro!$D$2:$D$501,$H141))</f>
      </c>
      <c r="C141" s="6">
        <f>IF($H141="","",INDEX(Registro!$H$2:$H$501,$H141))</f>
      </c>
      <c r="D141" s="6">
        <f>IF($H141="","",INDEX(Registro!$K$2:$K$501,$H141))</f>
      </c>
      <c r="E141" s="6">
        <f>IF($H141="","",INDEX(Registro!$M$2:$M$501,$H141))</f>
      </c>
      <c r="F141" s="6">
        <f>IF($H141="","",INDEX(Registro!$N$2:$N$501,$H141))</f>
      </c>
      <c r="G141" s="6">
        <f>IF($H141="","",INDEX(Registro!$B$2:$B$501,$H141))</f>
      </c>
      <c r="H141" s="0">
        <f>IFERROR(MATCH(133,Registro!$AF$2:$AF$501,0),"")</f>
      </c>
    </row>
    <row r="142" spans="1:7">
      <c r="A142" s="6">
        <f>IF($H142="","",134)</f>
      </c>
      <c r="B142" s="6">
        <f>IF($H142="","",INDEX(Registro!$D$2:$D$501,$H142))</f>
      </c>
      <c r="C142" s="6">
        <f>IF($H142="","",INDEX(Registro!$H$2:$H$501,$H142))</f>
      </c>
      <c r="D142" s="6">
        <f>IF($H142="","",INDEX(Registro!$K$2:$K$501,$H142))</f>
      </c>
      <c r="E142" s="6">
        <f>IF($H142="","",INDEX(Registro!$M$2:$M$501,$H142))</f>
      </c>
      <c r="F142" s="6">
        <f>IF($H142="","",INDEX(Registro!$N$2:$N$501,$H142))</f>
      </c>
      <c r="G142" s="6">
        <f>IF($H142="","",INDEX(Registro!$B$2:$B$501,$H142))</f>
      </c>
      <c r="H142" s="0">
        <f>IFERROR(MATCH(134,Registro!$AF$2:$AF$501,0),"")</f>
      </c>
    </row>
    <row r="143" spans="1:7">
      <c r="A143" s="6">
        <f>IF($H143="","",135)</f>
      </c>
      <c r="B143" s="6">
        <f>IF($H143="","",INDEX(Registro!$D$2:$D$501,$H143))</f>
      </c>
      <c r="C143" s="6">
        <f>IF($H143="","",INDEX(Registro!$H$2:$H$501,$H143))</f>
      </c>
      <c r="D143" s="6">
        <f>IF($H143="","",INDEX(Registro!$K$2:$K$501,$H143))</f>
      </c>
      <c r="E143" s="6">
        <f>IF($H143="","",INDEX(Registro!$M$2:$M$501,$H143))</f>
      </c>
      <c r="F143" s="6">
        <f>IF($H143="","",INDEX(Registro!$N$2:$N$501,$H143))</f>
      </c>
      <c r="G143" s="6">
        <f>IF($H143="","",INDEX(Registro!$B$2:$B$501,$H143))</f>
      </c>
      <c r="H143" s="0">
        <f>IFERROR(MATCH(135,Registro!$AF$2:$AF$501,0),"")</f>
      </c>
    </row>
    <row r="144" spans="1:7">
      <c r="A144" s="6">
        <f>IF($H144="","",136)</f>
      </c>
      <c r="B144" s="6">
        <f>IF($H144="","",INDEX(Registro!$D$2:$D$501,$H144))</f>
      </c>
      <c r="C144" s="6">
        <f>IF($H144="","",INDEX(Registro!$H$2:$H$501,$H144))</f>
      </c>
      <c r="D144" s="6">
        <f>IF($H144="","",INDEX(Registro!$K$2:$K$501,$H144))</f>
      </c>
      <c r="E144" s="6">
        <f>IF($H144="","",INDEX(Registro!$M$2:$M$501,$H144))</f>
      </c>
      <c r="F144" s="6">
        <f>IF($H144="","",INDEX(Registro!$N$2:$N$501,$H144))</f>
      </c>
      <c r="G144" s="6">
        <f>IF($H144="","",INDEX(Registro!$B$2:$B$501,$H144))</f>
      </c>
      <c r="H144" s="0">
        <f>IFERROR(MATCH(136,Registro!$AF$2:$AF$501,0),"")</f>
      </c>
    </row>
    <row r="145" spans="1:7">
      <c r="A145" s="6">
        <f>IF($H145="","",137)</f>
      </c>
      <c r="B145" s="6">
        <f>IF($H145="","",INDEX(Registro!$D$2:$D$501,$H145))</f>
      </c>
      <c r="C145" s="6">
        <f>IF($H145="","",INDEX(Registro!$H$2:$H$501,$H145))</f>
      </c>
      <c r="D145" s="6">
        <f>IF($H145="","",INDEX(Registro!$K$2:$K$501,$H145))</f>
      </c>
      <c r="E145" s="6">
        <f>IF($H145="","",INDEX(Registro!$M$2:$M$501,$H145))</f>
      </c>
      <c r="F145" s="6">
        <f>IF($H145="","",INDEX(Registro!$N$2:$N$501,$H145))</f>
      </c>
      <c r="G145" s="6">
        <f>IF($H145="","",INDEX(Registro!$B$2:$B$501,$H145))</f>
      </c>
      <c r="H145" s="0">
        <f>IFERROR(MATCH(137,Registro!$AF$2:$AF$501,0),"")</f>
      </c>
    </row>
    <row r="146" spans="1:7">
      <c r="A146" s="6">
        <f>IF($H146="","",138)</f>
      </c>
      <c r="B146" s="6">
        <f>IF($H146="","",INDEX(Registro!$D$2:$D$501,$H146))</f>
      </c>
      <c r="C146" s="6">
        <f>IF($H146="","",INDEX(Registro!$H$2:$H$501,$H146))</f>
      </c>
      <c r="D146" s="6">
        <f>IF($H146="","",INDEX(Registro!$K$2:$K$501,$H146))</f>
      </c>
      <c r="E146" s="6">
        <f>IF($H146="","",INDEX(Registro!$M$2:$M$501,$H146))</f>
      </c>
      <c r="F146" s="6">
        <f>IF($H146="","",INDEX(Registro!$N$2:$N$501,$H146))</f>
      </c>
      <c r="G146" s="6">
        <f>IF($H146="","",INDEX(Registro!$B$2:$B$501,$H146))</f>
      </c>
      <c r="H146" s="0">
        <f>IFERROR(MATCH(138,Registro!$AF$2:$AF$501,0),"")</f>
      </c>
    </row>
    <row r="147" spans="1:7">
      <c r="A147" s="6">
        <f>IF($H147="","",139)</f>
      </c>
      <c r="B147" s="6">
        <f>IF($H147="","",INDEX(Registro!$D$2:$D$501,$H147))</f>
      </c>
      <c r="C147" s="6">
        <f>IF($H147="","",INDEX(Registro!$H$2:$H$501,$H147))</f>
      </c>
      <c r="D147" s="6">
        <f>IF($H147="","",INDEX(Registro!$K$2:$K$501,$H147))</f>
      </c>
      <c r="E147" s="6">
        <f>IF($H147="","",INDEX(Registro!$M$2:$M$501,$H147))</f>
      </c>
      <c r="F147" s="6">
        <f>IF($H147="","",INDEX(Registro!$N$2:$N$501,$H147))</f>
      </c>
      <c r="G147" s="6">
        <f>IF($H147="","",INDEX(Registro!$B$2:$B$501,$H147))</f>
      </c>
      <c r="H147" s="0">
        <f>IFERROR(MATCH(139,Registro!$AF$2:$AF$501,0),"")</f>
      </c>
    </row>
    <row r="148" spans="1:7">
      <c r="A148" s="6">
        <f>IF($H148="","",140)</f>
      </c>
      <c r="B148" s="6">
        <f>IF($H148="","",INDEX(Registro!$D$2:$D$501,$H148))</f>
      </c>
      <c r="C148" s="6">
        <f>IF($H148="","",INDEX(Registro!$H$2:$H$501,$H148))</f>
      </c>
      <c r="D148" s="6">
        <f>IF($H148="","",INDEX(Registro!$K$2:$K$501,$H148))</f>
      </c>
      <c r="E148" s="6">
        <f>IF($H148="","",INDEX(Registro!$M$2:$M$501,$H148))</f>
      </c>
      <c r="F148" s="6">
        <f>IF($H148="","",INDEX(Registro!$N$2:$N$501,$H148))</f>
      </c>
      <c r="G148" s="6">
        <f>IF($H148="","",INDEX(Registro!$B$2:$B$501,$H148))</f>
      </c>
      <c r="H148" s="0">
        <f>IFERROR(MATCH(140,Registro!$AF$2:$AF$501,0),"")</f>
      </c>
    </row>
    <row r="149" spans="1:7">
      <c r="A149" s="6">
        <f>IF($H149="","",141)</f>
      </c>
      <c r="B149" s="6">
        <f>IF($H149="","",INDEX(Registro!$D$2:$D$501,$H149))</f>
      </c>
      <c r="C149" s="6">
        <f>IF($H149="","",INDEX(Registro!$H$2:$H$501,$H149))</f>
      </c>
      <c r="D149" s="6">
        <f>IF($H149="","",INDEX(Registro!$K$2:$K$501,$H149))</f>
      </c>
      <c r="E149" s="6">
        <f>IF($H149="","",INDEX(Registro!$M$2:$M$501,$H149))</f>
      </c>
      <c r="F149" s="6">
        <f>IF($H149="","",INDEX(Registro!$N$2:$N$501,$H149))</f>
      </c>
      <c r="G149" s="6">
        <f>IF($H149="","",INDEX(Registro!$B$2:$B$501,$H149))</f>
      </c>
      <c r="H149" s="0">
        <f>IFERROR(MATCH(141,Registro!$AF$2:$AF$501,0),"")</f>
      </c>
    </row>
    <row r="150" spans="1:7">
      <c r="A150" s="6">
        <f>IF($H150="","",142)</f>
      </c>
      <c r="B150" s="6">
        <f>IF($H150="","",INDEX(Registro!$D$2:$D$501,$H150))</f>
      </c>
      <c r="C150" s="6">
        <f>IF($H150="","",INDEX(Registro!$H$2:$H$501,$H150))</f>
      </c>
      <c r="D150" s="6">
        <f>IF($H150="","",INDEX(Registro!$K$2:$K$501,$H150))</f>
      </c>
      <c r="E150" s="6">
        <f>IF($H150="","",INDEX(Registro!$M$2:$M$501,$H150))</f>
      </c>
      <c r="F150" s="6">
        <f>IF($H150="","",INDEX(Registro!$N$2:$N$501,$H150))</f>
      </c>
      <c r="G150" s="6">
        <f>IF($H150="","",INDEX(Registro!$B$2:$B$501,$H150))</f>
      </c>
      <c r="H150" s="0">
        <f>IFERROR(MATCH(142,Registro!$AF$2:$AF$501,0),"")</f>
      </c>
    </row>
    <row r="151" spans="1:7">
      <c r="A151" s="6">
        <f>IF($H151="","",143)</f>
      </c>
      <c r="B151" s="6">
        <f>IF($H151="","",INDEX(Registro!$D$2:$D$501,$H151))</f>
      </c>
      <c r="C151" s="6">
        <f>IF($H151="","",INDEX(Registro!$H$2:$H$501,$H151))</f>
      </c>
      <c r="D151" s="6">
        <f>IF($H151="","",INDEX(Registro!$K$2:$K$501,$H151))</f>
      </c>
      <c r="E151" s="6">
        <f>IF($H151="","",INDEX(Registro!$M$2:$M$501,$H151))</f>
      </c>
      <c r="F151" s="6">
        <f>IF($H151="","",INDEX(Registro!$N$2:$N$501,$H151))</f>
      </c>
      <c r="G151" s="6">
        <f>IF($H151="","",INDEX(Registro!$B$2:$B$501,$H151))</f>
      </c>
      <c r="H151" s="0">
        <f>IFERROR(MATCH(143,Registro!$AF$2:$AF$501,0),"")</f>
      </c>
    </row>
    <row r="152" spans="1:7">
      <c r="A152" s="6">
        <f>IF($H152="","",144)</f>
      </c>
      <c r="B152" s="6">
        <f>IF($H152="","",INDEX(Registro!$D$2:$D$501,$H152))</f>
      </c>
      <c r="C152" s="6">
        <f>IF($H152="","",INDEX(Registro!$H$2:$H$501,$H152))</f>
      </c>
      <c r="D152" s="6">
        <f>IF($H152="","",INDEX(Registro!$K$2:$K$501,$H152))</f>
      </c>
      <c r="E152" s="6">
        <f>IF($H152="","",INDEX(Registro!$M$2:$M$501,$H152))</f>
      </c>
      <c r="F152" s="6">
        <f>IF($H152="","",INDEX(Registro!$N$2:$N$501,$H152))</f>
      </c>
      <c r="G152" s="6">
        <f>IF($H152="","",INDEX(Registro!$B$2:$B$501,$H152))</f>
      </c>
      <c r="H152" s="0">
        <f>IFERROR(MATCH(144,Registro!$AF$2:$AF$501,0),"")</f>
      </c>
    </row>
    <row r="153" spans="1:7">
      <c r="A153" s="6">
        <f>IF($H153="","",145)</f>
      </c>
      <c r="B153" s="6">
        <f>IF($H153="","",INDEX(Registro!$D$2:$D$501,$H153))</f>
      </c>
      <c r="C153" s="6">
        <f>IF($H153="","",INDEX(Registro!$H$2:$H$501,$H153))</f>
      </c>
      <c r="D153" s="6">
        <f>IF($H153="","",INDEX(Registro!$K$2:$K$501,$H153))</f>
      </c>
      <c r="E153" s="6">
        <f>IF($H153="","",INDEX(Registro!$M$2:$M$501,$H153))</f>
      </c>
      <c r="F153" s="6">
        <f>IF($H153="","",INDEX(Registro!$N$2:$N$501,$H153))</f>
      </c>
      <c r="G153" s="6">
        <f>IF($H153="","",INDEX(Registro!$B$2:$B$501,$H153))</f>
      </c>
      <c r="H153" s="0">
        <f>IFERROR(MATCH(145,Registro!$AF$2:$AF$501,0),"")</f>
      </c>
    </row>
    <row r="154" spans="1:7">
      <c r="A154" s="6">
        <f>IF($H154="","",146)</f>
      </c>
      <c r="B154" s="6">
        <f>IF($H154="","",INDEX(Registro!$D$2:$D$501,$H154))</f>
      </c>
      <c r="C154" s="6">
        <f>IF($H154="","",INDEX(Registro!$H$2:$H$501,$H154))</f>
      </c>
      <c r="D154" s="6">
        <f>IF($H154="","",INDEX(Registro!$K$2:$K$501,$H154))</f>
      </c>
      <c r="E154" s="6">
        <f>IF($H154="","",INDEX(Registro!$M$2:$M$501,$H154))</f>
      </c>
      <c r="F154" s="6">
        <f>IF($H154="","",INDEX(Registro!$N$2:$N$501,$H154))</f>
      </c>
      <c r="G154" s="6">
        <f>IF($H154="","",INDEX(Registro!$B$2:$B$501,$H154))</f>
      </c>
      <c r="H154" s="0">
        <f>IFERROR(MATCH(146,Registro!$AF$2:$AF$501,0),"")</f>
      </c>
    </row>
    <row r="155" spans="1:7">
      <c r="A155" s="6">
        <f>IF($H155="","",147)</f>
      </c>
      <c r="B155" s="6">
        <f>IF($H155="","",INDEX(Registro!$D$2:$D$501,$H155))</f>
      </c>
      <c r="C155" s="6">
        <f>IF($H155="","",INDEX(Registro!$H$2:$H$501,$H155))</f>
      </c>
      <c r="D155" s="6">
        <f>IF($H155="","",INDEX(Registro!$K$2:$K$501,$H155))</f>
      </c>
      <c r="E155" s="6">
        <f>IF($H155="","",INDEX(Registro!$M$2:$M$501,$H155))</f>
      </c>
      <c r="F155" s="6">
        <f>IF($H155="","",INDEX(Registro!$N$2:$N$501,$H155))</f>
      </c>
      <c r="G155" s="6">
        <f>IF($H155="","",INDEX(Registro!$B$2:$B$501,$H155))</f>
      </c>
      <c r="H155" s="0">
        <f>IFERROR(MATCH(147,Registro!$AF$2:$AF$501,0),"")</f>
      </c>
    </row>
    <row r="156" spans="1:7">
      <c r="A156" s="6">
        <f>IF($H156="","",148)</f>
      </c>
      <c r="B156" s="6">
        <f>IF($H156="","",INDEX(Registro!$D$2:$D$501,$H156))</f>
      </c>
      <c r="C156" s="6">
        <f>IF($H156="","",INDEX(Registro!$H$2:$H$501,$H156))</f>
      </c>
      <c r="D156" s="6">
        <f>IF($H156="","",INDEX(Registro!$K$2:$K$501,$H156))</f>
      </c>
      <c r="E156" s="6">
        <f>IF($H156="","",INDEX(Registro!$M$2:$M$501,$H156))</f>
      </c>
      <c r="F156" s="6">
        <f>IF($H156="","",INDEX(Registro!$N$2:$N$501,$H156))</f>
      </c>
      <c r="G156" s="6">
        <f>IF($H156="","",INDEX(Registro!$B$2:$B$501,$H156))</f>
      </c>
      <c r="H156" s="0">
        <f>IFERROR(MATCH(148,Registro!$AF$2:$AF$501,0),"")</f>
      </c>
    </row>
    <row r="157" spans="1:7">
      <c r="A157" s="6">
        <f>IF($H157="","",149)</f>
      </c>
      <c r="B157" s="6">
        <f>IF($H157="","",INDEX(Registro!$D$2:$D$501,$H157))</f>
      </c>
      <c r="C157" s="6">
        <f>IF($H157="","",INDEX(Registro!$H$2:$H$501,$H157))</f>
      </c>
      <c r="D157" s="6">
        <f>IF($H157="","",INDEX(Registro!$K$2:$K$501,$H157))</f>
      </c>
      <c r="E157" s="6">
        <f>IF($H157="","",INDEX(Registro!$M$2:$M$501,$H157))</f>
      </c>
      <c r="F157" s="6">
        <f>IF($H157="","",INDEX(Registro!$N$2:$N$501,$H157))</f>
      </c>
      <c r="G157" s="6">
        <f>IF($H157="","",INDEX(Registro!$B$2:$B$501,$H157))</f>
      </c>
      <c r="H157" s="0">
        <f>IFERROR(MATCH(149,Registro!$AF$2:$AF$501,0),"")</f>
      </c>
    </row>
    <row r="158" spans="1:7">
      <c r="A158" s="6">
        <f>IF($H158="","",150)</f>
      </c>
      <c r="B158" s="6">
        <f>IF($H158="","",INDEX(Registro!$D$2:$D$501,$H158))</f>
      </c>
      <c r="C158" s="6">
        <f>IF($H158="","",INDEX(Registro!$H$2:$H$501,$H158))</f>
      </c>
      <c r="D158" s="6">
        <f>IF($H158="","",INDEX(Registro!$K$2:$K$501,$H158))</f>
      </c>
      <c r="E158" s="6">
        <f>IF($H158="","",INDEX(Registro!$M$2:$M$501,$H158))</f>
      </c>
      <c r="F158" s="6">
        <f>IF($H158="","",INDEX(Registro!$N$2:$N$501,$H158))</f>
      </c>
      <c r="G158" s="6">
        <f>IF($H158="","",INDEX(Registro!$B$2:$B$501,$H158))</f>
      </c>
      <c r="H158" s="0">
        <f>IFERROR(MATCH(150,Registro!$AF$2:$AF$501,0),"")</f>
      </c>
    </row>
    <row r="159" spans="1:7" ht="22" customHeight="1">
      <c r="A159" s="7">
        <f>IF(COUNT(Registro!$AF$2:$AF$501)&gt;150,"Hay "&amp;(COUNT(Registro!$AF$2:$AF$501)-150)&amp;" filas más que no caben en este informe. Avisa para ampliarlo.","")</f>
      </c>
      <c r="B159" s="7"/>
      <c r="C159" s="7"/>
      <c r="D159" s="7"/>
      <c r="E159" s="7"/>
      <c r="F159" s="7"/>
      <c r="G159" s="7"/>
    </row>
  </sheetData>
  <sheetProtection sheet="1" objects="1" scenarios="1" formatCells="1" formatColumns="1" formatRows="1" insertColumns="1" insertRows="1" insertHyperlinks="1" deleteColumns="1" deleteRows="1" sort="1" autoFilter="0" pivotTables="1" selectLockedCells="0" selectUnlockedCells="0"/>
  <mergeCells count="6">
    <mergeCell ref="A4:C4"/>
    <mergeCell ref="A5:C5"/>
    <mergeCell ref="A6:C6"/>
    <mergeCell ref="A1:G1"/>
    <mergeCell ref="A2:G2"/>
    <mergeCell ref="A159:G159"/>
  </mergeCells>
  <printOptions horizontalCentered="1"/>
  <pageMargins left="0.4" right="0.4" top="0.6" bottom="0.6" header="0.3" footer="0.3"/>
  <pageSetup paperSize="9" orientation="landscape" fitToWidth="1" fitToHeight="0" horizontalDpi="300" verticalDpi="300"/>
  <headerFooter>
    <oddFooter>&amp;L&amp;"Arial,Regular"&amp;8HORAS DISPONIBLES POR ESPECIALIDAD&amp;C&amp;"Arial,Regular"&amp;8&amp;D&amp;R&amp;"Arial,Regular"&amp;8Página &amp;P de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H159"/>
  <sheetViews>
    <sheetView showGridLines="0" workbookViewId="0">
      <pane ySplit="8" topLeftCell="A9" activePane="bottomLeft" state="frozen"/>
    </sheetView>
  </sheetViews>
  <sheetFormatPr baseColWidth="10" defaultRowHeight="16"/>
  <cols>
    <col min="1" max="1" width="6" customWidth="1"/>
    <col min="2" max="2" width="34" customWidth="1"/>
    <col min="3" max="3" width="26" customWidth="1"/>
    <col min="4" max="4" width="20" customWidth="1"/>
    <col min="5" max="5" width="14" customWidth="1"/>
    <col min="6" max="6" width="14" customWidth="1"/>
    <col min="7" max="7" width="14" customWidth="1"/>
    <col min="8" max="8" width="9" hidden="1" customWidth="1"/>
  </cols>
  <sheetData>
    <row r="1" spans="1:7" ht="30" customHeight="1">
      <c r="A1" s="46" t="inlineStr">
        <is>
          <t xml:space="preserve">HORAS LIBRES SIN NINGÚN USO</t>
        </is>
      </c>
      <c r="B1" s="46"/>
      <c r="C1" s="46"/>
      <c r="D1" s="46"/>
      <c r="E1" s="46"/>
      <c r="F1" s="46"/>
      <c r="G1" s="46"/>
    </row>
    <row r="2" spans="1:7" ht="20" customHeight="1">
      <c r="A2" s="7">
        <f>"Centro: "&amp;IF(Portada!$B$4="","(sin indicar)",Portada!$B$4)&amp;"      ·      Código: "&amp;IF(Portada!$B$5="","(sin indicar)",Portada!$B$5)&amp;"      ·      Curso "&amp;Portada!$B$6</f>
      </c>
      <c r="B2" s="7"/>
      <c r="C2" s="7"/>
      <c r="D2" s="7"/>
      <c r="E2" s="7"/>
      <c r="F2" s="7"/>
      <c r="G2" s="7"/>
    </row>
    <row r="4" spans="1:7" ht="18" customHeight="1">
      <c r="A4" s="10" t="inlineStr">
        <is>
          <t xml:space="preserve">Horas libres sin ningún uso:</t>
        </is>
      </c>
      <c r="D4" s="11">
        <f>COUNT(Registro!$AH$2:$AH$501)</f>
      </c>
    </row>
    <row r="5" spans="1:7" ht="18" customHeight="1">
      <c r="A5" s="10" t="inlineStr">
        <is>
          <t xml:space="preserve">De ellas, horas completas:</t>
        </is>
      </c>
      <c r="D5" s="11">
        <f>COUNTIFS(Registro!$Q$2:$Q$501,"Disponible",Registro!$O$2:$O$501,"&lt;&gt;Sí",Registro!$N$2:$N$501,"1 hora")</f>
      </c>
    </row>
    <row r="6" spans="1:7" ht="18" customHeight="1">
      <c r="A6" s="10" t="inlineStr">
        <is>
          <t xml:space="preserve">De ellas, medias horas:</t>
        </is>
      </c>
      <c r="D6" s="11">
        <f>COUNTIFS(Registro!$Q$2:$Q$501,"Disponible",Registro!$O$2:$O$501,"&lt;&gt;Sí",Registro!$N$2:$N$501,"30 minutos")</f>
      </c>
    </row>
    <row r="8" spans="1:7" ht="32" customHeight="1">
      <c r="A8" s="3" t="inlineStr">
        <is>
          <t xml:space="preserve">Nº</t>
        </is>
      </c>
      <c r="B8" s="3" t="inlineStr">
        <is>
          <t xml:space="preserve">Especialidad</t>
        </is>
      </c>
      <c r="C8" s="3" t="inlineStr">
        <is>
          <t xml:space="preserve">Docente</t>
        </is>
      </c>
      <c r="D8" s="3" t="inlineStr">
        <is>
          <t xml:space="preserve">Horario</t>
        </is>
      </c>
      <c r="E8" s="3" t="inlineStr">
        <is>
          <t xml:space="preserve">Duración</t>
        </is>
      </c>
      <c r="F8" s="3" t="inlineStr">
        <is>
          <t xml:space="preserve">Curso</t>
        </is>
      </c>
      <c r="G8" s="3" t="inlineStr">
        <is>
          <t xml:space="preserve">Alta</t>
        </is>
      </c>
    </row>
    <row r="9" spans="1:7">
      <c r="A9" s="6">
        <f>IF($H9="","",1)</f>
      </c>
      <c r="B9" s="6">
        <f>IF($H9="","",INDEX(Registro!$D$2:$D$501,$H9))</f>
      </c>
      <c r="C9" s="6">
        <f>IF($H9="","",INDEX(Registro!$K$2:$K$501,$H9))</f>
      </c>
      <c r="D9" s="6">
        <f>IF($H9="","",INDEX(Registro!$M$2:$M$501,$H9))</f>
      </c>
      <c r="E9" s="6">
        <f>IF($H9="","",INDEX(Registro!$N$2:$N$501,$H9))</f>
      </c>
      <c r="F9" s="6">
        <f>IF($H9="","",INDEX(Registro!$H$2:$H$501,$H9))</f>
      </c>
      <c r="G9" s="6">
        <f>IF($H9="","",INDEX(Registro!$B$2:$B$501,$H9))</f>
      </c>
      <c r="H9" s="0">
        <f>IFERROR(MATCH(1,Registro!$AH$2:$AH$501,0),"")</f>
      </c>
    </row>
    <row r="10" spans="1:7">
      <c r="A10" s="6">
        <f>IF($H10="","",2)</f>
      </c>
      <c r="B10" s="6">
        <f>IF($H10="","",INDEX(Registro!$D$2:$D$501,$H10))</f>
      </c>
      <c r="C10" s="6">
        <f>IF($H10="","",INDEX(Registro!$K$2:$K$501,$H10))</f>
      </c>
      <c r="D10" s="6">
        <f>IF($H10="","",INDEX(Registro!$M$2:$M$501,$H10))</f>
      </c>
      <c r="E10" s="6">
        <f>IF($H10="","",INDEX(Registro!$N$2:$N$501,$H10))</f>
      </c>
      <c r="F10" s="6">
        <f>IF($H10="","",INDEX(Registro!$H$2:$H$501,$H10))</f>
      </c>
      <c r="G10" s="6">
        <f>IF($H10="","",INDEX(Registro!$B$2:$B$501,$H10))</f>
      </c>
      <c r="H10" s="0">
        <f>IFERROR(MATCH(2,Registro!$AH$2:$AH$501,0),"")</f>
      </c>
    </row>
    <row r="11" spans="1:7">
      <c r="A11" s="6">
        <f>IF($H11="","",3)</f>
      </c>
      <c r="B11" s="6">
        <f>IF($H11="","",INDEX(Registro!$D$2:$D$501,$H11))</f>
      </c>
      <c r="C11" s="6">
        <f>IF($H11="","",INDEX(Registro!$K$2:$K$501,$H11))</f>
      </c>
      <c r="D11" s="6">
        <f>IF($H11="","",INDEX(Registro!$M$2:$M$501,$H11))</f>
      </c>
      <c r="E11" s="6">
        <f>IF($H11="","",INDEX(Registro!$N$2:$N$501,$H11))</f>
      </c>
      <c r="F11" s="6">
        <f>IF($H11="","",INDEX(Registro!$H$2:$H$501,$H11))</f>
      </c>
      <c r="G11" s="6">
        <f>IF($H11="","",INDEX(Registro!$B$2:$B$501,$H11))</f>
      </c>
      <c r="H11" s="0">
        <f>IFERROR(MATCH(3,Registro!$AH$2:$AH$501,0),"")</f>
      </c>
    </row>
    <row r="12" spans="1:7">
      <c r="A12" s="6">
        <f>IF($H12="","",4)</f>
      </c>
      <c r="B12" s="6">
        <f>IF($H12="","",INDEX(Registro!$D$2:$D$501,$H12))</f>
      </c>
      <c r="C12" s="6">
        <f>IF($H12="","",INDEX(Registro!$K$2:$K$501,$H12))</f>
      </c>
      <c r="D12" s="6">
        <f>IF($H12="","",INDEX(Registro!$M$2:$M$501,$H12))</f>
      </c>
      <c r="E12" s="6">
        <f>IF($H12="","",INDEX(Registro!$N$2:$N$501,$H12))</f>
      </c>
      <c r="F12" s="6">
        <f>IF($H12="","",INDEX(Registro!$H$2:$H$501,$H12))</f>
      </c>
      <c r="G12" s="6">
        <f>IF($H12="","",INDEX(Registro!$B$2:$B$501,$H12))</f>
      </c>
      <c r="H12" s="0">
        <f>IFERROR(MATCH(4,Registro!$AH$2:$AH$501,0),"")</f>
      </c>
    </row>
    <row r="13" spans="1:7">
      <c r="A13" s="6">
        <f>IF($H13="","",5)</f>
      </c>
      <c r="B13" s="6">
        <f>IF($H13="","",INDEX(Registro!$D$2:$D$501,$H13))</f>
      </c>
      <c r="C13" s="6">
        <f>IF($H13="","",INDEX(Registro!$K$2:$K$501,$H13))</f>
      </c>
      <c r="D13" s="6">
        <f>IF($H13="","",INDEX(Registro!$M$2:$M$501,$H13))</f>
      </c>
      <c r="E13" s="6">
        <f>IF($H13="","",INDEX(Registro!$N$2:$N$501,$H13))</f>
      </c>
      <c r="F13" s="6">
        <f>IF($H13="","",INDEX(Registro!$H$2:$H$501,$H13))</f>
      </c>
      <c r="G13" s="6">
        <f>IF($H13="","",INDEX(Registro!$B$2:$B$501,$H13))</f>
      </c>
      <c r="H13" s="0">
        <f>IFERROR(MATCH(5,Registro!$AH$2:$AH$501,0),"")</f>
      </c>
    </row>
    <row r="14" spans="1:7">
      <c r="A14" s="6">
        <f>IF($H14="","",6)</f>
      </c>
      <c r="B14" s="6">
        <f>IF($H14="","",INDEX(Registro!$D$2:$D$501,$H14))</f>
      </c>
      <c r="C14" s="6">
        <f>IF($H14="","",INDEX(Registro!$K$2:$K$501,$H14))</f>
      </c>
      <c r="D14" s="6">
        <f>IF($H14="","",INDEX(Registro!$M$2:$M$501,$H14))</f>
      </c>
      <c r="E14" s="6">
        <f>IF($H14="","",INDEX(Registro!$N$2:$N$501,$H14))</f>
      </c>
      <c r="F14" s="6">
        <f>IF($H14="","",INDEX(Registro!$H$2:$H$501,$H14))</f>
      </c>
      <c r="G14" s="6">
        <f>IF($H14="","",INDEX(Registro!$B$2:$B$501,$H14))</f>
      </c>
      <c r="H14" s="0">
        <f>IFERROR(MATCH(6,Registro!$AH$2:$AH$501,0),"")</f>
      </c>
    </row>
    <row r="15" spans="1:7">
      <c r="A15" s="6">
        <f>IF($H15="","",7)</f>
      </c>
      <c r="B15" s="6">
        <f>IF($H15="","",INDEX(Registro!$D$2:$D$501,$H15))</f>
      </c>
      <c r="C15" s="6">
        <f>IF($H15="","",INDEX(Registro!$K$2:$K$501,$H15))</f>
      </c>
      <c r="D15" s="6">
        <f>IF($H15="","",INDEX(Registro!$M$2:$M$501,$H15))</f>
      </c>
      <c r="E15" s="6">
        <f>IF($H15="","",INDEX(Registro!$N$2:$N$501,$H15))</f>
      </c>
      <c r="F15" s="6">
        <f>IF($H15="","",INDEX(Registro!$H$2:$H$501,$H15))</f>
      </c>
      <c r="G15" s="6">
        <f>IF($H15="","",INDEX(Registro!$B$2:$B$501,$H15))</f>
      </c>
      <c r="H15" s="0">
        <f>IFERROR(MATCH(7,Registro!$AH$2:$AH$501,0),"")</f>
      </c>
    </row>
    <row r="16" spans="1:7">
      <c r="A16" s="6">
        <f>IF($H16="","",8)</f>
      </c>
      <c r="B16" s="6">
        <f>IF($H16="","",INDEX(Registro!$D$2:$D$501,$H16))</f>
      </c>
      <c r="C16" s="6">
        <f>IF($H16="","",INDEX(Registro!$K$2:$K$501,$H16))</f>
      </c>
      <c r="D16" s="6">
        <f>IF($H16="","",INDEX(Registro!$M$2:$M$501,$H16))</f>
      </c>
      <c r="E16" s="6">
        <f>IF($H16="","",INDEX(Registro!$N$2:$N$501,$H16))</f>
      </c>
      <c r="F16" s="6">
        <f>IF($H16="","",INDEX(Registro!$H$2:$H$501,$H16))</f>
      </c>
      <c r="G16" s="6">
        <f>IF($H16="","",INDEX(Registro!$B$2:$B$501,$H16))</f>
      </c>
      <c r="H16" s="0">
        <f>IFERROR(MATCH(8,Registro!$AH$2:$AH$501,0),"")</f>
      </c>
    </row>
    <row r="17" spans="1:7">
      <c r="A17" s="6">
        <f>IF($H17="","",9)</f>
      </c>
      <c r="B17" s="6">
        <f>IF($H17="","",INDEX(Registro!$D$2:$D$501,$H17))</f>
      </c>
      <c r="C17" s="6">
        <f>IF($H17="","",INDEX(Registro!$K$2:$K$501,$H17))</f>
      </c>
      <c r="D17" s="6">
        <f>IF($H17="","",INDEX(Registro!$M$2:$M$501,$H17))</f>
      </c>
      <c r="E17" s="6">
        <f>IF($H17="","",INDEX(Registro!$N$2:$N$501,$H17))</f>
      </c>
      <c r="F17" s="6">
        <f>IF($H17="","",INDEX(Registro!$H$2:$H$501,$H17))</f>
      </c>
      <c r="G17" s="6">
        <f>IF($H17="","",INDEX(Registro!$B$2:$B$501,$H17))</f>
      </c>
      <c r="H17" s="0">
        <f>IFERROR(MATCH(9,Registro!$AH$2:$AH$501,0),"")</f>
      </c>
    </row>
    <row r="18" spans="1:7">
      <c r="A18" s="6">
        <f>IF($H18="","",10)</f>
      </c>
      <c r="B18" s="6">
        <f>IF($H18="","",INDEX(Registro!$D$2:$D$501,$H18))</f>
      </c>
      <c r="C18" s="6">
        <f>IF($H18="","",INDEX(Registro!$K$2:$K$501,$H18))</f>
      </c>
      <c r="D18" s="6">
        <f>IF($H18="","",INDEX(Registro!$M$2:$M$501,$H18))</f>
      </c>
      <c r="E18" s="6">
        <f>IF($H18="","",INDEX(Registro!$N$2:$N$501,$H18))</f>
      </c>
      <c r="F18" s="6">
        <f>IF($H18="","",INDEX(Registro!$H$2:$H$501,$H18))</f>
      </c>
      <c r="G18" s="6">
        <f>IF($H18="","",INDEX(Registro!$B$2:$B$501,$H18))</f>
      </c>
      <c r="H18" s="0">
        <f>IFERROR(MATCH(10,Registro!$AH$2:$AH$501,0),"")</f>
      </c>
    </row>
    <row r="19" spans="1:7">
      <c r="A19" s="6">
        <f>IF($H19="","",11)</f>
      </c>
      <c r="B19" s="6">
        <f>IF($H19="","",INDEX(Registro!$D$2:$D$501,$H19))</f>
      </c>
      <c r="C19" s="6">
        <f>IF($H19="","",INDEX(Registro!$K$2:$K$501,$H19))</f>
      </c>
      <c r="D19" s="6">
        <f>IF($H19="","",INDEX(Registro!$M$2:$M$501,$H19))</f>
      </c>
      <c r="E19" s="6">
        <f>IF($H19="","",INDEX(Registro!$N$2:$N$501,$H19))</f>
      </c>
      <c r="F19" s="6">
        <f>IF($H19="","",INDEX(Registro!$H$2:$H$501,$H19))</f>
      </c>
      <c r="G19" s="6">
        <f>IF($H19="","",INDEX(Registro!$B$2:$B$501,$H19))</f>
      </c>
      <c r="H19" s="0">
        <f>IFERROR(MATCH(11,Registro!$AH$2:$AH$501,0),"")</f>
      </c>
    </row>
    <row r="20" spans="1:7">
      <c r="A20" s="6">
        <f>IF($H20="","",12)</f>
      </c>
      <c r="B20" s="6">
        <f>IF($H20="","",INDEX(Registro!$D$2:$D$501,$H20))</f>
      </c>
      <c r="C20" s="6">
        <f>IF($H20="","",INDEX(Registro!$K$2:$K$501,$H20))</f>
      </c>
      <c r="D20" s="6">
        <f>IF($H20="","",INDEX(Registro!$M$2:$M$501,$H20))</f>
      </c>
      <c r="E20" s="6">
        <f>IF($H20="","",INDEX(Registro!$N$2:$N$501,$H20))</f>
      </c>
      <c r="F20" s="6">
        <f>IF($H20="","",INDEX(Registro!$H$2:$H$501,$H20))</f>
      </c>
      <c r="G20" s="6">
        <f>IF($H20="","",INDEX(Registro!$B$2:$B$501,$H20))</f>
      </c>
      <c r="H20" s="0">
        <f>IFERROR(MATCH(12,Registro!$AH$2:$AH$501,0),"")</f>
      </c>
    </row>
    <row r="21" spans="1:7">
      <c r="A21" s="6">
        <f>IF($H21="","",13)</f>
      </c>
      <c r="B21" s="6">
        <f>IF($H21="","",INDEX(Registro!$D$2:$D$501,$H21))</f>
      </c>
      <c r="C21" s="6">
        <f>IF($H21="","",INDEX(Registro!$K$2:$K$501,$H21))</f>
      </c>
      <c r="D21" s="6">
        <f>IF($H21="","",INDEX(Registro!$M$2:$M$501,$H21))</f>
      </c>
      <c r="E21" s="6">
        <f>IF($H21="","",INDEX(Registro!$N$2:$N$501,$H21))</f>
      </c>
      <c r="F21" s="6">
        <f>IF($H21="","",INDEX(Registro!$H$2:$H$501,$H21))</f>
      </c>
      <c r="G21" s="6">
        <f>IF($H21="","",INDEX(Registro!$B$2:$B$501,$H21))</f>
      </c>
      <c r="H21" s="0">
        <f>IFERROR(MATCH(13,Registro!$AH$2:$AH$501,0),"")</f>
      </c>
    </row>
    <row r="22" spans="1:7">
      <c r="A22" s="6">
        <f>IF($H22="","",14)</f>
      </c>
      <c r="B22" s="6">
        <f>IF($H22="","",INDEX(Registro!$D$2:$D$501,$H22))</f>
      </c>
      <c r="C22" s="6">
        <f>IF($H22="","",INDEX(Registro!$K$2:$K$501,$H22))</f>
      </c>
      <c r="D22" s="6">
        <f>IF($H22="","",INDEX(Registro!$M$2:$M$501,$H22))</f>
      </c>
      <c r="E22" s="6">
        <f>IF($H22="","",INDEX(Registro!$N$2:$N$501,$H22))</f>
      </c>
      <c r="F22" s="6">
        <f>IF($H22="","",INDEX(Registro!$H$2:$H$501,$H22))</f>
      </c>
      <c r="G22" s="6">
        <f>IF($H22="","",INDEX(Registro!$B$2:$B$501,$H22))</f>
      </c>
      <c r="H22" s="0">
        <f>IFERROR(MATCH(14,Registro!$AH$2:$AH$501,0),"")</f>
      </c>
    </row>
    <row r="23" spans="1:7">
      <c r="A23" s="6">
        <f>IF($H23="","",15)</f>
      </c>
      <c r="B23" s="6">
        <f>IF($H23="","",INDEX(Registro!$D$2:$D$501,$H23))</f>
      </c>
      <c r="C23" s="6">
        <f>IF($H23="","",INDEX(Registro!$K$2:$K$501,$H23))</f>
      </c>
      <c r="D23" s="6">
        <f>IF($H23="","",INDEX(Registro!$M$2:$M$501,$H23))</f>
      </c>
      <c r="E23" s="6">
        <f>IF($H23="","",INDEX(Registro!$N$2:$N$501,$H23))</f>
      </c>
      <c r="F23" s="6">
        <f>IF($H23="","",INDEX(Registro!$H$2:$H$501,$H23))</f>
      </c>
      <c r="G23" s="6">
        <f>IF($H23="","",INDEX(Registro!$B$2:$B$501,$H23))</f>
      </c>
      <c r="H23" s="0">
        <f>IFERROR(MATCH(15,Registro!$AH$2:$AH$501,0),"")</f>
      </c>
    </row>
    <row r="24" spans="1:7">
      <c r="A24" s="6">
        <f>IF($H24="","",16)</f>
      </c>
      <c r="B24" s="6">
        <f>IF($H24="","",INDEX(Registro!$D$2:$D$501,$H24))</f>
      </c>
      <c r="C24" s="6">
        <f>IF($H24="","",INDEX(Registro!$K$2:$K$501,$H24))</f>
      </c>
      <c r="D24" s="6">
        <f>IF($H24="","",INDEX(Registro!$M$2:$M$501,$H24))</f>
      </c>
      <c r="E24" s="6">
        <f>IF($H24="","",INDEX(Registro!$N$2:$N$501,$H24))</f>
      </c>
      <c r="F24" s="6">
        <f>IF($H24="","",INDEX(Registro!$H$2:$H$501,$H24))</f>
      </c>
      <c r="G24" s="6">
        <f>IF($H24="","",INDEX(Registro!$B$2:$B$501,$H24))</f>
      </c>
      <c r="H24" s="0">
        <f>IFERROR(MATCH(16,Registro!$AH$2:$AH$501,0),"")</f>
      </c>
    </row>
    <row r="25" spans="1:7">
      <c r="A25" s="6">
        <f>IF($H25="","",17)</f>
      </c>
      <c r="B25" s="6">
        <f>IF($H25="","",INDEX(Registro!$D$2:$D$501,$H25))</f>
      </c>
      <c r="C25" s="6">
        <f>IF($H25="","",INDEX(Registro!$K$2:$K$501,$H25))</f>
      </c>
      <c r="D25" s="6">
        <f>IF($H25="","",INDEX(Registro!$M$2:$M$501,$H25))</f>
      </c>
      <c r="E25" s="6">
        <f>IF($H25="","",INDEX(Registro!$N$2:$N$501,$H25))</f>
      </c>
      <c r="F25" s="6">
        <f>IF($H25="","",INDEX(Registro!$H$2:$H$501,$H25))</f>
      </c>
      <c r="G25" s="6">
        <f>IF($H25="","",INDEX(Registro!$B$2:$B$501,$H25))</f>
      </c>
      <c r="H25" s="0">
        <f>IFERROR(MATCH(17,Registro!$AH$2:$AH$501,0),"")</f>
      </c>
    </row>
    <row r="26" spans="1:7">
      <c r="A26" s="6">
        <f>IF($H26="","",18)</f>
      </c>
      <c r="B26" s="6">
        <f>IF($H26="","",INDEX(Registro!$D$2:$D$501,$H26))</f>
      </c>
      <c r="C26" s="6">
        <f>IF($H26="","",INDEX(Registro!$K$2:$K$501,$H26))</f>
      </c>
      <c r="D26" s="6">
        <f>IF($H26="","",INDEX(Registro!$M$2:$M$501,$H26))</f>
      </c>
      <c r="E26" s="6">
        <f>IF($H26="","",INDEX(Registro!$N$2:$N$501,$H26))</f>
      </c>
      <c r="F26" s="6">
        <f>IF($H26="","",INDEX(Registro!$H$2:$H$501,$H26))</f>
      </c>
      <c r="G26" s="6">
        <f>IF($H26="","",INDEX(Registro!$B$2:$B$501,$H26))</f>
      </c>
      <c r="H26" s="0">
        <f>IFERROR(MATCH(18,Registro!$AH$2:$AH$501,0),"")</f>
      </c>
    </row>
    <row r="27" spans="1:7">
      <c r="A27" s="6">
        <f>IF($H27="","",19)</f>
      </c>
      <c r="B27" s="6">
        <f>IF($H27="","",INDEX(Registro!$D$2:$D$501,$H27))</f>
      </c>
      <c r="C27" s="6">
        <f>IF($H27="","",INDEX(Registro!$K$2:$K$501,$H27))</f>
      </c>
      <c r="D27" s="6">
        <f>IF($H27="","",INDEX(Registro!$M$2:$M$501,$H27))</f>
      </c>
      <c r="E27" s="6">
        <f>IF($H27="","",INDEX(Registro!$N$2:$N$501,$H27))</f>
      </c>
      <c r="F27" s="6">
        <f>IF($H27="","",INDEX(Registro!$H$2:$H$501,$H27))</f>
      </c>
      <c r="G27" s="6">
        <f>IF($H27="","",INDEX(Registro!$B$2:$B$501,$H27))</f>
      </c>
      <c r="H27" s="0">
        <f>IFERROR(MATCH(19,Registro!$AH$2:$AH$501,0),"")</f>
      </c>
    </row>
    <row r="28" spans="1:7">
      <c r="A28" s="6">
        <f>IF($H28="","",20)</f>
      </c>
      <c r="B28" s="6">
        <f>IF($H28="","",INDEX(Registro!$D$2:$D$501,$H28))</f>
      </c>
      <c r="C28" s="6">
        <f>IF($H28="","",INDEX(Registro!$K$2:$K$501,$H28))</f>
      </c>
      <c r="D28" s="6">
        <f>IF($H28="","",INDEX(Registro!$M$2:$M$501,$H28))</f>
      </c>
      <c r="E28" s="6">
        <f>IF($H28="","",INDEX(Registro!$N$2:$N$501,$H28))</f>
      </c>
      <c r="F28" s="6">
        <f>IF($H28="","",INDEX(Registro!$H$2:$H$501,$H28))</f>
      </c>
      <c r="G28" s="6">
        <f>IF($H28="","",INDEX(Registro!$B$2:$B$501,$H28))</f>
      </c>
      <c r="H28" s="0">
        <f>IFERROR(MATCH(20,Registro!$AH$2:$AH$501,0),"")</f>
      </c>
    </row>
    <row r="29" spans="1:7">
      <c r="A29" s="6">
        <f>IF($H29="","",21)</f>
      </c>
      <c r="B29" s="6">
        <f>IF($H29="","",INDEX(Registro!$D$2:$D$501,$H29))</f>
      </c>
      <c r="C29" s="6">
        <f>IF($H29="","",INDEX(Registro!$K$2:$K$501,$H29))</f>
      </c>
      <c r="D29" s="6">
        <f>IF($H29="","",INDEX(Registro!$M$2:$M$501,$H29))</f>
      </c>
      <c r="E29" s="6">
        <f>IF($H29="","",INDEX(Registro!$N$2:$N$501,$H29))</f>
      </c>
      <c r="F29" s="6">
        <f>IF($H29="","",INDEX(Registro!$H$2:$H$501,$H29))</f>
      </c>
      <c r="G29" s="6">
        <f>IF($H29="","",INDEX(Registro!$B$2:$B$501,$H29))</f>
      </c>
      <c r="H29" s="0">
        <f>IFERROR(MATCH(21,Registro!$AH$2:$AH$501,0),"")</f>
      </c>
    </row>
    <row r="30" spans="1:7">
      <c r="A30" s="6">
        <f>IF($H30="","",22)</f>
      </c>
      <c r="B30" s="6">
        <f>IF($H30="","",INDEX(Registro!$D$2:$D$501,$H30))</f>
      </c>
      <c r="C30" s="6">
        <f>IF($H30="","",INDEX(Registro!$K$2:$K$501,$H30))</f>
      </c>
      <c r="D30" s="6">
        <f>IF($H30="","",INDEX(Registro!$M$2:$M$501,$H30))</f>
      </c>
      <c r="E30" s="6">
        <f>IF($H30="","",INDEX(Registro!$N$2:$N$501,$H30))</f>
      </c>
      <c r="F30" s="6">
        <f>IF($H30="","",INDEX(Registro!$H$2:$H$501,$H30))</f>
      </c>
      <c r="G30" s="6">
        <f>IF($H30="","",INDEX(Registro!$B$2:$B$501,$H30))</f>
      </c>
      <c r="H30" s="0">
        <f>IFERROR(MATCH(22,Registro!$AH$2:$AH$501,0),"")</f>
      </c>
    </row>
    <row r="31" spans="1:7">
      <c r="A31" s="6">
        <f>IF($H31="","",23)</f>
      </c>
      <c r="B31" s="6">
        <f>IF($H31="","",INDEX(Registro!$D$2:$D$501,$H31))</f>
      </c>
      <c r="C31" s="6">
        <f>IF($H31="","",INDEX(Registro!$K$2:$K$501,$H31))</f>
      </c>
      <c r="D31" s="6">
        <f>IF($H31="","",INDEX(Registro!$M$2:$M$501,$H31))</f>
      </c>
      <c r="E31" s="6">
        <f>IF($H31="","",INDEX(Registro!$N$2:$N$501,$H31))</f>
      </c>
      <c r="F31" s="6">
        <f>IF($H31="","",INDEX(Registro!$H$2:$H$501,$H31))</f>
      </c>
      <c r="G31" s="6">
        <f>IF($H31="","",INDEX(Registro!$B$2:$B$501,$H31))</f>
      </c>
      <c r="H31" s="0">
        <f>IFERROR(MATCH(23,Registro!$AH$2:$AH$501,0),"")</f>
      </c>
    </row>
    <row r="32" spans="1:7">
      <c r="A32" s="6">
        <f>IF($H32="","",24)</f>
      </c>
      <c r="B32" s="6">
        <f>IF($H32="","",INDEX(Registro!$D$2:$D$501,$H32))</f>
      </c>
      <c r="C32" s="6">
        <f>IF($H32="","",INDEX(Registro!$K$2:$K$501,$H32))</f>
      </c>
      <c r="D32" s="6">
        <f>IF($H32="","",INDEX(Registro!$M$2:$M$501,$H32))</f>
      </c>
      <c r="E32" s="6">
        <f>IF($H32="","",INDEX(Registro!$N$2:$N$501,$H32))</f>
      </c>
      <c r="F32" s="6">
        <f>IF($H32="","",INDEX(Registro!$H$2:$H$501,$H32))</f>
      </c>
      <c r="G32" s="6">
        <f>IF($H32="","",INDEX(Registro!$B$2:$B$501,$H32))</f>
      </c>
      <c r="H32" s="0">
        <f>IFERROR(MATCH(24,Registro!$AH$2:$AH$501,0),"")</f>
      </c>
    </row>
    <row r="33" spans="1:7">
      <c r="A33" s="6">
        <f>IF($H33="","",25)</f>
      </c>
      <c r="B33" s="6">
        <f>IF($H33="","",INDEX(Registro!$D$2:$D$501,$H33))</f>
      </c>
      <c r="C33" s="6">
        <f>IF($H33="","",INDEX(Registro!$K$2:$K$501,$H33))</f>
      </c>
      <c r="D33" s="6">
        <f>IF($H33="","",INDEX(Registro!$M$2:$M$501,$H33))</f>
      </c>
      <c r="E33" s="6">
        <f>IF($H33="","",INDEX(Registro!$N$2:$N$501,$H33))</f>
      </c>
      <c r="F33" s="6">
        <f>IF($H33="","",INDEX(Registro!$H$2:$H$501,$H33))</f>
      </c>
      <c r="G33" s="6">
        <f>IF($H33="","",INDEX(Registro!$B$2:$B$501,$H33))</f>
      </c>
      <c r="H33" s="0">
        <f>IFERROR(MATCH(25,Registro!$AH$2:$AH$501,0),"")</f>
      </c>
    </row>
    <row r="34" spans="1:7">
      <c r="A34" s="6">
        <f>IF($H34="","",26)</f>
      </c>
      <c r="B34" s="6">
        <f>IF($H34="","",INDEX(Registro!$D$2:$D$501,$H34))</f>
      </c>
      <c r="C34" s="6">
        <f>IF($H34="","",INDEX(Registro!$K$2:$K$501,$H34))</f>
      </c>
      <c r="D34" s="6">
        <f>IF($H34="","",INDEX(Registro!$M$2:$M$501,$H34))</f>
      </c>
      <c r="E34" s="6">
        <f>IF($H34="","",INDEX(Registro!$N$2:$N$501,$H34))</f>
      </c>
      <c r="F34" s="6">
        <f>IF($H34="","",INDEX(Registro!$H$2:$H$501,$H34))</f>
      </c>
      <c r="G34" s="6">
        <f>IF($H34="","",INDEX(Registro!$B$2:$B$501,$H34))</f>
      </c>
      <c r="H34" s="0">
        <f>IFERROR(MATCH(26,Registro!$AH$2:$AH$501,0),"")</f>
      </c>
    </row>
    <row r="35" spans="1:7">
      <c r="A35" s="6">
        <f>IF($H35="","",27)</f>
      </c>
      <c r="B35" s="6">
        <f>IF($H35="","",INDEX(Registro!$D$2:$D$501,$H35))</f>
      </c>
      <c r="C35" s="6">
        <f>IF($H35="","",INDEX(Registro!$K$2:$K$501,$H35))</f>
      </c>
      <c r="D35" s="6">
        <f>IF($H35="","",INDEX(Registro!$M$2:$M$501,$H35))</f>
      </c>
      <c r="E35" s="6">
        <f>IF($H35="","",INDEX(Registro!$N$2:$N$501,$H35))</f>
      </c>
      <c r="F35" s="6">
        <f>IF($H35="","",INDEX(Registro!$H$2:$H$501,$H35))</f>
      </c>
      <c r="G35" s="6">
        <f>IF($H35="","",INDEX(Registro!$B$2:$B$501,$H35))</f>
      </c>
      <c r="H35" s="0">
        <f>IFERROR(MATCH(27,Registro!$AH$2:$AH$501,0),"")</f>
      </c>
    </row>
    <row r="36" spans="1:7">
      <c r="A36" s="6">
        <f>IF($H36="","",28)</f>
      </c>
      <c r="B36" s="6">
        <f>IF($H36="","",INDEX(Registro!$D$2:$D$501,$H36))</f>
      </c>
      <c r="C36" s="6">
        <f>IF($H36="","",INDEX(Registro!$K$2:$K$501,$H36))</f>
      </c>
      <c r="D36" s="6">
        <f>IF($H36="","",INDEX(Registro!$M$2:$M$501,$H36))</f>
      </c>
      <c r="E36" s="6">
        <f>IF($H36="","",INDEX(Registro!$N$2:$N$501,$H36))</f>
      </c>
      <c r="F36" s="6">
        <f>IF($H36="","",INDEX(Registro!$H$2:$H$501,$H36))</f>
      </c>
      <c r="G36" s="6">
        <f>IF($H36="","",INDEX(Registro!$B$2:$B$501,$H36))</f>
      </c>
      <c r="H36" s="0">
        <f>IFERROR(MATCH(28,Registro!$AH$2:$AH$501,0),"")</f>
      </c>
    </row>
    <row r="37" spans="1:7">
      <c r="A37" s="6">
        <f>IF($H37="","",29)</f>
      </c>
      <c r="B37" s="6">
        <f>IF($H37="","",INDEX(Registro!$D$2:$D$501,$H37))</f>
      </c>
      <c r="C37" s="6">
        <f>IF($H37="","",INDEX(Registro!$K$2:$K$501,$H37))</f>
      </c>
      <c r="D37" s="6">
        <f>IF($H37="","",INDEX(Registro!$M$2:$M$501,$H37))</f>
      </c>
      <c r="E37" s="6">
        <f>IF($H37="","",INDEX(Registro!$N$2:$N$501,$H37))</f>
      </c>
      <c r="F37" s="6">
        <f>IF($H37="","",INDEX(Registro!$H$2:$H$501,$H37))</f>
      </c>
      <c r="G37" s="6">
        <f>IF($H37="","",INDEX(Registro!$B$2:$B$501,$H37))</f>
      </c>
      <c r="H37" s="0">
        <f>IFERROR(MATCH(29,Registro!$AH$2:$AH$501,0),"")</f>
      </c>
    </row>
    <row r="38" spans="1:7">
      <c r="A38" s="6">
        <f>IF($H38="","",30)</f>
      </c>
      <c r="B38" s="6">
        <f>IF($H38="","",INDEX(Registro!$D$2:$D$501,$H38))</f>
      </c>
      <c r="C38" s="6">
        <f>IF($H38="","",INDEX(Registro!$K$2:$K$501,$H38))</f>
      </c>
      <c r="D38" s="6">
        <f>IF($H38="","",INDEX(Registro!$M$2:$M$501,$H38))</f>
      </c>
      <c r="E38" s="6">
        <f>IF($H38="","",INDEX(Registro!$N$2:$N$501,$H38))</f>
      </c>
      <c r="F38" s="6">
        <f>IF($H38="","",INDEX(Registro!$H$2:$H$501,$H38))</f>
      </c>
      <c r="G38" s="6">
        <f>IF($H38="","",INDEX(Registro!$B$2:$B$501,$H38))</f>
      </c>
      <c r="H38" s="0">
        <f>IFERROR(MATCH(30,Registro!$AH$2:$AH$501,0),"")</f>
      </c>
    </row>
    <row r="39" spans="1:7">
      <c r="A39" s="6">
        <f>IF($H39="","",31)</f>
      </c>
      <c r="B39" s="6">
        <f>IF($H39="","",INDEX(Registro!$D$2:$D$501,$H39))</f>
      </c>
      <c r="C39" s="6">
        <f>IF($H39="","",INDEX(Registro!$K$2:$K$501,$H39))</f>
      </c>
      <c r="D39" s="6">
        <f>IF($H39="","",INDEX(Registro!$M$2:$M$501,$H39))</f>
      </c>
      <c r="E39" s="6">
        <f>IF($H39="","",INDEX(Registro!$N$2:$N$501,$H39))</f>
      </c>
      <c r="F39" s="6">
        <f>IF($H39="","",INDEX(Registro!$H$2:$H$501,$H39))</f>
      </c>
      <c r="G39" s="6">
        <f>IF($H39="","",INDEX(Registro!$B$2:$B$501,$H39))</f>
      </c>
      <c r="H39" s="0">
        <f>IFERROR(MATCH(31,Registro!$AH$2:$AH$501,0),"")</f>
      </c>
    </row>
    <row r="40" spans="1:7">
      <c r="A40" s="6">
        <f>IF($H40="","",32)</f>
      </c>
      <c r="B40" s="6">
        <f>IF($H40="","",INDEX(Registro!$D$2:$D$501,$H40))</f>
      </c>
      <c r="C40" s="6">
        <f>IF($H40="","",INDEX(Registro!$K$2:$K$501,$H40))</f>
      </c>
      <c r="D40" s="6">
        <f>IF($H40="","",INDEX(Registro!$M$2:$M$501,$H40))</f>
      </c>
      <c r="E40" s="6">
        <f>IF($H40="","",INDEX(Registro!$N$2:$N$501,$H40))</f>
      </c>
      <c r="F40" s="6">
        <f>IF($H40="","",INDEX(Registro!$H$2:$H$501,$H40))</f>
      </c>
      <c r="G40" s="6">
        <f>IF($H40="","",INDEX(Registro!$B$2:$B$501,$H40))</f>
      </c>
      <c r="H40" s="0">
        <f>IFERROR(MATCH(32,Registro!$AH$2:$AH$501,0),"")</f>
      </c>
    </row>
    <row r="41" spans="1:7">
      <c r="A41" s="6">
        <f>IF($H41="","",33)</f>
      </c>
      <c r="B41" s="6">
        <f>IF($H41="","",INDEX(Registro!$D$2:$D$501,$H41))</f>
      </c>
      <c r="C41" s="6">
        <f>IF($H41="","",INDEX(Registro!$K$2:$K$501,$H41))</f>
      </c>
      <c r="D41" s="6">
        <f>IF($H41="","",INDEX(Registro!$M$2:$M$501,$H41))</f>
      </c>
      <c r="E41" s="6">
        <f>IF($H41="","",INDEX(Registro!$N$2:$N$501,$H41))</f>
      </c>
      <c r="F41" s="6">
        <f>IF($H41="","",INDEX(Registro!$H$2:$H$501,$H41))</f>
      </c>
      <c r="G41" s="6">
        <f>IF($H41="","",INDEX(Registro!$B$2:$B$501,$H41))</f>
      </c>
      <c r="H41" s="0">
        <f>IFERROR(MATCH(33,Registro!$AH$2:$AH$501,0),"")</f>
      </c>
    </row>
    <row r="42" spans="1:7">
      <c r="A42" s="6">
        <f>IF($H42="","",34)</f>
      </c>
      <c r="B42" s="6">
        <f>IF($H42="","",INDEX(Registro!$D$2:$D$501,$H42))</f>
      </c>
      <c r="C42" s="6">
        <f>IF($H42="","",INDEX(Registro!$K$2:$K$501,$H42))</f>
      </c>
      <c r="D42" s="6">
        <f>IF($H42="","",INDEX(Registro!$M$2:$M$501,$H42))</f>
      </c>
      <c r="E42" s="6">
        <f>IF($H42="","",INDEX(Registro!$N$2:$N$501,$H42))</f>
      </c>
      <c r="F42" s="6">
        <f>IF($H42="","",INDEX(Registro!$H$2:$H$501,$H42))</f>
      </c>
      <c r="G42" s="6">
        <f>IF($H42="","",INDEX(Registro!$B$2:$B$501,$H42))</f>
      </c>
      <c r="H42" s="0">
        <f>IFERROR(MATCH(34,Registro!$AH$2:$AH$501,0),"")</f>
      </c>
    </row>
    <row r="43" spans="1:7">
      <c r="A43" s="6">
        <f>IF($H43="","",35)</f>
      </c>
      <c r="B43" s="6">
        <f>IF($H43="","",INDEX(Registro!$D$2:$D$501,$H43))</f>
      </c>
      <c r="C43" s="6">
        <f>IF($H43="","",INDEX(Registro!$K$2:$K$501,$H43))</f>
      </c>
      <c r="D43" s="6">
        <f>IF($H43="","",INDEX(Registro!$M$2:$M$501,$H43))</f>
      </c>
      <c r="E43" s="6">
        <f>IF($H43="","",INDEX(Registro!$N$2:$N$501,$H43))</f>
      </c>
      <c r="F43" s="6">
        <f>IF($H43="","",INDEX(Registro!$H$2:$H$501,$H43))</f>
      </c>
      <c r="G43" s="6">
        <f>IF($H43="","",INDEX(Registro!$B$2:$B$501,$H43))</f>
      </c>
      <c r="H43" s="0">
        <f>IFERROR(MATCH(35,Registro!$AH$2:$AH$501,0),"")</f>
      </c>
    </row>
    <row r="44" spans="1:7">
      <c r="A44" s="6">
        <f>IF($H44="","",36)</f>
      </c>
      <c r="B44" s="6">
        <f>IF($H44="","",INDEX(Registro!$D$2:$D$501,$H44))</f>
      </c>
      <c r="C44" s="6">
        <f>IF($H44="","",INDEX(Registro!$K$2:$K$501,$H44))</f>
      </c>
      <c r="D44" s="6">
        <f>IF($H44="","",INDEX(Registro!$M$2:$M$501,$H44))</f>
      </c>
      <c r="E44" s="6">
        <f>IF($H44="","",INDEX(Registro!$N$2:$N$501,$H44))</f>
      </c>
      <c r="F44" s="6">
        <f>IF($H44="","",INDEX(Registro!$H$2:$H$501,$H44))</f>
      </c>
      <c r="G44" s="6">
        <f>IF($H44="","",INDEX(Registro!$B$2:$B$501,$H44))</f>
      </c>
      <c r="H44" s="0">
        <f>IFERROR(MATCH(36,Registro!$AH$2:$AH$501,0),"")</f>
      </c>
    </row>
    <row r="45" spans="1:7">
      <c r="A45" s="6">
        <f>IF($H45="","",37)</f>
      </c>
      <c r="B45" s="6">
        <f>IF($H45="","",INDEX(Registro!$D$2:$D$501,$H45))</f>
      </c>
      <c r="C45" s="6">
        <f>IF($H45="","",INDEX(Registro!$K$2:$K$501,$H45))</f>
      </c>
      <c r="D45" s="6">
        <f>IF($H45="","",INDEX(Registro!$M$2:$M$501,$H45))</f>
      </c>
      <c r="E45" s="6">
        <f>IF($H45="","",INDEX(Registro!$N$2:$N$501,$H45))</f>
      </c>
      <c r="F45" s="6">
        <f>IF($H45="","",INDEX(Registro!$H$2:$H$501,$H45))</f>
      </c>
      <c r="G45" s="6">
        <f>IF($H45="","",INDEX(Registro!$B$2:$B$501,$H45))</f>
      </c>
      <c r="H45" s="0">
        <f>IFERROR(MATCH(37,Registro!$AH$2:$AH$501,0),"")</f>
      </c>
    </row>
    <row r="46" spans="1:7">
      <c r="A46" s="6">
        <f>IF($H46="","",38)</f>
      </c>
      <c r="B46" s="6">
        <f>IF($H46="","",INDEX(Registro!$D$2:$D$501,$H46))</f>
      </c>
      <c r="C46" s="6">
        <f>IF($H46="","",INDEX(Registro!$K$2:$K$501,$H46))</f>
      </c>
      <c r="D46" s="6">
        <f>IF($H46="","",INDEX(Registro!$M$2:$M$501,$H46))</f>
      </c>
      <c r="E46" s="6">
        <f>IF($H46="","",INDEX(Registro!$N$2:$N$501,$H46))</f>
      </c>
      <c r="F46" s="6">
        <f>IF($H46="","",INDEX(Registro!$H$2:$H$501,$H46))</f>
      </c>
      <c r="G46" s="6">
        <f>IF($H46="","",INDEX(Registro!$B$2:$B$501,$H46))</f>
      </c>
      <c r="H46" s="0">
        <f>IFERROR(MATCH(38,Registro!$AH$2:$AH$501,0),"")</f>
      </c>
    </row>
    <row r="47" spans="1:7">
      <c r="A47" s="6">
        <f>IF($H47="","",39)</f>
      </c>
      <c r="B47" s="6">
        <f>IF($H47="","",INDEX(Registro!$D$2:$D$501,$H47))</f>
      </c>
      <c r="C47" s="6">
        <f>IF($H47="","",INDEX(Registro!$K$2:$K$501,$H47))</f>
      </c>
      <c r="D47" s="6">
        <f>IF($H47="","",INDEX(Registro!$M$2:$M$501,$H47))</f>
      </c>
      <c r="E47" s="6">
        <f>IF($H47="","",INDEX(Registro!$N$2:$N$501,$H47))</f>
      </c>
      <c r="F47" s="6">
        <f>IF($H47="","",INDEX(Registro!$H$2:$H$501,$H47))</f>
      </c>
      <c r="G47" s="6">
        <f>IF($H47="","",INDEX(Registro!$B$2:$B$501,$H47))</f>
      </c>
      <c r="H47" s="0">
        <f>IFERROR(MATCH(39,Registro!$AH$2:$AH$501,0),"")</f>
      </c>
    </row>
    <row r="48" spans="1:7">
      <c r="A48" s="6">
        <f>IF($H48="","",40)</f>
      </c>
      <c r="B48" s="6">
        <f>IF($H48="","",INDEX(Registro!$D$2:$D$501,$H48))</f>
      </c>
      <c r="C48" s="6">
        <f>IF($H48="","",INDEX(Registro!$K$2:$K$501,$H48))</f>
      </c>
      <c r="D48" s="6">
        <f>IF($H48="","",INDEX(Registro!$M$2:$M$501,$H48))</f>
      </c>
      <c r="E48" s="6">
        <f>IF($H48="","",INDEX(Registro!$N$2:$N$501,$H48))</f>
      </c>
      <c r="F48" s="6">
        <f>IF($H48="","",INDEX(Registro!$H$2:$H$501,$H48))</f>
      </c>
      <c r="G48" s="6">
        <f>IF($H48="","",INDEX(Registro!$B$2:$B$501,$H48))</f>
      </c>
      <c r="H48" s="0">
        <f>IFERROR(MATCH(40,Registro!$AH$2:$AH$501,0),"")</f>
      </c>
    </row>
    <row r="49" spans="1:7">
      <c r="A49" s="6">
        <f>IF($H49="","",41)</f>
      </c>
      <c r="B49" s="6">
        <f>IF($H49="","",INDEX(Registro!$D$2:$D$501,$H49))</f>
      </c>
      <c r="C49" s="6">
        <f>IF($H49="","",INDEX(Registro!$K$2:$K$501,$H49))</f>
      </c>
      <c r="D49" s="6">
        <f>IF($H49="","",INDEX(Registro!$M$2:$M$501,$H49))</f>
      </c>
      <c r="E49" s="6">
        <f>IF($H49="","",INDEX(Registro!$N$2:$N$501,$H49))</f>
      </c>
      <c r="F49" s="6">
        <f>IF($H49="","",INDEX(Registro!$H$2:$H$501,$H49))</f>
      </c>
      <c r="G49" s="6">
        <f>IF($H49="","",INDEX(Registro!$B$2:$B$501,$H49))</f>
      </c>
      <c r="H49" s="0">
        <f>IFERROR(MATCH(41,Registro!$AH$2:$AH$501,0),"")</f>
      </c>
    </row>
    <row r="50" spans="1:7">
      <c r="A50" s="6">
        <f>IF($H50="","",42)</f>
      </c>
      <c r="B50" s="6">
        <f>IF($H50="","",INDEX(Registro!$D$2:$D$501,$H50))</f>
      </c>
      <c r="C50" s="6">
        <f>IF($H50="","",INDEX(Registro!$K$2:$K$501,$H50))</f>
      </c>
      <c r="D50" s="6">
        <f>IF($H50="","",INDEX(Registro!$M$2:$M$501,$H50))</f>
      </c>
      <c r="E50" s="6">
        <f>IF($H50="","",INDEX(Registro!$N$2:$N$501,$H50))</f>
      </c>
      <c r="F50" s="6">
        <f>IF($H50="","",INDEX(Registro!$H$2:$H$501,$H50))</f>
      </c>
      <c r="G50" s="6">
        <f>IF($H50="","",INDEX(Registro!$B$2:$B$501,$H50))</f>
      </c>
      <c r="H50" s="0">
        <f>IFERROR(MATCH(42,Registro!$AH$2:$AH$501,0),"")</f>
      </c>
    </row>
    <row r="51" spans="1:7">
      <c r="A51" s="6">
        <f>IF($H51="","",43)</f>
      </c>
      <c r="B51" s="6">
        <f>IF($H51="","",INDEX(Registro!$D$2:$D$501,$H51))</f>
      </c>
      <c r="C51" s="6">
        <f>IF($H51="","",INDEX(Registro!$K$2:$K$501,$H51))</f>
      </c>
      <c r="D51" s="6">
        <f>IF($H51="","",INDEX(Registro!$M$2:$M$501,$H51))</f>
      </c>
      <c r="E51" s="6">
        <f>IF($H51="","",INDEX(Registro!$N$2:$N$501,$H51))</f>
      </c>
      <c r="F51" s="6">
        <f>IF($H51="","",INDEX(Registro!$H$2:$H$501,$H51))</f>
      </c>
      <c r="G51" s="6">
        <f>IF($H51="","",INDEX(Registro!$B$2:$B$501,$H51))</f>
      </c>
      <c r="H51" s="0">
        <f>IFERROR(MATCH(43,Registro!$AH$2:$AH$501,0),"")</f>
      </c>
    </row>
    <row r="52" spans="1:7">
      <c r="A52" s="6">
        <f>IF($H52="","",44)</f>
      </c>
      <c r="B52" s="6">
        <f>IF($H52="","",INDEX(Registro!$D$2:$D$501,$H52))</f>
      </c>
      <c r="C52" s="6">
        <f>IF($H52="","",INDEX(Registro!$K$2:$K$501,$H52))</f>
      </c>
      <c r="D52" s="6">
        <f>IF($H52="","",INDEX(Registro!$M$2:$M$501,$H52))</f>
      </c>
      <c r="E52" s="6">
        <f>IF($H52="","",INDEX(Registro!$N$2:$N$501,$H52))</f>
      </c>
      <c r="F52" s="6">
        <f>IF($H52="","",INDEX(Registro!$H$2:$H$501,$H52))</f>
      </c>
      <c r="G52" s="6">
        <f>IF($H52="","",INDEX(Registro!$B$2:$B$501,$H52))</f>
      </c>
      <c r="H52" s="0">
        <f>IFERROR(MATCH(44,Registro!$AH$2:$AH$501,0),"")</f>
      </c>
    </row>
    <row r="53" spans="1:7">
      <c r="A53" s="6">
        <f>IF($H53="","",45)</f>
      </c>
      <c r="B53" s="6">
        <f>IF($H53="","",INDEX(Registro!$D$2:$D$501,$H53))</f>
      </c>
      <c r="C53" s="6">
        <f>IF($H53="","",INDEX(Registro!$K$2:$K$501,$H53))</f>
      </c>
      <c r="D53" s="6">
        <f>IF($H53="","",INDEX(Registro!$M$2:$M$501,$H53))</f>
      </c>
      <c r="E53" s="6">
        <f>IF($H53="","",INDEX(Registro!$N$2:$N$501,$H53))</f>
      </c>
      <c r="F53" s="6">
        <f>IF($H53="","",INDEX(Registro!$H$2:$H$501,$H53))</f>
      </c>
      <c r="G53" s="6">
        <f>IF($H53="","",INDEX(Registro!$B$2:$B$501,$H53))</f>
      </c>
      <c r="H53" s="0">
        <f>IFERROR(MATCH(45,Registro!$AH$2:$AH$501,0),"")</f>
      </c>
    </row>
    <row r="54" spans="1:7">
      <c r="A54" s="6">
        <f>IF($H54="","",46)</f>
      </c>
      <c r="B54" s="6">
        <f>IF($H54="","",INDEX(Registro!$D$2:$D$501,$H54))</f>
      </c>
      <c r="C54" s="6">
        <f>IF($H54="","",INDEX(Registro!$K$2:$K$501,$H54))</f>
      </c>
      <c r="D54" s="6">
        <f>IF($H54="","",INDEX(Registro!$M$2:$M$501,$H54))</f>
      </c>
      <c r="E54" s="6">
        <f>IF($H54="","",INDEX(Registro!$N$2:$N$501,$H54))</f>
      </c>
      <c r="F54" s="6">
        <f>IF($H54="","",INDEX(Registro!$H$2:$H$501,$H54))</f>
      </c>
      <c r="G54" s="6">
        <f>IF($H54="","",INDEX(Registro!$B$2:$B$501,$H54))</f>
      </c>
      <c r="H54" s="0">
        <f>IFERROR(MATCH(46,Registro!$AH$2:$AH$501,0),"")</f>
      </c>
    </row>
    <row r="55" spans="1:7">
      <c r="A55" s="6">
        <f>IF($H55="","",47)</f>
      </c>
      <c r="B55" s="6">
        <f>IF($H55="","",INDEX(Registro!$D$2:$D$501,$H55))</f>
      </c>
      <c r="C55" s="6">
        <f>IF($H55="","",INDEX(Registro!$K$2:$K$501,$H55))</f>
      </c>
      <c r="D55" s="6">
        <f>IF($H55="","",INDEX(Registro!$M$2:$M$501,$H55))</f>
      </c>
      <c r="E55" s="6">
        <f>IF($H55="","",INDEX(Registro!$N$2:$N$501,$H55))</f>
      </c>
      <c r="F55" s="6">
        <f>IF($H55="","",INDEX(Registro!$H$2:$H$501,$H55))</f>
      </c>
      <c r="G55" s="6">
        <f>IF($H55="","",INDEX(Registro!$B$2:$B$501,$H55))</f>
      </c>
      <c r="H55" s="0">
        <f>IFERROR(MATCH(47,Registro!$AH$2:$AH$501,0),"")</f>
      </c>
    </row>
    <row r="56" spans="1:7">
      <c r="A56" s="6">
        <f>IF($H56="","",48)</f>
      </c>
      <c r="B56" s="6">
        <f>IF($H56="","",INDEX(Registro!$D$2:$D$501,$H56))</f>
      </c>
      <c r="C56" s="6">
        <f>IF($H56="","",INDEX(Registro!$K$2:$K$501,$H56))</f>
      </c>
      <c r="D56" s="6">
        <f>IF($H56="","",INDEX(Registro!$M$2:$M$501,$H56))</f>
      </c>
      <c r="E56" s="6">
        <f>IF($H56="","",INDEX(Registro!$N$2:$N$501,$H56))</f>
      </c>
      <c r="F56" s="6">
        <f>IF($H56="","",INDEX(Registro!$H$2:$H$501,$H56))</f>
      </c>
      <c r="G56" s="6">
        <f>IF($H56="","",INDEX(Registro!$B$2:$B$501,$H56))</f>
      </c>
      <c r="H56" s="0">
        <f>IFERROR(MATCH(48,Registro!$AH$2:$AH$501,0),"")</f>
      </c>
    </row>
    <row r="57" spans="1:7">
      <c r="A57" s="6">
        <f>IF($H57="","",49)</f>
      </c>
      <c r="B57" s="6">
        <f>IF($H57="","",INDEX(Registro!$D$2:$D$501,$H57))</f>
      </c>
      <c r="C57" s="6">
        <f>IF($H57="","",INDEX(Registro!$K$2:$K$501,$H57))</f>
      </c>
      <c r="D57" s="6">
        <f>IF($H57="","",INDEX(Registro!$M$2:$M$501,$H57))</f>
      </c>
      <c r="E57" s="6">
        <f>IF($H57="","",INDEX(Registro!$N$2:$N$501,$H57))</f>
      </c>
      <c r="F57" s="6">
        <f>IF($H57="","",INDEX(Registro!$H$2:$H$501,$H57))</f>
      </c>
      <c r="G57" s="6">
        <f>IF($H57="","",INDEX(Registro!$B$2:$B$501,$H57))</f>
      </c>
      <c r="H57" s="0">
        <f>IFERROR(MATCH(49,Registro!$AH$2:$AH$501,0),"")</f>
      </c>
    </row>
    <row r="58" spans="1:7">
      <c r="A58" s="6">
        <f>IF($H58="","",50)</f>
      </c>
      <c r="B58" s="6">
        <f>IF($H58="","",INDEX(Registro!$D$2:$D$501,$H58))</f>
      </c>
      <c r="C58" s="6">
        <f>IF($H58="","",INDEX(Registro!$K$2:$K$501,$H58))</f>
      </c>
      <c r="D58" s="6">
        <f>IF($H58="","",INDEX(Registro!$M$2:$M$501,$H58))</f>
      </c>
      <c r="E58" s="6">
        <f>IF($H58="","",INDEX(Registro!$N$2:$N$501,$H58))</f>
      </c>
      <c r="F58" s="6">
        <f>IF($H58="","",INDEX(Registro!$H$2:$H$501,$H58))</f>
      </c>
      <c r="G58" s="6">
        <f>IF($H58="","",INDEX(Registro!$B$2:$B$501,$H58))</f>
      </c>
      <c r="H58" s="0">
        <f>IFERROR(MATCH(50,Registro!$AH$2:$AH$501,0),"")</f>
      </c>
    </row>
    <row r="59" spans="1:7">
      <c r="A59" s="6">
        <f>IF($H59="","",51)</f>
      </c>
      <c r="B59" s="6">
        <f>IF($H59="","",INDEX(Registro!$D$2:$D$501,$H59))</f>
      </c>
      <c r="C59" s="6">
        <f>IF($H59="","",INDEX(Registro!$K$2:$K$501,$H59))</f>
      </c>
      <c r="D59" s="6">
        <f>IF($H59="","",INDEX(Registro!$M$2:$M$501,$H59))</f>
      </c>
      <c r="E59" s="6">
        <f>IF($H59="","",INDEX(Registro!$N$2:$N$501,$H59))</f>
      </c>
      <c r="F59" s="6">
        <f>IF($H59="","",INDEX(Registro!$H$2:$H$501,$H59))</f>
      </c>
      <c r="G59" s="6">
        <f>IF($H59="","",INDEX(Registro!$B$2:$B$501,$H59))</f>
      </c>
      <c r="H59" s="0">
        <f>IFERROR(MATCH(51,Registro!$AH$2:$AH$501,0),"")</f>
      </c>
    </row>
    <row r="60" spans="1:7">
      <c r="A60" s="6">
        <f>IF($H60="","",52)</f>
      </c>
      <c r="B60" s="6">
        <f>IF($H60="","",INDEX(Registro!$D$2:$D$501,$H60))</f>
      </c>
      <c r="C60" s="6">
        <f>IF($H60="","",INDEX(Registro!$K$2:$K$501,$H60))</f>
      </c>
      <c r="D60" s="6">
        <f>IF($H60="","",INDEX(Registro!$M$2:$M$501,$H60))</f>
      </c>
      <c r="E60" s="6">
        <f>IF($H60="","",INDEX(Registro!$N$2:$N$501,$H60))</f>
      </c>
      <c r="F60" s="6">
        <f>IF($H60="","",INDEX(Registro!$H$2:$H$501,$H60))</f>
      </c>
      <c r="G60" s="6">
        <f>IF($H60="","",INDEX(Registro!$B$2:$B$501,$H60))</f>
      </c>
      <c r="H60" s="0">
        <f>IFERROR(MATCH(52,Registro!$AH$2:$AH$501,0),"")</f>
      </c>
    </row>
    <row r="61" spans="1:7">
      <c r="A61" s="6">
        <f>IF($H61="","",53)</f>
      </c>
      <c r="B61" s="6">
        <f>IF($H61="","",INDEX(Registro!$D$2:$D$501,$H61))</f>
      </c>
      <c r="C61" s="6">
        <f>IF($H61="","",INDEX(Registro!$K$2:$K$501,$H61))</f>
      </c>
      <c r="D61" s="6">
        <f>IF($H61="","",INDEX(Registro!$M$2:$M$501,$H61))</f>
      </c>
      <c r="E61" s="6">
        <f>IF($H61="","",INDEX(Registro!$N$2:$N$501,$H61))</f>
      </c>
      <c r="F61" s="6">
        <f>IF($H61="","",INDEX(Registro!$H$2:$H$501,$H61))</f>
      </c>
      <c r="G61" s="6">
        <f>IF($H61="","",INDEX(Registro!$B$2:$B$501,$H61))</f>
      </c>
      <c r="H61" s="0">
        <f>IFERROR(MATCH(53,Registro!$AH$2:$AH$501,0),"")</f>
      </c>
    </row>
    <row r="62" spans="1:7">
      <c r="A62" s="6">
        <f>IF($H62="","",54)</f>
      </c>
      <c r="B62" s="6">
        <f>IF($H62="","",INDEX(Registro!$D$2:$D$501,$H62))</f>
      </c>
      <c r="C62" s="6">
        <f>IF($H62="","",INDEX(Registro!$K$2:$K$501,$H62))</f>
      </c>
      <c r="D62" s="6">
        <f>IF($H62="","",INDEX(Registro!$M$2:$M$501,$H62))</f>
      </c>
      <c r="E62" s="6">
        <f>IF($H62="","",INDEX(Registro!$N$2:$N$501,$H62))</f>
      </c>
      <c r="F62" s="6">
        <f>IF($H62="","",INDEX(Registro!$H$2:$H$501,$H62))</f>
      </c>
      <c r="G62" s="6">
        <f>IF($H62="","",INDEX(Registro!$B$2:$B$501,$H62))</f>
      </c>
      <c r="H62" s="0">
        <f>IFERROR(MATCH(54,Registro!$AH$2:$AH$501,0),"")</f>
      </c>
    </row>
    <row r="63" spans="1:7">
      <c r="A63" s="6">
        <f>IF($H63="","",55)</f>
      </c>
      <c r="B63" s="6">
        <f>IF($H63="","",INDEX(Registro!$D$2:$D$501,$H63))</f>
      </c>
      <c r="C63" s="6">
        <f>IF($H63="","",INDEX(Registro!$K$2:$K$501,$H63))</f>
      </c>
      <c r="D63" s="6">
        <f>IF($H63="","",INDEX(Registro!$M$2:$M$501,$H63))</f>
      </c>
      <c r="E63" s="6">
        <f>IF($H63="","",INDEX(Registro!$N$2:$N$501,$H63))</f>
      </c>
      <c r="F63" s="6">
        <f>IF($H63="","",INDEX(Registro!$H$2:$H$501,$H63))</f>
      </c>
      <c r="G63" s="6">
        <f>IF($H63="","",INDEX(Registro!$B$2:$B$501,$H63))</f>
      </c>
      <c r="H63" s="0">
        <f>IFERROR(MATCH(55,Registro!$AH$2:$AH$501,0),"")</f>
      </c>
    </row>
    <row r="64" spans="1:7">
      <c r="A64" s="6">
        <f>IF($H64="","",56)</f>
      </c>
      <c r="B64" s="6">
        <f>IF($H64="","",INDEX(Registro!$D$2:$D$501,$H64))</f>
      </c>
      <c r="C64" s="6">
        <f>IF($H64="","",INDEX(Registro!$K$2:$K$501,$H64))</f>
      </c>
      <c r="D64" s="6">
        <f>IF($H64="","",INDEX(Registro!$M$2:$M$501,$H64))</f>
      </c>
      <c r="E64" s="6">
        <f>IF($H64="","",INDEX(Registro!$N$2:$N$501,$H64))</f>
      </c>
      <c r="F64" s="6">
        <f>IF($H64="","",INDEX(Registro!$H$2:$H$501,$H64))</f>
      </c>
      <c r="G64" s="6">
        <f>IF($H64="","",INDEX(Registro!$B$2:$B$501,$H64))</f>
      </c>
      <c r="H64" s="0">
        <f>IFERROR(MATCH(56,Registro!$AH$2:$AH$501,0),"")</f>
      </c>
    </row>
    <row r="65" spans="1:7">
      <c r="A65" s="6">
        <f>IF($H65="","",57)</f>
      </c>
      <c r="B65" s="6">
        <f>IF($H65="","",INDEX(Registro!$D$2:$D$501,$H65))</f>
      </c>
      <c r="C65" s="6">
        <f>IF($H65="","",INDEX(Registro!$K$2:$K$501,$H65))</f>
      </c>
      <c r="D65" s="6">
        <f>IF($H65="","",INDEX(Registro!$M$2:$M$501,$H65))</f>
      </c>
      <c r="E65" s="6">
        <f>IF($H65="","",INDEX(Registro!$N$2:$N$501,$H65))</f>
      </c>
      <c r="F65" s="6">
        <f>IF($H65="","",INDEX(Registro!$H$2:$H$501,$H65))</f>
      </c>
      <c r="G65" s="6">
        <f>IF($H65="","",INDEX(Registro!$B$2:$B$501,$H65))</f>
      </c>
      <c r="H65" s="0">
        <f>IFERROR(MATCH(57,Registro!$AH$2:$AH$501,0),"")</f>
      </c>
    </row>
    <row r="66" spans="1:7">
      <c r="A66" s="6">
        <f>IF($H66="","",58)</f>
      </c>
      <c r="B66" s="6">
        <f>IF($H66="","",INDEX(Registro!$D$2:$D$501,$H66))</f>
      </c>
      <c r="C66" s="6">
        <f>IF($H66="","",INDEX(Registro!$K$2:$K$501,$H66))</f>
      </c>
      <c r="D66" s="6">
        <f>IF($H66="","",INDEX(Registro!$M$2:$M$501,$H66))</f>
      </c>
      <c r="E66" s="6">
        <f>IF($H66="","",INDEX(Registro!$N$2:$N$501,$H66))</f>
      </c>
      <c r="F66" s="6">
        <f>IF($H66="","",INDEX(Registro!$H$2:$H$501,$H66))</f>
      </c>
      <c r="G66" s="6">
        <f>IF($H66="","",INDEX(Registro!$B$2:$B$501,$H66))</f>
      </c>
      <c r="H66" s="0">
        <f>IFERROR(MATCH(58,Registro!$AH$2:$AH$501,0),"")</f>
      </c>
    </row>
    <row r="67" spans="1:7">
      <c r="A67" s="6">
        <f>IF($H67="","",59)</f>
      </c>
      <c r="B67" s="6">
        <f>IF($H67="","",INDEX(Registro!$D$2:$D$501,$H67))</f>
      </c>
      <c r="C67" s="6">
        <f>IF($H67="","",INDEX(Registro!$K$2:$K$501,$H67))</f>
      </c>
      <c r="D67" s="6">
        <f>IF($H67="","",INDEX(Registro!$M$2:$M$501,$H67))</f>
      </c>
      <c r="E67" s="6">
        <f>IF($H67="","",INDEX(Registro!$N$2:$N$501,$H67))</f>
      </c>
      <c r="F67" s="6">
        <f>IF($H67="","",INDEX(Registro!$H$2:$H$501,$H67))</f>
      </c>
      <c r="G67" s="6">
        <f>IF($H67="","",INDEX(Registro!$B$2:$B$501,$H67))</f>
      </c>
      <c r="H67" s="0">
        <f>IFERROR(MATCH(59,Registro!$AH$2:$AH$501,0),"")</f>
      </c>
    </row>
    <row r="68" spans="1:7">
      <c r="A68" s="6">
        <f>IF($H68="","",60)</f>
      </c>
      <c r="B68" s="6">
        <f>IF($H68="","",INDEX(Registro!$D$2:$D$501,$H68))</f>
      </c>
      <c r="C68" s="6">
        <f>IF($H68="","",INDEX(Registro!$K$2:$K$501,$H68))</f>
      </c>
      <c r="D68" s="6">
        <f>IF($H68="","",INDEX(Registro!$M$2:$M$501,$H68))</f>
      </c>
      <c r="E68" s="6">
        <f>IF($H68="","",INDEX(Registro!$N$2:$N$501,$H68))</f>
      </c>
      <c r="F68" s="6">
        <f>IF($H68="","",INDEX(Registro!$H$2:$H$501,$H68))</f>
      </c>
      <c r="G68" s="6">
        <f>IF($H68="","",INDEX(Registro!$B$2:$B$501,$H68))</f>
      </c>
      <c r="H68" s="0">
        <f>IFERROR(MATCH(60,Registro!$AH$2:$AH$501,0),"")</f>
      </c>
    </row>
    <row r="69" spans="1:7">
      <c r="A69" s="6">
        <f>IF($H69="","",61)</f>
      </c>
      <c r="B69" s="6">
        <f>IF($H69="","",INDEX(Registro!$D$2:$D$501,$H69))</f>
      </c>
      <c r="C69" s="6">
        <f>IF($H69="","",INDEX(Registro!$K$2:$K$501,$H69))</f>
      </c>
      <c r="D69" s="6">
        <f>IF($H69="","",INDEX(Registro!$M$2:$M$501,$H69))</f>
      </c>
      <c r="E69" s="6">
        <f>IF($H69="","",INDEX(Registro!$N$2:$N$501,$H69))</f>
      </c>
      <c r="F69" s="6">
        <f>IF($H69="","",INDEX(Registro!$H$2:$H$501,$H69))</f>
      </c>
      <c r="G69" s="6">
        <f>IF($H69="","",INDEX(Registro!$B$2:$B$501,$H69))</f>
      </c>
      <c r="H69" s="0">
        <f>IFERROR(MATCH(61,Registro!$AH$2:$AH$501,0),"")</f>
      </c>
    </row>
    <row r="70" spans="1:7">
      <c r="A70" s="6">
        <f>IF($H70="","",62)</f>
      </c>
      <c r="B70" s="6">
        <f>IF($H70="","",INDEX(Registro!$D$2:$D$501,$H70))</f>
      </c>
      <c r="C70" s="6">
        <f>IF($H70="","",INDEX(Registro!$K$2:$K$501,$H70))</f>
      </c>
      <c r="D70" s="6">
        <f>IF($H70="","",INDEX(Registro!$M$2:$M$501,$H70))</f>
      </c>
      <c r="E70" s="6">
        <f>IF($H70="","",INDEX(Registro!$N$2:$N$501,$H70))</f>
      </c>
      <c r="F70" s="6">
        <f>IF($H70="","",INDEX(Registro!$H$2:$H$501,$H70))</f>
      </c>
      <c r="G70" s="6">
        <f>IF($H70="","",INDEX(Registro!$B$2:$B$501,$H70))</f>
      </c>
      <c r="H70" s="0">
        <f>IFERROR(MATCH(62,Registro!$AH$2:$AH$501,0),"")</f>
      </c>
    </row>
    <row r="71" spans="1:7">
      <c r="A71" s="6">
        <f>IF($H71="","",63)</f>
      </c>
      <c r="B71" s="6">
        <f>IF($H71="","",INDEX(Registro!$D$2:$D$501,$H71))</f>
      </c>
      <c r="C71" s="6">
        <f>IF($H71="","",INDEX(Registro!$K$2:$K$501,$H71))</f>
      </c>
      <c r="D71" s="6">
        <f>IF($H71="","",INDEX(Registro!$M$2:$M$501,$H71))</f>
      </c>
      <c r="E71" s="6">
        <f>IF($H71="","",INDEX(Registro!$N$2:$N$501,$H71))</f>
      </c>
      <c r="F71" s="6">
        <f>IF($H71="","",INDEX(Registro!$H$2:$H$501,$H71))</f>
      </c>
      <c r="G71" s="6">
        <f>IF($H71="","",INDEX(Registro!$B$2:$B$501,$H71))</f>
      </c>
      <c r="H71" s="0">
        <f>IFERROR(MATCH(63,Registro!$AH$2:$AH$501,0),"")</f>
      </c>
    </row>
    <row r="72" spans="1:7">
      <c r="A72" s="6">
        <f>IF($H72="","",64)</f>
      </c>
      <c r="B72" s="6">
        <f>IF($H72="","",INDEX(Registro!$D$2:$D$501,$H72))</f>
      </c>
      <c r="C72" s="6">
        <f>IF($H72="","",INDEX(Registro!$K$2:$K$501,$H72))</f>
      </c>
      <c r="D72" s="6">
        <f>IF($H72="","",INDEX(Registro!$M$2:$M$501,$H72))</f>
      </c>
      <c r="E72" s="6">
        <f>IF($H72="","",INDEX(Registro!$N$2:$N$501,$H72))</f>
      </c>
      <c r="F72" s="6">
        <f>IF($H72="","",INDEX(Registro!$H$2:$H$501,$H72))</f>
      </c>
      <c r="G72" s="6">
        <f>IF($H72="","",INDEX(Registro!$B$2:$B$501,$H72))</f>
      </c>
      <c r="H72" s="0">
        <f>IFERROR(MATCH(64,Registro!$AH$2:$AH$501,0),"")</f>
      </c>
    </row>
    <row r="73" spans="1:7">
      <c r="A73" s="6">
        <f>IF($H73="","",65)</f>
      </c>
      <c r="B73" s="6">
        <f>IF($H73="","",INDEX(Registro!$D$2:$D$501,$H73))</f>
      </c>
      <c r="C73" s="6">
        <f>IF($H73="","",INDEX(Registro!$K$2:$K$501,$H73))</f>
      </c>
      <c r="D73" s="6">
        <f>IF($H73="","",INDEX(Registro!$M$2:$M$501,$H73))</f>
      </c>
      <c r="E73" s="6">
        <f>IF($H73="","",INDEX(Registro!$N$2:$N$501,$H73))</f>
      </c>
      <c r="F73" s="6">
        <f>IF($H73="","",INDEX(Registro!$H$2:$H$501,$H73))</f>
      </c>
      <c r="G73" s="6">
        <f>IF($H73="","",INDEX(Registro!$B$2:$B$501,$H73))</f>
      </c>
      <c r="H73" s="0">
        <f>IFERROR(MATCH(65,Registro!$AH$2:$AH$501,0),"")</f>
      </c>
    </row>
    <row r="74" spans="1:7">
      <c r="A74" s="6">
        <f>IF($H74="","",66)</f>
      </c>
      <c r="B74" s="6">
        <f>IF($H74="","",INDEX(Registro!$D$2:$D$501,$H74))</f>
      </c>
      <c r="C74" s="6">
        <f>IF($H74="","",INDEX(Registro!$K$2:$K$501,$H74))</f>
      </c>
      <c r="D74" s="6">
        <f>IF($H74="","",INDEX(Registro!$M$2:$M$501,$H74))</f>
      </c>
      <c r="E74" s="6">
        <f>IF($H74="","",INDEX(Registro!$N$2:$N$501,$H74))</f>
      </c>
      <c r="F74" s="6">
        <f>IF($H74="","",INDEX(Registro!$H$2:$H$501,$H74))</f>
      </c>
      <c r="G74" s="6">
        <f>IF($H74="","",INDEX(Registro!$B$2:$B$501,$H74))</f>
      </c>
      <c r="H74" s="0">
        <f>IFERROR(MATCH(66,Registro!$AH$2:$AH$501,0),"")</f>
      </c>
    </row>
    <row r="75" spans="1:7">
      <c r="A75" s="6">
        <f>IF($H75="","",67)</f>
      </c>
      <c r="B75" s="6">
        <f>IF($H75="","",INDEX(Registro!$D$2:$D$501,$H75))</f>
      </c>
      <c r="C75" s="6">
        <f>IF($H75="","",INDEX(Registro!$K$2:$K$501,$H75))</f>
      </c>
      <c r="D75" s="6">
        <f>IF($H75="","",INDEX(Registro!$M$2:$M$501,$H75))</f>
      </c>
      <c r="E75" s="6">
        <f>IF($H75="","",INDEX(Registro!$N$2:$N$501,$H75))</f>
      </c>
      <c r="F75" s="6">
        <f>IF($H75="","",INDEX(Registro!$H$2:$H$501,$H75))</f>
      </c>
      <c r="G75" s="6">
        <f>IF($H75="","",INDEX(Registro!$B$2:$B$501,$H75))</f>
      </c>
      <c r="H75" s="0">
        <f>IFERROR(MATCH(67,Registro!$AH$2:$AH$501,0),"")</f>
      </c>
    </row>
    <row r="76" spans="1:7">
      <c r="A76" s="6">
        <f>IF($H76="","",68)</f>
      </c>
      <c r="B76" s="6">
        <f>IF($H76="","",INDEX(Registro!$D$2:$D$501,$H76))</f>
      </c>
      <c r="C76" s="6">
        <f>IF($H76="","",INDEX(Registro!$K$2:$K$501,$H76))</f>
      </c>
      <c r="D76" s="6">
        <f>IF($H76="","",INDEX(Registro!$M$2:$M$501,$H76))</f>
      </c>
      <c r="E76" s="6">
        <f>IF($H76="","",INDEX(Registro!$N$2:$N$501,$H76))</f>
      </c>
      <c r="F76" s="6">
        <f>IF($H76="","",INDEX(Registro!$H$2:$H$501,$H76))</f>
      </c>
      <c r="G76" s="6">
        <f>IF($H76="","",INDEX(Registro!$B$2:$B$501,$H76))</f>
      </c>
      <c r="H76" s="0">
        <f>IFERROR(MATCH(68,Registro!$AH$2:$AH$501,0),"")</f>
      </c>
    </row>
    <row r="77" spans="1:7">
      <c r="A77" s="6">
        <f>IF($H77="","",69)</f>
      </c>
      <c r="B77" s="6">
        <f>IF($H77="","",INDEX(Registro!$D$2:$D$501,$H77))</f>
      </c>
      <c r="C77" s="6">
        <f>IF($H77="","",INDEX(Registro!$K$2:$K$501,$H77))</f>
      </c>
      <c r="D77" s="6">
        <f>IF($H77="","",INDEX(Registro!$M$2:$M$501,$H77))</f>
      </c>
      <c r="E77" s="6">
        <f>IF($H77="","",INDEX(Registro!$N$2:$N$501,$H77))</f>
      </c>
      <c r="F77" s="6">
        <f>IF($H77="","",INDEX(Registro!$H$2:$H$501,$H77))</f>
      </c>
      <c r="G77" s="6">
        <f>IF($H77="","",INDEX(Registro!$B$2:$B$501,$H77))</f>
      </c>
      <c r="H77" s="0">
        <f>IFERROR(MATCH(69,Registro!$AH$2:$AH$501,0),"")</f>
      </c>
    </row>
    <row r="78" spans="1:7">
      <c r="A78" s="6">
        <f>IF($H78="","",70)</f>
      </c>
      <c r="B78" s="6">
        <f>IF($H78="","",INDEX(Registro!$D$2:$D$501,$H78))</f>
      </c>
      <c r="C78" s="6">
        <f>IF($H78="","",INDEX(Registro!$K$2:$K$501,$H78))</f>
      </c>
      <c r="D78" s="6">
        <f>IF($H78="","",INDEX(Registro!$M$2:$M$501,$H78))</f>
      </c>
      <c r="E78" s="6">
        <f>IF($H78="","",INDEX(Registro!$N$2:$N$501,$H78))</f>
      </c>
      <c r="F78" s="6">
        <f>IF($H78="","",INDEX(Registro!$H$2:$H$501,$H78))</f>
      </c>
      <c r="G78" s="6">
        <f>IF($H78="","",INDEX(Registro!$B$2:$B$501,$H78))</f>
      </c>
      <c r="H78" s="0">
        <f>IFERROR(MATCH(70,Registro!$AH$2:$AH$501,0),"")</f>
      </c>
    </row>
    <row r="79" spans="1:7">
      <c r="A79" s="6">
        <f>IF($H79="","",71)</f>
      </c>
      <c r="B79" s="6">
        <f>IF($H79="","",INDEX(Registro!$D$2:$D$501,$H79))</f>
      </c>
      <c r="C79" s="6">
        <f>IF($H79="","",INDEX(Registro!$K$2:$K$501,$H79))</f>
      </c>
      <c r="D79" s="6">
        <f>IF($H79="","",INDEX(Registro!$M$2:$M$501,$H79))</f>
      </c>
      <c r="E79" s="6">
        <f>IF($H79="","",INDEX(Registro!$N$2:$N$501,$H79))</f>
      </c>
      <c r="F79" s="6">
        <f>IF($H79="","",INDEX(Registro!$H$2:$H$501,$H79))</f>
      </c>
      <c r="G79" s="6">
        <f>IF($H79="","",INDEX(Registro!$B$2:$B$501,$H79))</f>
      </c>
      <c r="H79" s="0">
        <f>IFERROR(MATCH(71,Registro!$AH$2:$AH$501,0),"")</f>
      </c>
    </row>
    <row r="80" spans="1:7">
      <c r="A80" s="6">
        <f>IF($H80="","",72)</f>
      </c>
      <c r="B80" s="6">
        <f>IF($H80="","",INDEX(Registro!$D$2:$D$501,$H80))</f>
      </c>
      <c r="C80" s="6">
        <f>IF($H80="","",INDEX(Registro!$K$2:$K$501,$H80))</f>
      </c>
      <c r="D80" s="6">
        <f>IF($H80="","",INDEX(Registro!$M$2:$M$501,$H80))</f>
      </c>
      <c r="E80" s="6">
        <f>IF($H80="","",INDEX(Registro!$N$2:$N$501,$H80))</f>
      </c>
      <c r="F80" s="6">
        <f>IF($H80="","",INDEX(Registro!$H$2:$H$501,$H80))</f>
      </c>
      <c r="G80" s="6">
        <f>IF($H80="","",INDEX(Registro!$B$2:$B$501,$H80))</f>
      </c>
      <c r="H80" s="0">
        <f>IFERROR(MATCH(72,Registro!$AH$2:$AH$501,0),"")</f>
      </c>
    </row>
    <row r="81" spans="1:7">
      <c r="A81" s="6">
        <f>IF($H81="","",73)</f>
      </c>
      <c r="B81" s="6">
        <f>IF($H81="","",INDEX(Registro!$D$2:$D$501,$H81))</f>
      </c>
      <c r="C81" s="6">
        <f>IF($H81="","",INDEX(Registro!$K$2:$K$501,$H81))</f>
      </c>
      <c r="D81" s="6">
        <f>IF($H81="","",INDEX(Registro!$M$2:$M$501,$H81))</f>
      </c>
      <c r="E81" s="6">
        <f>IF($H81="","",INDEX(Registro!$N$2:$N$501,$H81))</f>
      </c>
      <c r="F81" s="6">
        <f>IF($H81="","",INDEX(Registro!$H$2:$H$501,$H81))</f>
      </c>
      <c r="G81" s="6">
        <f>IF($H81="","",INDEX(Registro!$B$2:$B$501,$H81))</f>
      </c>
      <c r="H81" s="0">
        <f>IFERROR(MATCH(73,Registro!$AH$2:$AH$501,0),"")</f>
      </c>
    </row>
    <row r="82" spans="1:7">
      <c r="A82" s="6">
        <f>IF($H82="","",74)</f>
      </c>
      <c r="B82" s="6">
        <f>IF($H82="","",INDEX(Registro!$D$2:$D$501,$H82))</f>
      </c>
      <c r="C82" s="6">
        <f>IF($H82="","",INDEX(Registro!$K$2:$K$501,$H82))</f>
      </c>
      <c r="D82" s="6">
        <f>IF($H82="","",INDEX(Registro!$M$2:$M$501,$H82))</f>
      </c>
      <c r="E82" s="6">
        <f>IF($H82="","",INDEX(Registro!$N$2:$N$501,$H82))</f>
      </c>
      <c r="F82" s="6">
        <f>IF($H82="","",INDEX(Registro!$H$2:$H$501,$H82))</f>
      </c>
      <c r="G82" s="6">
        <f>IF($H82="","",INDEX(Registro!$B$2:$B$501,$H82))</f>
      </c>
      <c r="H82" s="0">
        <f>IFERROR(MATCH(74,Registro!$AH$2:$AH$501,0),"")</f>
      </c>
    </row>
    <row r="83" spans="1:7">
      <c r="A83" s="6">
        <f>IF($H83="","",75)</f>
      </c>
      <c r="B83" s="6">
        <f>IF($H83="","",INDEX(Registro!$D$2:$D$501,$H83))</f>
      </c>
      <c r="C83" s="6">
        <f>IF($H83="","",INDEX(Registro!$K$2:$K$501,$H83))</f>
      </c>
      <c r="D83" s="6">
        <f>IF($H83="","",INDEX(Registro!$M$2:$M$501,$H83))</f>
      </c>
      <c r="E83" s="6">
        <f>IF($H83="","",INDEX(Registro!$N$2:$N$501,$H83))</f>
      </c>
      <c r="F83" s="6">
        <f>IF($H83="","",INDEX(Registro!$H$2:$H$501,$H83))</f>
      </c>
      <c r="G83" s="6">
        <f>IF($H83="","",INDEX(Registro!$B$2:$B$501,$H83))</f>
      </c>
      <c r="H83" s="0">
        <f>IFERROR(MATCH(75,Registro!$AH$2:$AH$501,0),"")</f>
      </c>
    </row>
    <row r="84" spans="1:7">
      <c r="A84" s="6">
        <f>IF($H84="","",76)</f>
      </c>
      <c r="B84" s="6">
        <f>IF($H84="","",INDEX(Registro!$D$2:$D$501,$H84))</f>
      </c>
      <c r="C84" s="6">
        <f>IF($H84="","",INDEX(Registro!$K$2:$K$501,$H84))</f>
      </c>
      <c r="D84" s="6">
        <f>IF($H84="","",INDEX(Registro!$M$2:$M$501,$H84))</f>
      </c>
      <c r="E84" s="6">
        <f>IF($H84="","",INDEX(Registro!$N$2:$N$501,$H84))</f>
      </c>
      <c r="F84" s="6">
        <f>IF($H84="","",INDEX(Registro!$H$2:$H$501,$H84))</f>
      </c>
      <c r="G84" s="6">
        <f>IF($H84="","",INDEX(Registro!$B$2:$B$501,$H84))</f>
      </c>
      <c r="H84" s="0">
        <f>IFERROR(MATCH(76,Registro!$AH$2:$AH$501,0),"")</f>
      </c>
    </row>
    <row r="85" spans="1:7">
      <c r="A85" s="6">
        <f>IF($H85="","",77)</f>
      </c>
      <c r="B85" s="6">
        <f>IF($H85="","",INDEX(Registro!$D$2:$D$501,$H85))</f>
      </c>
      <c r="C85" s="6">
        <f>IF($H85="","",INDEX(Registro!$K$2:$K$501,$H85))</f>
      </c>
      <c r="D85" s="6">
        <f>IF($H85="","",INDEX(Registro!$M$2:$M$501,$H85))</f>
      </c>
      <c r="E85" s="6">
        <f>IF($H85="","",INDEX(Registro!$N$2:$N$501,$H85))</f>
      </c>
      <c r="F85" s="6">
        <f>IF($H85="","",INDEX(Registro!$H$2:$H$501,$H85))</f>
      </c>
      <c r="G85" s="6">
        <f>IF($H85="","",INDEX(Registro!$B$2:$B$501,$H85))</f>
      </c>
      <c r="H85" s="0">
        <f>IFERROR(MATCH(77,Registro!$AH$2:$AH$501,0),"")</f>
      </c>
    </row>
    <row r="86" spans="1:7">
      <c r="A86" s="6">
        <f>IF($H86="","",78)</f>
      </c>
      <c r="B86" s="6">
        <f>IF($H86="","",INDEX(Registro!$D$2:$D$501,$H86))</f>
      </c>
      <c r="C86" s="6">
        <f>IF($H86="","",INDEX(Registro!$K$2:$K$501,$H86))</f>
      </c>
      <c r="D86" s="6">
        <f>IF($H86="","",INDEX(Registro!$M$2:$M$501,$H86))</f>
      </c>
      <c r="E86" s="6">
        <f>IF($H86="","",INDEX(Registro!$N$2:$N$501,$H86))</f>
      </c>
      <c r="F86" s="6">
        <f>IF($H86="","",INDEX(Registro!$H$2:$H$501,$H86))</f>
      </c>
      <c r="G86" s="6">
        <f>IF($H86="","",INDEX(Registro!$B$2:$B$501,$H86))</f>
      </c>
      <c r="H86" s="0">
        <f>IFERROR(MATCH(78,Registro!$AH$2:$AH$501,0),"")</f>
      </c>
    </row>
    <row r="87" spans="1:7">
      <c r="A87" s="6">
        <f>IF($H87="","",79)</f>
      </c>
      <c r="B87" s="6">
        <f>IF($H87="","",INDEX(Registro!$D$2:$D$501,$H87))</f>
      </c>
      <c r="C87" s="6">
        <f>IF($H87="","",INDEX(Registro!$K$2:$K$501,$H87))</f>
      </c>
      <c r="D87" s="6">
        <f>IF($H87="","",INDEX(Registro!$M$2:$M$501,$H87))</f>
      </c>
      <c r="E87" s="6">
        <f>IF($H87="","",INDEX(Registro!$N$2:$N$501,$H87))</f>
      </c>
      <c r="F87" s="6">
        <f>IF($H87="","",INDEX(Registro!$H$2:$H$501,$H87))</f>
      </c>
      <c r="G87" s="6">
        <f>IF($H87="","",INDEX(Registro!$B$2:$B$501,$H87))</f>
      </c>
      <c r="H87" s="0">
        <f>IFERROR(MATCH(79,Registro!$AH$2:$AH$501,0),"")</f>
      </c>
    </row>
    <row r="88" spans="1:7">
      <c r="A88" s="6">
        <f>IF($H88="","",80)</f>
      </c>
      <c r="B88" s="6">
        <f>IF($H88="","",INDEX(Registro!$D$2:$D$501,$H88))</f>
      </c>
      <c r="C88" s="6">
        <f>IF($H88="","",INDEX(Registro!$K$2:$K$501,$H88))</f>
      </c>
      <c r="D88" s="6">
        <f>IF($H88="","",INDEX(Registro!$M$2:$M$501,$H88))</f>
      </c>
      <c r="E88" s="6">
        <f>IF($H88="","",INDEX(Registro!$N$2:$N$501,$H88))</f>
      </c>
      <c r="F88" s="6">
        <f>IF($H88="","",INDEX(Registro!$H$2:$H$501,$H88))</f>
      </c>
      <c r="G88" s="6">
        <f>IF($H88="","",INDEX(Registro!$B$2:$B$501,$H88))</f>
      </c>
      <c r="H88" s="0">
        <f>IFERROR(MATCH(80,Registro!$AH$2:$AH$501,0),"")</f>
      </c>
    </row>
    <row r="89" spans="1:7">
      <c r="A89" s="6">
        <f>IF($H89="","",81)</f>
      </c>
      <c r="B89" s="6">
        <f>IF($H89="","",INDEX(Registro!$D$2:$D$501,$H89))</f>
      </c>
      <c r="C89" s="6">
        <f>IF($H89="","",INDEX(Registro!$K$2:$K$501,$H89))</f>
      </c>
      <c r="D89" s="6">
        <f>IF($H89="","",INDEX(Registro!$M$2:$M$501,$H89))</f>
      </c>
      <c r="E89" s="6">
        <f>IF($H89="","",INDEX(Registro!$N$2:$N$501,$H89))</f>
      </c>
      <c r="F89" s="6">
        <f>IF($H89="","",INDEX(Registro!$H$2:$H$501,$H89))</f>
      </c>
      <c r="G89" s="6">
        <f>IF($H89="","",INDEX(Registro!$B$2:$B$501,$H89))</f>
      </c>
      <c r="H89" s="0">
        <f>IFERROR(MATCH(81,Registro!$AH$2:$AH$501,0),"")</f>
      </c>
    </row>
    <row r="90" spans="1:7">
      <c r="A90" s="6">
        <f>IF($H90="","",82)</f>
      </c>
      <c r="B90" s="6">
        <f>IF($H90="","",INDEX(Registro!$D$2:$D$501,$H90))</f>
      </c>
      <c r="C90" s="6">
        <f>IF($H90="","",INDEX(Registro!$K$2:$K$501,$H90))</f>
      </c>
      <c r="D90" s="6">
        <f>IF($H90="","",INDEX(Registro!$M$2:$M$501,$H90))</f>
      </c>
      <c r="E90" s="6">
        <f>IF($H90="","",INDEX(Registro!$N$2:$N$501,$H90))</f>
      </c>
      <c r="F90" s="6">
        <f>IF($H90="","",INDEX(Registro!$H$2:$H$501,$H90))</f>
      </c>
      <c r="G90" s="6">
        <f>IF($H90="","",INDEX(Registro!$B$2:$B$501,$H90))</f>
      </c>
      <c r="H90" s="0">
        <f>IFERROR(MATCH(82,Registro!$AH$2:$AH$501,0),"")</f>
      </c>
    </row>
    <row r="91" spans="1:7">
      <c r="A91" s="6">
        <f>IF($H91="","",83)</f>
      </c>
      <c r="B91" s="6">
        <f>IF($H91="","",INDEX(Registro!$D$2:$D$501,$H91))</f>
      </c>
      <c r="C91" s="6">
        <f>IF($H91="","",INDEX(Registro!$K$2:$K$501,$H91))</f>
      </c>
      <c r="D91" s="6">
        <f>IF($H91="","",INDEX(Registro!$M$2:$M$501,$H91))</f>
      </c>
      <c r="E91" s="6">
        <f>IF($H91="","",INDEX(Registro!$N$2:$N$501,$H91))</f>
      </c>
      <c r="F91" s="6">
        <f>IF($H91="","",INDEX(Registro!$H$2:$H$501,$H91))</f>
      </c>
      <c r="G91" s="6">
        <f>IF($H91="","",INDEX(Registro!$B$2:$B$501,$H91))</f>
      </c>
      <c r="H91" s="0">
        <f>IFERROR(MATCH(83,Registro!$AH$2:$AH$501,0),"")</f>
      </c>
    </row>
    <row r="92" spans="1:7">
      <c r="A92" s="6">
        <f>IF($H92="","",84)</f>
      </c>
      <c r="B92" s="6">
        <f>IF($H92="","",INDEX(Registro!$D$2:$D$501,$H92))</f>
      </c>
      <c r="C92" s="6">
        <f>IF($H92="","",INDEX(Registro!$K$2:$K$501,$H92))</f>
      </c>
      <c r="D92" s="6">
        <f>IF($H92="","",INDEX(Registro!$M$2:$M$501,$H92))</f>
      </c>
      <c r="E92" s="6">
        <f>IF($H92="","",INDEX(Registro!$N$2:$N$501,$H92))</f>
      </c>
      <c r="F92" s="6">
        <f>IF($H92="","",INDEX(Registro!$H$2:$H$501,$H92))</f>
      </c>
      <c r="G92" s="6">
        <f>IF($H92="","",INDEX(Registro!$B$2:$B$501,$H92))</f>
      </c>
      <c r="H92" s="0">
        <f>IFERROR(MATCH(84,Registro!$AH$2:$AH$501,0),"")</f>
      </c>
    </row>
    <row r="93" spans="1:7">
      <c r="A93" s="6">
        <f>IF($H93="","",85)</f>
      </c>
      <c r="B93" s="6">
        <f>IF($H93="","",INDEX(Registro!$D$2:$D$501,$H93))</f>
      </c>
      <c r="C93" s="6">
        <f>IF($H93="","",INDEX(Registro!$K$2:$K$501,$H93))</f>
      </c>
      <c r="D93" s="6">
        <f>IF($H93="","",INDEX(Registro!$M$2:$M$501,$H93))</f>
      </c>
      <c r="E93" s="6">
        <f>IF($H93="","",INDEX(Registro!$N$2:$N$501,$H93))</f>
      </c>
      <c r="F93" s="6">
        <f>IF($H93="","",INDEX(Registro!$H$2:$H$501,$H93))</f>
      </c>
      <c r="G93" s="6">
        <f>IF($H93="","",INDEX(Registro!$B$2:$B$501,$H93))</f>
      </c>
      <c r="H93" s="0">
        <f>IFERROR(MATCH(85,Registro!$AH$2:$AH$501,0),"")</f>
      </c>
    </row>
    <row r="94" spans="1:7">
      <c r="A94" s="6">
        <f>IF($H94="","",86)</f>
      </c>
      <c r="B94" s="6">
        <f>IF($H94="","",INDEX(Registro!$D$2:$D$501,$H94))</f>
      </c>
      <c r="C94" s="6">
        <f>IF($H94="","",INDEX(Registro!$K$2:$K$501,$H94))</f>
      </c>
      <c r="D94" s="6">
        <f>IF($H94="","",INDEX(Registro!$M$2:$M$501,$H94))</f>
      </c>
      <c r="E94" s="6">
        <f>IF($H94="","",INDEX(Registro!$N$2:$N$501,$H94))</f>
      </c>
      <c r="F94" s="6">
        <f>IF($H94="","",INDEX(Registro!$H$2:$H$501,$H94))</f>
      </c>
      <c r="G94" s="6">
        <f>IF($H94="","",INDEX(Registro!$B$2:$B$501,$H94))</f>
      </c>
      <c r="H94" s="0">
        <f>IFERROR(MATCH(86,Registro!$AH$2:$AH$501,0),"")</f>
      </c>
    </row>
    <row r="95" spans="1:7">
      <c r="A95" s="6">
        <f>IF($H95="","",87)</f>
      </c>
      <c r="B95" s="6">
        <f>IF($H95="","",INDEX(Registro!$D$2:$D$501,$H95))</f>
      </c>
      <c r="C95" s="6">
        <f>IF($H95="","",INDEX(Registro!$K$2:$K$501,$H95))</f>
      </c>
      <c r="D95" s="6">
        <f>IF($H95="","",INDEX(Registro!$M$2:$M$501,$H95))</f>
      </c>
      <c r="E95" s="6">
        <f>IF($H95="","",INDEX(Registro!$N$2:$N$501,$H95))</f>
      </c>
      <c r="F95" s="6">
        <f>IF($H95="","",INDEX(Registro!$H$2:$H$501,$H95))</f>
      </c>
      <c r="G95" s="6">
        <f>IF($H95="","",INDEX(Registro!$B$2:$B$501,$H95))</f>
      </c>
      <c r="H95" s="0">
        <f>IFERROR(MATCH(87,Registro!$AH$2:$AH$501,0),"")</f>
      </c>
    </row>
    <row r="96" spans="1:7">
      <c r="A96" s="6">
        <f>IF($H96="","",88)</f>
      </c>
      <c r="B96" s="6">
        <f>IF($H96="","",INDEX(Registro!$D$2:$D$501,$H96))</f>
      </c>
      <c r="C96" s="6">
        <f>IF($H96="","",INDEX(Registro!$K$2:$K$501,$H96))</f>
      </c>
      <c r="D96" s="6">
        <f>IF($H96="","",INDEX(Registro!$M$2:$M$501,$H96))</f>
      </c>
      <c r="E96" s="6">
        <f>IF($H96="","",INDEX(Registro!$N$2:$N$501,$H96))</f>
      </c>
      <c r="F96" s="6">
        <f>IF($H96="","",INDEX(Registro!$H$2:$H$501,$H96))</f>
      </c>
      <c r="G96" s="6">
        <f>IF($H96="","",INDEX(Registro!$B$2:$B$501,$H96))</f>
      </c>
      <c r="H96" s="0">
        <f>IFERROR(MATCH(88,Registro!$AH$2:$AH$501,0),"")</f>
      </c>
    </row>
    <row r="97" spans="1:7">
      <c r="A97" s="6">
        <f>IF($H97="","",89)</f>
      </c>
      <c r="B97" s="6">
        <f>IF($H97="","",INDEX(Registro!$D$2:$D$501,$H97))</f>
      </c>
      <c r="C97" s="6">
        <f>IF($H97="","",INDEX(Registro!$K$2:$K$501,$H97))</f>
      </c>
      <c r="D97" s="6">
        <f>IF($H97="","",INDEX(Registro!$M$2:$M$501,$H97))</f>
      </c>
      <c r="E97" s="6">
        <f>IF($H97="","",INDEX(Registro!$N$2:$N$501,$H97))</f>
      </c>
      <c r="F97" s="6">
        <f>IF($H97="","",INDEX(Registro!$H$2:$H$501,$H97))</f>
      </c>
      <c r="G97" s="6">
        <f>IF($H97="","",INDEX(Registro!$B$2:$B$501,$H97))</f>
      </c>
      <c r="H97" s="0">
        <f>IFERROR(MATCH(89,Registro!$AH$2:$AH$501,0),"")</f>
      </c>
    </row>
    <row r="98" spans="1:7">
      <c r="A98" s="6">
        <f>IF($H98="","",90)</f>
      </c>
      <c r="B98" s="6">
        <f>IF($H98="","",INDEX(Registro!$D$2:$D$501,$H98))</f>
      </c>
      <c r="C98" s="6">
        <f>IF($H98="","",INDEX(Registro!$K$2:$K$501,$H98))</f>
      </c>
      <c r="D98" s="6">
        <f>IF($H98="","",INDEX(Registro!$M$2:$M$501,$H98))</f>
      </c>
      <c r="E98" s="6">
        <f>IF($H98="","",INDEX(Registro!$N$2:$N$501,$H98))</f>
      </c>
      <c r="F98" s="6">
        <f>IF($H98="","",INDEX(Registro!$H$2:$H$501,$H98))</f>
      </c>
      <c r="G98" s="6">
        <f>IF($H98="","",INDEX(Registro!$B$2:$B$501,$H98))</f>
      </c>
      <c r="H98" s="0">
        <f>IFERROR(MATCH(90,Registro!$AH$2:$AH$501,0),"")</f>
      </c>
    </row>
    <row r="99" spans="1:7">
      <c r="A99" s="6">
        <f>IF($H99="","",91)</f>
      </c>
      <c r="B99" s="6">
        <f>IF($H99="","",INDEX(Registro!$D$2:$D$501,$H99))</f>
      </c>
      <c r="C99" s="6">
        <f>IF($H99="","",INDEX(Registro!$K$2:$K$501,$H99))</f>
      </c>
      <c r="D99" s="6">
        <f>IF($H99="","",INDEX(Registro!$M$2:$M$501,$H99))</f>
      </c>
      <c r="E99" s="6">
        <f>IF($H99="","",INDEX(Registro!$N$2:$N$501,$H99))</f>
      </c>
      <c r="F99" s="6">
        <f>IF($H99="","",INDEX(Registro!$H$2:$H$501,$H99))</f>
      </c>
      <c r="G99" s="6">
        <f>IF($H99="","",INDEX(Registro!$B$2:$B$501,$H99))</f>
      </c>
      <c r="H99" s="0">
        <f>IFERROR(MATCH(91,Registro!$AH$2:$AH$501,0),"")</f>
      </c>
    </row>
    <row r="100" spans="1:7">
      <c r="A100" s="6">
        <f>IF($H100="","",92)</f>
      </c>
      <c r="B100" s="6">
        <f>IF($H100="","",INDEX(Registro!$D$2:$D$501,$H100))</f>
      </c>
      <c r="C100" s="6">
        <f>IF($H100="","",INDEX(Registro!$K$2:$K$501,$H100))</f>
      </c>
      <c r="D100" s="6">
        <f>IF($H100="","",INDEX(Registro!$M$2:$M$501,$H100))</f>
      </c>
      <c r="E100" s="6">
        <f>IF($H100="","",INDEX(Registro!$N$2:$N$501,$H100))</f>
      </c>
      <c r="F100" s="6">
        <f>IF($H100="","",INDEX(Registro!$H$2:$H$501,$H100))</f>
      </c>
      <c r="G100" s="6">
        <f>IF($H100="","",INDEX(Registro!$B$2:$B$501,$H100))</f>
      </c>
      <c r="H100" s="0">
        <f>IFERROR(MATCH(92,Registro!$AH$2:$AH$501,0),"")</f>
      </c>
    </row>
    <row r="101" spans="1:7">
      <c r="A101" s="6">
        <f>IF($H101="","",93)</f>
      </c>
      <c r="B101" s="6">
        <f>IF($H101="","",INDEX(Registro!$D$2:$D$501,$H101))</f>
      </c>
      <c r="C101" s="6">
        <f>IF($H101="","",INDEX(Registro!$K$2:$K$501,$H101))</f>
      </c>
      <c r="D101" s="6">
        <f>IF($H101="","",INDEX(Registro!$M$2:$M$501,$H101))</f>
      </c>
      <c r="E101" s="6">
        <f>IF($H101="","",INDEX(Registro!$N$2:$N$501,$H101))</f>
      </c>
      <c r="F101" s="6">
        <f>IF($H101="","",INDEX(Registro!$H$2:$H$501,$H101))</f>
      </c>
      <c r="G101" s="6">
        <f>IF($H101="","",INDEX(Registro!$B$2:$B$501,$H101))</f>
      </c>
      <c r="H101" s="0">
        <f>IFERROR(MATCH(93,Registro!$AH$2:$AH$501,0),"")</f>
      </c>
    </row>
    <row r="102" spans="1:7">
      <c r="A102" s="6">
        <f>IF($H102="","",94)</f>
      </c>
      <c r="B102" s="6">
        <f>IF($H102="","",INDEX(Registro!$D$2:$D$501,$H102))</f>
      </c>
      <c r="C102" s="6">
        <f>IF($H102="","",INDEX(Registro!$K$2:$K$501,$H102))</f>
      </c>
      <c r="D102" s="6">
        <f>IF($H102="","",INDEX(Registro!$M$2:$M$501,$H102))</f>
      </c>
      <c r="E102" s="6">
        <f>IF($H102="","",INDEX(Registro!$N$2:$N$501,$H102))</f>
      </c>
      <c r="F102" s="6">
        <f>IF($H102="","",INDEX(Registro!$H$2:$H$501,$H102))</f>
      </c>
      <c r="G102" s="6">
        <f>IF($H102="","",INDEX(Registro!$B$2:$B$501,$H102))</f>
      </c>
      <c r="H102" s="0">
        <f>IFERROR(MATCH(94,Registro!$AH$2:$AH$501,0),"")</f>
      </c>
    </row>
    <row r="103" spans="1:7">
      <c r="A103" s="6">
        <f>IF($H103="","",95)</f>
      </c>
      <c r="B103" s="6">
        <f>IF($H103="","",INDEX(Registro!$D$2:$D$501,$H103))</f>
      </c>
      <c r="C103" s="6">
        <f>IF($H103="","",INDEX(Registro!$K$2:$K$501,$H103))</f>
      </c>
      <c r="D103" s="6">
        <f>IF($H103="","",INDEX(Registro!$M$2:$M$501,$H103))</f>
      </c>
      <c r="E103" s="6">
        <f>IF($H103="","",INDEX(Registro!$N$2:$N$501,$H103))</f>
      </c>
      <c r="F103" s="6">
        <f>IF($H103="","",INDEX(Registro!$H$2:$H$501,$H103))</f>
      </c>
      <c r="G103" s="6">
        <f>IF($H103="","",INDEX(Registro!$B$2:$B$501,$H103))</f>
      </c>
      <c r="H103" s="0">
        <f>IFERROR(MATCH(95,Registro!$AH$2:$AH$501,0),"")</f>
      </c>
    </row>
    <row r="104" spans="1:7">
      <c r="A104" s="6">
        <f>IF($H104="","",96)</f>
      </c>
      <c r="B104" s="6">
        <f>IF($H104="","",INDEX(Registro!$D$2:$D$501,$H104))</f>
      </c>
      <c r="C104" s="6">
        <f>IF($H104="","",INDEX(Registro!$K$2:$K$501,$H104))</f>
      </c>
      <c r="D104" s="6">
        <f>IF($H104="","",INDEX(Registro!$M$2:$M$501,$H104))</f>
      </c>
      <c r="E104" s="6">
        <f>IF($H104="","",INDEX(Registro!$N$2:$N$501,$H104))</f>
      </c>
      <c r="F104" s="6">
        <f>IF($H104="","",INDEX(Registro!$H$2:$H$501,$H104))</f>
      </c>
      <c r="G104" s="6">
        <f>IF($H104="","",INDEX(Registro!$B$2:$B$501,$H104))</f>
      </c>
      <c r="H104" s="0">
        <f>IFERROR(MATCH(96,Registro!$AH$2:$AH$501,0),"")</f>
      </c>
    </row>
    <row r="105" spans="1:7">
      <c r="A105" s="6">
        <f>IF($H105="","",97)</f>
      </c>
      <c r="B105" s="6">
        <f>IF($H105="","",INDEX(Registro!$D$2:$D$501,$H105))</f>
      </c>
      <c r="C105" s="6">
        <f>IF($H105="","",INDEX(Registro!$K$2:$K$501,$H105))</f>
      </c>
      <c r="D105" s="6">
        <f>IF($H105="","",INDEX(Registro!$M$2:$M$501,$H105))</f>
      </c>
      <c r="E105" s="6">
        <f>IF($H105="","",INDEX(Registro!$N$2:$N$501,$H105))</f>
      </c>
      <c r="F105" s="6">
        <f>IF($H105="","",INDEX(Registro!$H$2:$H$501,$H105))</f>
      </c>
      <c r="G105" s="6">
        <f>IF($H105="","",INDEX(Registro!$B$2:$B$501,$H105))</f>
      </c>
      <c r="H105" s="0">
        <f>IFERROR(MATCH(97,Registro!$AH$2:$AH$501,0),"")</f>
      </c>
    </row>
    <row r="106" spans="1:7">
      <c r="A106" s="6">
        <f>IF($H106="","",98)</f>
      </c>
      <c r="B106" s="6">
        <f>IF($H106="","",INDEX(Registro!$D$2:$D$501,$H106))</f>
      </c>
      <c r="C106" s="6">
        <f>IF($H106="","",INDEX(Registro!$K$2:$K$501,$H106))</f>
      </c>
      <c r="D106" s="6">
        <f>IF($H106="","",INDEX(Registro!$M$2:$M$501,$H106))</f>
      </c>
      <c r="E106" s="6">
        <f>IF($H106="","",INDEX(Registro!$N$2:$N$501,$H106))</f>
      </c>
      <c r="F106" s="6">
        <f>IF($H106="","",INDEX(Registro!$H$2:$H$501,$H106))</f>
      </c>
      <c r="G106" s="6">
        <f>IF($H106="","",INDEX(Registro!$B$2:$B$501,$H106))</f>
      </c>
      <c r="H106" s="0">
        <f>IFERROR(MATCH(98,Registro!$AH$2:$AH$501,0),"")</f>
      </c>
    </row>
    <row r="107" spans="1:7">
      <c r="A107" s="6">
        <f>IF($H107="","",99)</f>
      </c>
      <c r="B107" s="6">
        <f>IF($H107="","",INDEX(Registro!$D$2:$D$501,$H107))</f>
      </c>
      <c r="C107" s="6">
        <f>IF($H107="","",INDEX(Registro!$K$2:$K$501,$H107))</f>
      </c>
      <c r="D107" s="6">
        <f>IF($H107="","",INDEX(Registro!$M$2:$M$501,$H107))</f>
      </c>
      <c r="E107" s="6">
        <f>IF($H107="","",INDEX(Registro!$N$2:$N$501,$H107))</f>
      </c>
      <c r="F107" s="6">
        <f>IF($H107="","",INDEX(Registro!$H$2:$H$501,$H107))</f>
      </c>
      <c r="G107" s="6">
        <f>IF($H107="","",INDEX(Registro!$B$2:$B$501,$H107))</f>
      </c>
      <c r="H107" s="0">
        <f>IFERROR(MATCH(99,Registro!$AH$2:$AH$501,0),"")</f>
      </c>
    </row>
    <row r="108" spans="1:7">
      <c r="A108" s="6">
        <f>IF($H108="","",100)</f>
      </c>
      <c r="B108" s="6">
        <f>IF($H108="","",INDEX(Registro!$D$2:$D$501,$H108))</f>
      </c>
      <c r="C108" s="6">
        <f>IF($H108="","",INDEX(Registro!$K$2:$K$501,$H108))</f>
      </c>
      <c r="D108" s="6">
        <f>IF($H108="","",INDEX(Registro!$M$2:$M$501,$H108))</f>
      </c>
      <c r="E108" s="6">
        <f>IF($H108="","",INDEX(Registro!$N$2:$N$501,$H108))</f>
      </c>
      <c r="F108" s="6">
        <f>IF($H108="","",INDEX(Registro!$H$2:$H$501,$H108))</f>
      </c>
      <c r="G108" s="6">
        <f>IF($H108="","",INDEX(Registro!$B$2:$B$501,$H108))</f>
      </c>
      <c r="H108" s="0">
        <f>IFERROR(MATCH(100,Registro!$AH$2:$AH$501,0),"")</f>
      </c>
    </row>
    <row r="109" spans="1:7">
      <c r="A109" s="6">
        <f>IF($H109="","",101)</f>
      </c>
      <c r="B109" s="6">
        <f>IF($H109="","",INDEX(Registro!$D$2:$D$501,$H109))</f>
      </c>
      <c r="C109" s="6">
        <f>IF($H109="","",INDEX(Registro!$K$2:$K$501,$H109))</f>
      </c>
      <c r="D109" s="6">
        <f>IF($H109="","",INDEX(Registro!$M$2:$M$501,$H109))</f>
      </c>
      <c r="E109" s="6">
        <f>IF($H109="","",INDEX(Registro!$N$2:$N$501,$H109))</f>
      </c>
      <c r="F109" s="6">
        <f>IF($H109="","",INDEX(Registro!$H$2:$H$501,$H109))</f>
      </c>
      <c r="G109" s="6">
        <f>IF($H109="","",INDEX(Registro!$B$2:$B$501,$H109))</f>
      </c>
      <c r="H109" s="0">
        <f>IFERROR(MATCH(101,Registro!$AH$2:$AH$501,0),"")</f>
      </c>
    </row>
    <row r="110" spans="1:7">
      <c r="A110" s="6">
        <f>IF($H110="","",102)</f>
      </c>
      <c r="B110" s="6">
        <f>IF($H110="","",INDEX(Registro!$D$2:$D$501,$H110))</f>
      </c>
      <c r="C110" s="6">
        <f>IF($H110="","",INDEX(Registro!$K$2:$K$501,$H110))</f>
      </c>
      <c r="D110" s="6">
        <f>IF($H110="","",INDEX(Registro!$M$2:$M$501,$H110))</f>
      </c>
      <c r="E110" s="6">
        <f>IF($H110="","",INDEX(Registro!$N$2:$N$501,$H110))</f>
      </c>
      <c r="F110" s="6">
        <f>IF($H110="","",INDEX(Registro!$H$2:$H$501,$H110))</f>
      </c>
      <c r="G110" s="6">
        <f>IF($H110="","",INDEX(Registro!$B$2:$B$501,$H110))</f>
      </c>
      <c r="H110" s="0">
        <f>IFERROR(MATCH(102,Registro!$AH$2:$AH$501,0),"")</f>
      </c>
    </row>
    <row r="111" spans="1:7">
      <c r="A111" s="6">
        <f>IF($H111="","",103)</f>
      </c>
      <c r="B111" s="6">
        <f>IF($H111="","",INDEX(Registro!$D$2:$D$501,$H111))</f>
      </c>
      <c r="C111" s="6">
        <f>IF($H111="","",INDEX(Registro!$K$2:$K$501,$H111))</f>
      </c>
      <c r="D111" s="6">
        <f>IF($H111="","",INDEX(Registro!$M$2:$M$501,$H111))</f>
      </c>
      <c r="E111" s="6">
        <f>IF($H111="","",INDEX(Registro!$N$2:$N$501,$H111))</f>
      </c>
      <c r="F111" s="6">
        <f>IF($H111="","",INDEX(Registro!$H$2:$H$501,$H111))</f>
      </c>
      <c r="G111" s="6">
        <f>IF($H111="","",INDEX(Registro!$B$2:$B$501,$H111))</f>
      </c>
      <c r="H111" s="0">
        <f>IFERROR(MATCH(103,Registro!$AH$2:$AH$501,0),"")</f>
      </c>
    </row>
    <row r="112" spans="1:7">
      <c r="A112" s="6">
        <f>IF($H112="","",104)</f>
      </c>
      <c r="B112" s="6">
        <f>IF($H112="","",INDEX(Registro!$D$2:$D$501,$H112))</f>
      </c>
      <c r="C112" s="6">
        <f>IF($H112="","",INDEX(Registro!$K$2:$K$501,$H112))</f>
      </c>
      <c r="D112" s="6">
        <f>IF($H112="","",INDEX(Registro!$M$2:$M$501,$H112))</f>
      </c>
      <c r="E112" s="6">
        <f>IF($H112="","",INDEX(Registro!$N$2:$N$501,$H112))</f>
      </c>
      <c r="F112" s="6">
        <f>IF($H112="","",INDEX(Registro!$H$2:$H$501,$H112))</f>
      </c>
      <c r="G112" s="6">
        <f>IF($H112="","",INDEX(Registro!$B$2:$B$501,$H112))</f>
      </c>
      <c r="H112" s="0">
        <f>IFERROR(MATCH(104,Registro!$AH$2:$AH$501,0),"")</f>
      </c>
    </row>
    <row r="113" spans="1:7">
      <c r="A113" s="6">
        <f>IF($H113="","",105)</f>
      </c>
      <c r="B113" s="6">
        <f>IF($H113="","",INDEX(Registro!$D$2:$D$501,$H113))</f>
      </c>
      <c r="C113" s="6">
        <f>IF($H113="","",INDEX(Registro!$K$2:$K$501,$H113))</f>
      </c>
      <c r="D113" s="6">
        <f>IF($H113="","",INDEX(Registro!$M$2:$M$501,$H113))</f>
      </c>
      <c r="E113" s="6">
        <f>IF($H113="","",INDEX(Registro!$N$2:$N$501,$H113))</f>
      </c>
      <c r="F113" s="6">
        <f>IF($H113="","",INDEX(Registro!$H$2:$H$501,$H113))</f>
      </c>
      <c r="G113" s="6">
        <f>IF($H113="","",INDEX(Registro!$B$2:$B$501,$H113))</f>
      </c>
      <c r="H113" s="0">
        <f>IFERROR(MATCH(105,Registro!$AH$2:$AH$501,0),"")</f>
      </c>
    </row>
    <row r="114" spans="1:7">
      <c r="A114" s="6">
        <f>IF($H114="","",106)</f>
      </c>
      <c r="B114" s="6">
        <f>IF($H114="","",INDEX(Registro!$D$2:$D$501,$H114))</f>
      </c>
      <c r="C114" s="6">
        <f>IF($H114="","",INDEX(Registro!$K$2:$K$501,$H114))</f>
      </c>
      <c r="D114" s="6">
        <f>IF($H114="","",INDEX(Registro!$M$2:$M$501,$H114))</f>
      </c>
      <c r="E114" s="6">
        <f>IF($H114="","",INDEX(Registro!$N$2:$N$501,$H114))</f>
      </c>
      <c r="F114" s="6">
        <f>IF($H114="","",INDEX(Registro!$H$2:$H$501,$H114))</f>
      </c>
      <c r="G114" s="6">
        <f>IF($H114="","",INDEX(Registro!$B$2:$B$501,$H114))</f>
      </c>
      <c r="H114" s="0">
        <f>IFERROR(MATCH(106,Registro!$AH$2:$AH$501,0),"")</f>
      </c>
    </row>
    <row r="115" spans="1:7">
      <c r="A115" s="6">
        <f>IF($H115="","",107)</f>
      </c>
      <c r="B115" s="6">
        <f>IF($H115="","",INDEX(Registro!$D$2:$D$501,$H115))</f>
      </c>
      <c r="C115" s="6">
        <f>IF($H115="","",INDEX(Registro!$K$2:$K$501,$H115))</f>
      </c>
      <c r="D115" s="6">
        <f>IF($H115="","",INDEX(Registro!$M$2:$M$501,$H115))</f>
      </c>
      <c r="E115" s="6">
        <f>IF($H115="","",INDEX(Registro!$N$2:$N$501,$H115))</f>
      </c>
      <c r="F115" s="6">
        <f>IF($H115="","",INDEX(Registro!$H$2:$H$501,$H115))</f>
      </c>
      <c r="G115" s="6">
        <f>IF($H115="","",INDEX(Registro!$B$2:$B$501,$H115))</f>
      </c>
      <c r="H115" s="0">
        <f>IFERROR(MATCH(107,Registro!$AH$2:$AH$501,0),"")</f>
      </c>
    </row>
    <row r="116" spans="1:7">
      <c r="A116" s="6">
        <f>IF($H116="","",108)</f>
      </c>
      <c r="B116" s="6">
        <f>IF($H116="","",INDEX(Registro!$D$2:$D$501,$H116))</f>
      </c>
      <c r="C116" s="6">
        <f>IF($H116="","",INDEX(Registro!$K$2:$K$501,$H116))</f>
      </c>
      <c r="D116" s="6">
        <f>IF($H116="","",INDEX(Registro!$M$2:$M$501,$H116))</f>
      </c>
      <c r="E116" s="6">
        <f>IF($H116="","",INDEX(Registro!$N$2:$N$501,$H116))</f>
      </c>
      <c r="F116" s="6">
        <f>IF($H116="","",INDEX(Registro!$H$2:$H$501,$H116))</f>
      </c>
      <c r="G116" s="6">
        <f>IF($H116="","",INDEX(Registro!$B$2:$B$501,$H116))</f>
      </c>
      <c r="H116" s="0">
        <f>IFERROR(MATCH(108,Registro!$AH$2:$AH$501,0),"")</f>
      </c>
    </row>
    <row r="117" spans="1:7">
      <c r="A117" s="6">
        <f>IF($H117="","",109)</f>
      </c>
      <c r="B117" s="6">
        <f>IF($H117="","",INDEX(Registro!$D$2:$D$501,$H117))</f>
      </c>
      <c r="C117" s="6">
        <f>IF($H117="","",INDEX(Registro!$K$2:$K$501,$H117))</f>
      </c>
      <c r="D117" s="6">
        <f>IF($H117="","",INDEX(Registro!$M$2:$M$501,$H117))</f>
      </c>
      <c r="E117" s="6">
        <f>IF($H117="","",INDEX(Registro!$N$2:$N$501,$H117))</f>
      </c>
      <c r="F117" s="6">
        <f>IF($H117="","",INDEX(Registro!$H$2:$H$501,$H117))</f>
      </c>
      <c r="G117" s="6">
        <f>IF($H117="","",INDEX(Registro!$B$2:$B$501,$H117))</f>
      </c>
      <c r="H117" s="0">
        <f>IFERROR(MATCH(109,Registro!$AH$2:$AH$501,0),"")</f>
      </c>
    </row>
    <row r="118" spans="1:7">
      <c r="A118" s="6">
        <f>IF($H118="","",110)</f>
      </c>
      <c r="B118" s="6">
        <f>IF($H118="","",INDEX(Registro!$D$2:$D$501,$H118))</f>
      </c>
      <c r="C118" s="6">
        <f>IF($H118="","",INDEX(Registro!$K$2:$K$501,$H118))</f>
      </c>
      <c r="D118" s="6">
        <f>IF($H118="","",INDEX(Registro!$M$2:$M$501,$H118))</f>
      </c>
      <c r="E118" s="6">
        <f>IF($H118="","",INDEX(Registro!$N$2:$N$501,$H118))</f>
      </c>
      <c r="F118" s="6">
        <f>IF($H118="","",INDEX(Registro!$H$2:$H$501,$H118))</f>
      </c>
      <c r="G118" s="6">
        <f>IF($H118="","",INDEX(Registro!$B$2:$B$501,$H118))</f>
      </c>
      <c r="H118" s="0">
        <f>IFERROR(MATCH(110,Registro!$AH$2:$AH$501,0),"")</f>
      </c>
    </row>
    <row r="119" spans="1:7">
      <c r="A119" s="6">
        <f>IF($H119="","",111)</f>
      </c>
      <c r="B119" s="6">
        <f>IF($H119="","",INDEX(Registro!$D$2:$D$501,$H119))</f>
      </c>
      <c r="C119" s="6">
        <f>IF($H119="","",INDEX(Registro!$K$2:$K$501,$H119))</f>
      </c>
      <c r="D119" s="6">
        <f>IF($H119="","",INDEX(Registro!$M$2:$M$501,$H119))</f>
      </c>
      <c r="E119" s="6">
        <f>IF($H119="","",INDEX(Registro!$N$2:$N$501,$H119))</f>
      </c>
      <c r="F119" s="6">
        <f>IF($H119="","",INDEX(Registro!$H$2:$H$501,$H119))</f>
      </c>
      <c r="G119" s="6">
        <f>IF($H119="","",INDEX(Registro!$B$2:$B$501,$H119))</f>
      </c>
      <c r="H119" s="0">
        <f>IFERROR(MATCH(111,Registro!$AH$2:$AH$501,0),"")</f>
      </c>
    </row>
    <row r="120" spans="1:7">
      <c r="A120" s="6">
        <f>IF($H120="","",112)</f>
      </c>
      <c r="B120" s="6">
        <f>IF($H120="","",INDEX(Registro!$D$2:$D$501,$H120))</f>
      </c>
      <c r="C120" s="6">
        <f>IF($H120="","",INDEX(Registro!$K$2:$K$501,$H120))</f>
      </c>
      <c r="D120" s="6">
        <f>IF($H120="","",INDEX(Registro!$M$2:$M$501,$H120))</f>
      </c>
      <c r="E120" s="6">
        <f>IF($H120="","",INDEX(Registro!$N$2:$N$501,$H120))</f>
      </c>
      <c r="F120" s="6">
        <f>IF($H120="","",INDEX(Registro!$H$2:$H$501,$H120))</f>
      </c>
      <c r="G120" s="6">
        <f>IF($H120="","",INDEX(Registro!$B$2:$B$501,$H120))</f>
      </c>
      <c r="H120" s="0">
        <f>IFERROR(MATCH(112,Registro!$AH$2:$AH$501,0),"")</f>
      </c>
    </row>
    <row r="121" spans="1:7">
      <c r="A121" s="6">
        <f>IF($H121="","",113)</f>
      </c>
      <c r="B121" s="6">
        <f>IF($H121="","",INDEX(Registro!$D$2:$D$501,$H121))</f>
      </c>
      <c r="C121" s="6">
        <f>IF($H121="","",INDEX(Registro!$K$2:$K$501,$H121))</f>
      </c>
      <c r="D121" s="6">
        <f>IF($H121="","",INDEX(Registro!$M$2:$M$501,$H121))</f>
      </c>
      <c r="E121" s="6">
        <f>IF($H121="","",INDEX(Registro!$N$2:$N$501,$H121))</f>
      </c>
      <c r="F121" s="6">
        <f>IF($H121="","",INDEX(Registro!$H$2:$H$501,$H121))</f>
      </c>
      <c r="G121" s="6">
        <f>IF($H121="","",INDEX(Registro!$B$2:$B$501,$H121))</f>
      </c>
      <c r="H121" s="0">
        <f>IFERROR(MATCH(113,Registro!$AH$2:$AH$501,0),"")</f>
      </c>
    </row>
    <row r="122" spans="1:7">
      <c r="A122" s="6">
        <f>IF($H122="","",114)</f>
      </c>
      <c r="B122" s="6">
        <f>IF($H122="","",INDEX(Registro!$D$2:$D$501,$H122))</f>
      </c>
      <c r="C122" s="6">
        <f>IF($H122="","",INDEX(Registro!$K$2:$K$501,$H122))</f>
      </c>
      <c r="D122" s="6">
        <f>IF($H122="","",INDEX(Registro!$M$2:$M$501,$H122))</f>
      </c>
      <c r="E122" s="6">
        <f>IF($H122="","",INDEX(Registro!$N$2:$N$501,$H122))</f>
      </c>
      <c r="F122" s="6">
        <f>IF($H122="","",INDEX(Registro!$H$2:$H$501,$H122))</f>
      </c>
      <c r="G122" s="6">
        <f>IF($H122="","",INDEX(Registro!$B$2:$B$501,$H122))</f>
      </c>
      <c r="H122" s="0">
        <f>IFERROR(MATCH(114,Registro!$AH$2:$AH$501,0),"")</f>
      </c>
    </row>
    <row r="123" spans="1:7">
      <c r="A123" s="6">
        <f>IF($H123="","",115)</f>
      </c>
      <c r="B123" s="6">
        <f>IF($H123="","",INDEX(Registro!$D$2:$D$501,$H123))</f>
      </c>
      <c r="C123" s="6">
        <f>IF($H123="","",INDEX(Registro!$K$2:$K$501,$H123))</f>
      </c>
      <c r="D123" s="6">
        <f>IF($H123="","",INDEX(Registro!$M$2:$M$501,$H123))</f>
      </c>
      <c r="E123" s="6">
        <f>IF($H123="","",INDEX(Registro!$N$2:$N$501,$H123))</f>
      </c>
      <c r="F123" s="6">
        <f>IF($H123="","",INDEX(Registro!$H$2:$H$501,$H123))</f>
      </c>
      <c r="G123" s="6">
        <f>IF($H123="","",INDEX(Registro!$B$2:$B$501,$H123))</f>
      </c>
      <c r="H123" s="0">
        <f>IFERROR(MATCH(115,Registro!$AH$2:$AH$501,0),"")</f>
      </c>
    </row>
    <row r="124" spans="1:7">
      <c r="A124" s="6">
        <f>IF($H124="","",116)</f>
      </c>
      <c r="B124" s="6">
        <f>IF($H124="","",INDEX(Registro!$D$2:$D$501,$H124))</f>
      </c>
      <c r="C124" s="6">
        <f>IF($H124="","",INDEX(Registro!$K$2:$K$501,$H124))</f>
      </c>
      <c r="D124" s="6">
        <f>IF($H124="","",INDEX(Registro!$M$2:$M$501,$H124))</f>
      </c>
      <c r="E124" s="6">
        <f>IF($H124="","",INDEX(Registro!$N$2:$N$501,$H124))</f>
      </c>
      <c r="F124" s="6">
        <f>IF($H124="","",INDEX(Registro!$H$2:$H$501,$H124))</f>
      </c>
      <c r="G124" s="6">
        <f>IF($H124="","",INDEX(Registro!$B$2:$B$501,$H124))</f>
      </c>
      <c r="H124" s="0">
        <f>IFERROR(MATCH(116,Registro!$AH$2:$AH$501,0),"")</f>
      </c>
    </row>
    <row r="125" spans="1:7">
      <c r="A125" s="6">
        <f>IF($H125="","",117)</f>
      </c>
      <c r="B125" s="6">
        <f>IF($H125="","",INDEX(Registro!$D$2:$D$501,$H125))</f>
      </c>
      <c r="C125" s="6">
        <f>IF($H125="","",INDEX(Registro!$K$2:$K$501,$H125))</f>
      </c>
      <c r="D125" s="6">
        <f>IF($H125="","",INDEX(Registro!$M$2:$M$501,$H125))</f>
      </c>
      <c r="E125" s="6">
        <f>IF($H125="","",INDEX(Registro!$N$2:$N$501,$H125))</f>
      </c>
      <c r="F125" s="6">
        <f>IF($H125="","",INDEX(Registro!$H$2:$H$501,$H125))</f>
      </c>
      <c r="G125" s="6">
        <f>IF($H125="","",INDEX(Registro!$B$2:$B$501,$H125))</f>
      </c>
      <c r="H125" s="0">
        <f>IFERROR(MATCH(117,Registro!$AH$2:$AH$501,0),"")</f>
      </c>
    </row>
    <row r="126" spans="1:7">
      <c r="A126" s="6">
        <f>IF($H126="","",118)</f>
      </c>
      <c r="B126" s="6">
        <f>IF($H126="","",INDEX(Registro!$D$2:$D$501,$H126))</f>
      </c>
      <c r="C126" s="6">
        <f>IF($H126="","",INDEX(Registro!$K$2:$K$501,$H126))</f>
      </c>
      <c r="D126" s="6">
        <f>IF($H126="","",INDEX(Registro!$M$2:$M$501,$H126))</f>
      </c>
      <c r="E126" s="6">
        <f>IF($H126="","",INDEX(Registro!$N$2:$N$501,$H126))</f>
      </c>
      <c r="F126" s="6">
        <f>IF($H126="","",INDEX(Registro!$H$2:$H$501,$H126))</f>
      </c>
      <c r="G126" s="6">
        <f>IF($H126="","",INDEX(Registro!$B$2:$B$501,$H126))</f>
      </c>
      <c r="H126" s="0">
        <f>IFERROR(MATCH(118,Registro!$AH$2:$AH$501,0),"")</f>
      </c>
    </row>
    <row r="127" spans="1:7">
      <c r="A127" s="6">
        <f>IF($H127="","",119)</f>
      </c>
      <c r="B127" s="6">
        <f>IF($H127="","",INDEX(Registro!$D$2:$D$501,$H127))</f>
      </c>
      <c r="C127" s="6">
        <f>IF($H127="","",INDEX(Registro!$K$2:$K$501,$H127))</f>
      </c>
      <c r="D127" s="6">
        <f>IF($H127="","",INDEX(Registro!$M$2:$M$501,$H127))</f>
      </c>
      <c r="E127" s="6">
        <f>IF($H127="","",INDEX(Registro!$N$2:$N$501,$H127))</f>
      </c>
      <c r="F127" s="6">
        <f>IF($H127="","",INDEX(Registro!$H$2:$H$501,$H127))</f>
      </c>
      <c r="G127" s="6">
        <f>IF($H127="","",INDEX(Registro!$B$2:$B$501,$H127))</f>
      </c>
      <c r="H127" s="0">
        <f>IFERROR(MATCH(119,Registro!$AH$2:$AH$501,0),"")</f>
      </c>
    </row>
    <row r="128" spans="1:7">
      <c r="A128" s="6">
        <f>IF($H128="","",120)</f>
      </c>
      <c r="B128" s="6">
        <f>IF($H128="","",INDEX(Registro!$D$2:$D$501,$H128))</f>
      </c>
      <c r="C128" s="6">
        <f>IF($H128="","",INDEX(Registro!$K$2:$K$501,$H128))</f>
      </c>
      <c r="D128" s="6">
        <f>IF($H128="","",INDEX(Registro!$M$2:$M$501,$H128))</f>
      </c>
      <c r="E128" s="6">
        <f>IF($H128="","",INDEX(Registro!$N$2:$N$501,$H128))</f>
      </c>
      <c r="F128" s="6">
        <f>IF($H128="","",INDEX(Registro!$H$2:$H$501,$H128))</f>
      </c>
      <c r="G128" s="6">
        <f>IF($H128="","",INDEX(Registro!$B$2:$B$501,$H128))</f>
      </c>
      <c r="H128" s="0">
        <f>IFERROR(MATCH(120,Registro!$AH$2:$AH$501,0),"")</f>
      </c>
    </row>
    <row r="129" spans="1:7">
      <c r="A129" s="6">
        <f>IF($H129="","",121)</f>
      </c>
      <c r="B129" s="6">
        <f>IF($H129="","",INDEX(Registro!$D$2:$D$501,$H129))</f>
      </c>
      <c r="C129" s="6">
        <f>IF($H129="","",INDEX(Registro!$K$2:$K$501,$H129))</f>
      </c>
      <c r="D129" s="6">
        <f>IF($H129="","",INDEX(Registro!$M$2:$M$501,$H129))</f>
      </c>
      <c r="E129" s="6">
        <f>IF($H129="","",INDEX(Registro!$N$2:$N$501,$H129))</f>
      </c>
      <c r="F129" s="6">
        <f>IF($H129="","",INDEX(Registro!$H$2:$H$501,$H129))</f>
      </c>
      <c r="G129" s="6">
        <f>IF($H129="","",INDEX(Registro!$B$2:$B$501,$H129))</f>
      </c>
      <c r="H129" s="0">
        <f>IFERROR(MATCH(121,Registro!$AH$2:$AH$501,0),"")</f>
      </c>
    </row>
    <row r="130" spans="1:7">
      <c r="A130" s="6">
        <f>IF($H130="","",122)</f>
      </c>
      <c r="B130" s="6">
        <f>IF($H130="","",INDEX(Registro!$D$2:$D$501,$H130))</f>
      </c>
      <c r="C130" s="6">
        <f>IF($H130="","",INDEX(Registro!$K$2:$K$501,$H130))</f>
      </c>
      <c r="D130" s="6">
        <f>IF($H130="","",INDEX(Registro!$M$2:$M$501,$H130))</f>
      </c>
      <c r="E130" s="6">
        <f>IF($H130="","",INDEX(Registro!$N$2:$N$501,$H130))</f>
      </c>
      <c r="F130" s="6">
        <f>IF($H130="","",INDEX(Registro!$H$2:$H$501,$H130))</f>
      </c>
      <c r="G130" s="6">
        <f>IF($H130="","",INDEX(Registro!$B$2:$B$501,$H130))</f>
      </c>
      <c r="H130" s="0">
        <f>IFERROR(MATCH(122,Registro!$AH$2:$AH$501,0),"")</f>
      </c>
    </row>
    <row r="131" spans="1:7">
      <c r="A131" s="6">
        <f>IF($H131="","",123)</f>
      </c>
      <c r="B131" s="6">
        <f>IF($H131="","",INDEX(Registro!$D$2:$D$501,$H131))</f>
      </c>
      <c r="C131" s="6">
        <f>IF($H131="","",INDEX(Registro!$K$2:$K$501,$H131))</f>
      </c>
      <c r="D131" s="6">
        <f>IF($H131="","",INDEX(Registro!$M$2:$M$501,$H131))</f>
      </c>
      <c r="E131" s="6">
        <f>IF($H131="","",INDEX(Registro!$N$2:$N$501,$H131))</f>
      </c>
      <c r="F131" s="6">
        <f>IF($H131="","",INDEX(Registro!$H$2:$H$501,$H131))</f>
      </c>
      <c r="G131" s="6">
        <f>IF($H131="","",INDEX(Registro!$B$2:$B$501,$H131))</f>
      </c>
      <c r="H131" s="0">
        <f>IFERROR(MATCH(123,Registro!$AH$2:$AH$501,0),"")</f>
      </c>
    </row>
    <row r="132" spans="1:7">
      <c r="A132" s="6">
        <f>IF($H132="","",124)</f>
      </c>
      <c r="B132" s="6">
        <f>IF($H132="","",INDEX(Registro!$D$2:$D$501,$H132))</f>
      </c>
      <c r="C132" s="6">
        <f>IF($H132="","",INDEX(Registro!$K$2:$K$501,$H132))</f>
      </c>
      <c r="D132" s="6">
        <f>IF($H132="","",INDEX(Registro!$M$2:$M$501,$H132))</f>
      </c>
      <c r="E132" s="6">
        <f>IF($H132="","",INDEX(Registro!$N$2:$N$501,$H132))</f>
      </c>
      <c r="F132" s="6">
        <f>IF($H132="","",INDEX(Registro!$H$2:$H$501,$H132))</f>
      </c>
      <c r="G132" s="6">
        <f>IF($H132="","",INDEX(Registro!$B$2:$B$501,$H132))</f>
      </c>
      <c r="H132" s="0">
        <f>IFERROR(MATCH(124,Registro!$AH$2:$AH$501,0),"")</f>
      </c>
    </row>
    <row r="133" spans="1:7">
      <c r="A133" s="6">
        <f>IF($H133="","",125)</f>
      </c>
      <c r="B133" s="6">
        <f>IF($H133="","",INDEX(Registro!$D$2:$D$501,$H133))</f>
      </c>
      <c r="C133" s="6">
        <f>IF($H133="","",INDEX(Registro!$K$2:$K$501,$H133))</f>
      </c>
      <c r="D133" s="6">
        <f>IF($H133="","",INDEX(Registro!$M$2:$M$501,$H133))</f>
      </c>
      <c r="E133" s="6">
        <f>IF($H133="","",INDEX(Registro!$N$2:$N$501,$H133))</f>
      </c>
      <c r="F133" s="6">
        <f>IF($H133="","",INDEX(Registro!$H$2:$H$501,$H133))</f>
      </c>
      <c r="G133" s="6">
        <f>IF($H133="","",INDEX(Registro!$B$2:$B$501,$H133))</f>
      </c>
      <c r="H133" s="0">
        <f>IFERROR(MATCH(125,Registro!$AH$2:$AH$501,0),"")</f>
      </c>
    </row>
    <row r="134" spans="1:7">
      <c r="A134" s="6">
        <f>IF($H134="","",126)</f>
      </c>
      <c r="B134" s="6">
        <f>IF($H134="","",INDEX(Registro!$D$2:$D$501,$H134))</f>
      </c>
      <c r="C134" s="6">
        <f>IF($H134="","",INDEX(Registro!$K$2:$K$501,$H134))</f>
      </c>
      <c r="D134" s="6">
        <f>IF($H134="","",INDEX(Registro!$M$2:$M$501,$H134))</f>
      </c>
      <c r="E134" s="6">
        <f>IF($H134="","",INDEX(Registro!$N$2:$N$501,$H134))</f>
      </c>
      <c r="F134" s="6">
        <f>IF($H134="","",INDEX(Registro!$H$2:$H$501,$H134))</f>
      </c>
      <c r="G134" s="6">
        <f>IF($H134="","",INDEX(Registro!$B$2:$B$501,$H134))</f>
      </c>
      <c r="H134" s="0">
        <f>IFERROR(MATCH(126,Registro!$AH$2:$AH$501,0),"")</f>
      </c>
    </row>
    <row r="135" spans="1:7">
      <c r="A135" s="6">
        <f>IF($H135="","",127)</f>
      </c>
      <c r="B135" s="6">
        <f>IF($H135="","",INDEX(Registro!$D$2:$D$501,$H135))</f>
      </c>
      <c r="C135" s="6">
        <f>IF($H135="","",INDEX(Registro!$K$2:$K$501,$H135))</f>
      </c>
      <c r="D135" s="6">
        <f>IF($H135="","",INDEX(Registro!$M$2:$M$501,$H135))</f>
      </c>
      <c r="E135" s="6">
        <f>IF($H135="","",INDEX(Registro!$N$2:$N$501,$H135))</f>
      </c>
      <c r="F135" s="6">
        <f>IF($H135="","",INDEX(Registro!$H$2:$H$501,$H135))</f>
      </c>
      <c r="G135" s="6">
        <f>IF($H135="","",INDEX(Registro!$B$2:$B$501,$H135))</f>
      </c>
      <c r="H135" s="0">
        <f>IFERROR(MATCH(127,Registro!$AH$2:$AH$501,0),"")</f>
      </c>
    </row>
    <row r="136" spans="1:7">
      <c r="A136" s="6">
        <f>IF($H136="","",128)</f>
      </c>
      <c r="B136" s="6">
        <f>IF($H136="","",INDEX(Registro!$D$2:$D$501,$H136))</f>
      </c>
      <c r="C136" s="6">
        <f>IF($H136="","",INDEX(Registro!$K$2:$K$501,$H136))</f>
      </c>
      <c r="D136" s="6">
        <f>IF($H136="","",INDEX(Registro!$M$2:$M$501,$H136))</f>
      </c>
      <c r="E136" s="6">
        <f>IF($H136="","",INDEX(Registro!$N$2:$N$501,$H136))</f>
      </c>
      <c r="F136" s="6">
        <f>IF($H136="","",INDEX(Registro!$H$2:$H$501,$H136))</f>
      </c>
      <c r="G136" s="6">
        <f>IF($H136="","",INDEX(Registro!$B$2:$B$501,$H136))</f>
      </c>
      <c r="H136" s="0">
        <f>IFERROR(MATCH(128,Registro!$AH$2:$AH$501,0),"")</f>
      </c>
    </row>
    <row r="137" spans="1:7">
      <c r="A137" s="6">
        <f>IF($H137="","",129)</f>
      </c>
      <c r="B137" s="6">
        <f>IF($H137="","",INDEX(Registro!$D$2:$D$501,$H137))</f>
      </c>
      <c r="C137" s="6">
        <f>IF($H137="","",INDEX(Registro!$K$2:$K$501,$H137))</f>
      </c>
      <c r="D137" s="6">
        <f>IF($H137="","",INDEX(Registro!$M$2:$M$501,$H137))</f>
      </c>
      <c r="E137" s="6">
        <f>IF($H137="","",INDEX(Registro!$N$2:$N$501,$H137))</f>
      </c>
      <c r="F137" s="6">
        <f>IF($H137="","",INDEX(Registro!$H$2:$H$501,$H137))</f>
      </c>
      <c r="G137" s="6">
        <f>IF($H137="","",INDEX(Registro!$B$2:$B$501,$H137))</f>
      </c>
      <c r="H137" s="0">
        <f>IFERROR(MATCH(129,Registro!$AH$2:$AH$501,0),"")</f>
      </c>
    </row>
    <row r="138" spans="1:7">
      <c r="A138" s="6">
        <f>IF($H138="","",130)</f>
      </c>
      <c r="B138" s="6">
        <f>IF($H138="","",INDEX(Registro!$D$2:$D$501,$H138))</f>
      </c>
      <c r="C138" s="6">
        <f>IF($H138="","",INDEX(Registro!$K$2:$K$501,$H138))</f>
      </c>
      <c r="D138" s="6">
        <f>IF($H138="","",INDEX(Registro!$M$2:$M$501,$H138))</f>
      </c>
      <c r="E138" s="6">
        <f>IF($H138="","",INDEX(Registro!$N$2:$N$501,$H138))</f>
      </c>
      <c r="F138" s="6">
        <f>IF($H138="","",INDEX(Registro!$H$2:$H$501,$H138))</f>
      </c>
      <c r="G138" s="6">
        <f>IF($H138="","",INDEX(Registro!$B$2:$B$501,$H138))</f>
      </c>
      <c r="H138" s="0">
        <f>IFERROR(MATCH(130,Registro!$AH$2:$AH$501,0),"")</f>
      </c>
    </row>
    <row r="139" spans="1:7">
      <c r="A139" s="6">
        <f>IF($H139="","",131)</f>
      </c>
      <c r="B139" s="6">
        <f>IF($H139="","",INDEX(Registro!$D$2:$D$501,$H139))</f>
      </c>
      <c r="C139" s="6">
        <f>IF($H139="","",INDEX(Registro!$K$2:$K$501,$H139))</f>
      </c>
      <c r="D139" s="6">
        <f>IF($H139="","",INDEX(Registro!$M$2:$M$501,$H139))</f>
      </c>
      <c r="E139" s="6">
        <f>IF($H139="","",INDEX(Registro!$N$2:$N$501,$H139))</f>
      </c>
      <c r="F139" s="6">
        <f>IF($H139="","",INDEX(Registro!$H$2:$H$501,$H139))</f>
      </c>
      <c r="G139" s="6">
        <f>IF($H139="","",INDEX(Registro!$B$2:$B$501,$H139))</f>
      </c>
      <c r="H139" s="0">
        <f>IFERROR(MATCH(131,Registro!$AH$2:$AH$501,0),"")</f>
      </c>
    </row>
    <row r="140" spans="1:7">
      <c r="A140" s="6">
        <f>IF($H140="","",132)</f>
      </c>
      <c r="B140" s="6">
        <f>IF($H140="","",INDEX(Registro!$D$2:$D$501,$H140))</f>
      </c>
      <c r="C140" s="6">
        <f>IF($H140="","",INDEX(Registro!$K$2:$K$501,$H140))</f>
      </c>
      <c r="D140" s="6">
        <f>IF($H140="","",INDEX(Registro!$M$2:$M$501,$H140))</f>
      </c>
      <c r="E140" s="6">
        <f>IF($H140="","",INDEX(Registro!$N$2:$N$501,$H140))</f>
      </c>
      <c r="F140" s="6">
        <f>IF($H140="","",INDEX(Registro!$H$2:$H$501,$H140))</f>
      </c>
      <c r="G140" s="6">
        <f>IF($H140="","",INDEX(Registro!$B$2:$B$501,$H140))</f>
      </c>
      <c r="H140" s="0">
        <f>IFERROR(MATCH(132,Registro!$AH$2:$AH$501,0),"")</f>
      </c>
    </row>
    <row r="141" spans="1:7">
      <c r="A141" s="6">
        <f>IF($H141="","",133)</f>
      </c>
      <c r="B141" s="6">
        <f>IF($H141="","",INDEX(Registro!$D$2:$D$501,$H141))</f>
      </c>
      <c r="C141" s="6">
        <f>IF($H141="","",INDEX(Registro!$K$2:$K$501,$H141))</f>
      </c>
      <c r="D141" s="6">
        <f>IF($H141="","",INDEX(Registro!$M$2:$M$501,$H141))</f>
      </c>
      <c r="E141" s="6">
        <f>IF($H141="","",INDEX(Registro!$N$2:$N$501,$H141))</f>
      </c>
      <c r="F141" s="6">
        <f>IF($H141="","",INDEX(Registro!$H$2:$H$501,$H141))</f>
      </c>
      <c r="G141" s="6">
        <f>IF($H141="","",INDEX(Registro!$B$2:$B$501,$H141))</f>
      </c>
      <c r="H141" s="0">
        <f>IFERROR(MATCH(133,Registro!$AH$2:$AH$501,0),"")</f>
      </c>
    </row>
    <row r="142" spans="1:7">
      <c r="A142" s="6">
        <f>IF($H142="","",134)</f>
      </c>
      <c r="B142" s="6">
        <f>IF($H142="","",INDEX(Registro!$D$2:$D$501,$H142))</f>
      </c>
      <c r="C142" s="6">
        <f>IF($H142="","",INDEX(Registro!$K$2:$K$501,$H142))</f>
      </c>
      <c r="D142" s="6">
        <f>IF($H142="","",INDEX(Registro!$M$2:$M$501,$H142))</f>
      </c>
      <c r="E142" s="6">
        <f>IF($H142="","",INDEX(Registro!$N$2:$N$501,$H142))</f>
      </c>
      <c r="F142" s="6">
        <f>IF($H142="","",INDEX(Registro!$H$2:$H$501,$H142))</f>
      </c>
      <c r="G142" s="6">
        <f>IF($H142="","",INDEX(Registro!$B$2:$B$501,$H142))</f>
      </c>
      <c r="H142" s="0">
        <f>IFERROR(MATCH(134,Registro!$AH$2:$AH$501,0),"")</f>
      </c>
    </row>
    <row r="143" spans="1:7">
      <c r="A143" s="6">
        <f>IF($H143="","",135)</f>
      </c>
      <c r="B143" s="6">
        <f>IF($H143="","",INDEX(Registro!$D$2:$D$501,$H143))</f>
      </c>
      <c r="C143" s="6">
        <f>IF($H143="","",INDEX(Registro!$K$2:$K$501,$H143))</f>
      </c>
      <c r="D143" s="6">
        <f>IF($H143="","",INDEX(Registro!$M$2:$M$501,$H143))</f>
      </c>
      <c r="E143" s="6">
        <f>IF($H143="","",INDEX(Registro!$N$2:$N$501,$H143))</f>
      </c>
      <c r="F143" s="6">
        <f>IF($H143="","",INDEX(Registro!$H$2:$H$501,$H143))</f>
      </c>
      <c r="G143" s="6">
        <f>IF($H143="","",INDEX(Registro!$B$2:$B$501,$H143))</f>
      </c>
      <c r="H143" s="0">
        <f>IFERROR(MATCH(135,Registro!$AH$2:$AH$501,0),"")</f>
      </c>
    </row>
    <row r="144" spans="1:7">
      <c r="A144" s="6">
        <f>IF($H144="","",136)</f>
      </c>
      <c r="B144" s="6">
        <f>IF($H144="","",INDEX(Registro!$D$2:$D$501,$H144))</f>
      </c>
      <c r="C144" s="6">
        <f>IF($H144="","",INDEX(Registro!$K$2:$K$501,$H144))</f>
      </c>
      <c r="D144" s="6">
        <f>IF($H144="","",INDEX(Registro!$M$2:$M$501,$H144))</f>
      </c>
      <c r="E144" s="6">
        <f>IF($H144="","",INDEX(Registro!$N$2:$N$501,$H144))</f>
      </c>
      <c r="F144" s="6">
        <f>IF($H144="","",INDEX(Registro!$H$2:$H$501,$H144))</f>
      </c>
      <c r="G144" s="6">
        <f>IF($H144="","",INDEX(Registro!$B$2:$B$501,$H144))</f>
      </c>
      <c r="H144" s="0">
        <f>IFERROR(MATCH(136,Registro!$AH$2:$AH$501,0),"")</f>
      </c>
    </row>
    <row r="145" spans="1:7">
      <c r="A145" s="6">
        <f>IF($H145="","",137)</f>
      </c>
      <c r="B145" s="6">
        <f>IF($H145="","",INDEX(Registro!$D$2:$D$501,$H145))</f>
      </c>
      <c r="C145" s="6">
        <f>IF($H145="","",INDEX(Registro!$K$2:$K$501,$H145))</f>
      </c>
      <c r="D145" s="6">
        <f>IF($H145="","",INDEX(Registro!$M$2:$M$501,$H145))</f>
      </c>
      <c r="E145" s="6">
        <f>IF($H145="","",INDEX(Registro!$N$2:$N$501,$H145))</f>
      </c>
      <c r="F145" s="6">
        <f>IF($H145="","",INDEX(Registro!$H$2:$H$501,$H145))</f>
      </c>
      <c r="G145" s="6">
        <f>IF($H145="","",INDEX(Registro!$B$2:$B$501,$H145))</f>
      </c>
      <c r="H145" s="0">
        <f>IFERROR(MATCH(137,Registro!$AH$2:$AH$501,0),"")</f>
      </c>
    </row>
    <row r="146" spans="1:7">
      <c r="A146" s="6">
        <f>IF($H146="","",138)</f>
      </c>
      <c r="B146" s="6">
        <f>IF($H146="","",INDEX(Registro!$D$2:$D$501,$H146))</f>
      </c>
      <c r="C146" s="6">
        <f>IF($H146="","",INDEX(Registro!$K$2:$K$501,$H146))</f>
      </c>
      <c r="D146" s="6">
        <f>IF($H146="","",INDEX(Registro!$M$2:$M$501,$H146))</f>
      </c>
      <c r="E146" s="6">
        <f>IF($H146="","",INDEX(Registro!$N$2:$N$501,$H146))</f>
      </c>
      <c r="F146" s="6">
        <f>IF($H146="","",INDEX(Registro!$H$2:$H$501,$H146))</f>
      </c>
      <c r="G146" s="6">
        <f>IF($H146="","",INDEX(Registro!$B$2:$B$501,$H146))</f>
      </c>
      <c r="H146" s="0">
        <f>IFERROR(MATCH(138,Registro!$AH$2:$AH$501,0),"")</f>
      </c>
    </row>
    <row r="147" spans="1:7">
      <c r="A147" s="6">
        <f>IF($H147="","",139)</f>
      </c>
      <c r="B147" s="6">
        <f>IF($H147="","",INDEX(Registro!$D$2:$D$501,$H147))</f>
      </c>
      <c r="C147" s="6">
        <f>IF($H147="","",INDEX(Registro!$K$2:$K$501,$H147))</f>
      </c>
      <c r="D147" s="6">
        <f>IF($H147="","",INDEX(Registro!$M$2:$M$501,$H147))</f>
      </c>
      <c r="E147" s="6">
        <f>IF($H147="","",INDEX(Registro!$N$2:$N$501,$H147))</f>
      </c>
      <c r="F147" s="6">
        <f>IF($H147="","",INDEX(Registro!$H$2:$H$501,$H147))</f>
      </c>
      <c r="G147" s="6">
        <f>IF($H147="","",INDEX(Registro!$B$2:$B$501,$H147))</f>
      </c>
      <c r="H147" s="0">
        <f>IFERROR(MATCH(139,Registro!$AH$2:$AH$501,0),"")</f>
      </c>
    </row>
    <row r="148" spans="1:7">
      <c r="A148" s="6">
        <f>IF($H148="","",140)</f>
      </c>
      <c r="B148" s="6">
        <f>IF($H148="","",INDEX(Registro!$D$2:$D$501,$H148))</f>
      </c>
      <c r="C148" s="6">
        <f>IF($H148="","",INDEX(Registro!$K$2:$K$501,$H148))</f>
      </c>
      <c r="D148" s="6">
        <f>IF($H148="","",INDEX(Registro!$M$2:$M$501,$H148))</f>
      </c>
      <c r="E148" s="6">
        <f>IF($H148="","",INDEX(Registro!$N$2:$N$501,$H148))</f>
      </c>
      <c r="F148" s="6">
        <f>IF($H148="","",INDEX(Registro!$H$2:$H$501,$H148))</f>
      </c>
      <c r="G148" s="6">
        <f>IF($H148="","",INDEX(Registro!$B$2:$B$501,$H148))</f>
      </c>
      <c r="H148" s="0">
        <f>IFERROR(MATCH(140,Registro!$AH$2:$AH$501,0),"")</f>
      </c>
    </row>
    <row r="149" spans="1:7">
      <c r="A149" s="6">
        <f>IF($H149="","",141)</f>
      </c>
      <c r="B149" s="6">
        <f>IF($H149="","",INDEX(Registro!$D$2:$D$501,$H149))</f>
      </c>
      <c r="C149" s="6">
        <f>IF($H149="","",INDEX(Registro!$K$2:$K$501,$H149))</f>
      </c>
      <c r="D149" s="6">
        <f>IF($H149="","",INDEX(Registro!$M$2:$M$501,$H149))</f>
      </c>
      <c r="E149" s="6">
        <f>IF($H149="","",INDEX(Registro!$N$2:$N$501,$H149))</f>
      </c>
      <c r="F149" s="6">
        <f>IF($H149="","",INDEX(Registro!$H$2:$H$501,$H149))</f>
      </c>
      <c r="G149" s="6">
        <f>IF($H149="","",INDEX(Registro!$B$2:$B$501,$H149))</f>
      </c>
      <c r="H149" s="0">
        <f>IFERROR(MATCH(141,Registro!$AH$2:$AH$501,0),"")</f>
      </c>
    </row>
    <row r="150" spans="1:7">
      <c r="A150" s="6">
        <f>IF($H150="","",142)</f>
      </c>
      <c r="B150" s="6">
        <f>IF($H150="","",INDEX(Registro!$D$2:$D$501,$H150))</f>
      </c>
      <c r="C150" s="6">
        <f>IF($H150="","",INDEX(Registro!$K$2:$K$501,$H150))</f>
      </c>
      <c r="D150" s="6">
        <f>IF($H150="","",INDEX(Registro!$M$2:$M$501,$H150))</f>
      </c>
      <c r="E150" s="6">
        <f>IF($H150="","",INDEX(Registro!$N$2:$N$501,$H150))</f>
      </c>
      <c r="F150" s="6">
        <f>IF($H150="","",INDEX(Registro!$H$2:$H$501,$H150))</f>
      </c>
      <c r="G150" s="6">
        <f>IF($H150="","",INDEX(Registro!$B$2:$B$501,$H150))</f>
      </c>
      <c r="H150" s="0">
        <f>IFERROR(MATCH(142,Registro!$AH$2:$AH$501,0),"")</f>
      </c>
    </row>
    <row r="151" spans="1:7">
      <c r="A151" s="6">
        <f>IF($H151="","",143)</f>
      </c>
      <c r="B151" s="6">
        <f>IF($H151="","",INDEX(Registro!$D$2:$D$501,$H151))</f>
      </c>
      <c r="C151" s="6">
        <f>IF($H151="","",INDEX(Registro!$K$2:$K$501,$H151))</f>
      </c>
      <c r="D151" s="6">
        <f>IF($H151="","",INDEX(Registro!$M$2:$M$501,$H151))</f>
      </c>
      <c r="E151" s="6">
        <f>IF($H151="","",INDEX(Registro!$N$2:$N$501,$H151))</f>
      </c>
      <c r="F151" s="6">
        <f>IF($H151="","",INDEX(Registro!$H$2:$H$501,$H151))</f>
      </c>
      <c r="G151" s="6">
        <f>IF($H151="","",INDEX(Registro!$B$2:$B$501,$H151))</f>
      </c>
      <c r="H151" s="0">
        <f>IFERROR(MATCH(143,Registro!$AH$2:$AH$501,0),"")</f>
      </c>
    </row>
    <row r="152" spans="1:7">
      <c r="A152" s="6">
        <f>IF($H152="","",144)</f>
      </c>
      <c r="B152" s="6">
        <f>IF($H152="","",INDEX(Registro!$D$2:$D$501,$H152))</f>
      </c>
      <c r="C152" s="6">
        <f>IF($H152="","",INDEX(Registro!$K$2:$K$501,$H152))</f>
      </c>
      <c r="D152" s="6">
        <f>IF($H152="","",INDEX(Registro!$M$2:$M$501,$H152))</f>
      </c>
      <c r="E152" s="6">
        <f>IF($H152="","",INDEX(Registro!$N$2:$N$501,$H152))</f>
      </c>
      <c r="F152" s="6">
        <f>IF($H152="","",INDEX(Registro!$H$2:$H$501,$H152))</f>
      </c>
      <c r="G152" s="6">
        <f>IF($H152="","",INDEX(Registro!$B$2:$B$501,$H152))</f>
      </c>
      <c r="H152" s="0">
        <f>IFERROR(MATCH(144,Registro!$AH$2:$AH$501,0),"")</f>
      </c>
    </row>
    <row r="153" spans="1:7">
      <c r="A153" s="6">
        <f>IF($H153="","",145)</f>
      </c>
      <c r="B153" s="6">
        <f>IF($H153="","",INDEX(Registro!$D$2:$D$501,$H153))</f>
      </c>
      <c r="C153" s="6">
        <f>IF($H153="","",INDEX(Registro!$K$2:$K$501,$H153))</f>
      </c>
      <c r="D153" s="6">
        <f>IF($H153="","",INDEX(Registro!$M$2:$M$501,$H153))</f>
      </c>
      <c r="E153" s="6">
        <f>IF($H153="","",INDEX(Registro!$N$2:$N$501,$H153))</f>
      </c>
      <c r="F153" s="6">
        <f>IF($H153="","",INDEX(Registro!$H$2:$H$501,$H153))</f>
      </c>
      <c r="G153" s="6">
        <f>IF($H153="","",INDEX(Registro!$B$2:$B$501,$H153))</f>
      </c>
      <c r="H153" s="0">
        <f>IFERROR(MATCH(145,Registro!$AH$2:$AH$501,0),"")</f>
      </c>
    </row>
    <row r="154" spans="1:7">
      <c r="A154" s="6">
        <f>IF($H154="","",146)</f>
      </c>
      <c r="B154" s="6">
        <f>IF($H154="","",INDEX(Registro!$D$2:$D$501,$H154))</f>
      </c>
      <c r="C154" s="6">
        <f>IF($H154="","",INDEX(Registro!$K$2:$K$501,$H154))</f>
      </c>
      <c r="D154" s="6">
        <f>IF($H154="","",INDEX(Registro!$M$2:$M$501,$H154))</f>
      </c>
      <c r="E154" s="6">
        <f>IF($H154="","",INDEX(Registro!$N$2:$N$501,$H154))</f>
      </c>
      <c r="F154" s="6">
        <f>IF($H154="","",INDEX(Registro!$H$2:$H$501,$H154))</f>
      </c>
      <c r="G154" s="6">
        <f>IF($H154="","",INDEX(Registro!$B$2:$B$501,$H154))</f>
      </c>
      <c r="H154" s="0">
        <f>IFERROR(MATCH(146,Registro!$AH$2:$AH$501,0),"")</f>
      </c>
    </row>
    <row r="155" spans="1:7">
      <c r="A155" s="6">
        <f>IF($H155="","",147)</f>
      </c>
      <c r="B155" s="6">
        <f>IF($H155="","",INDEX(Registro!$D$2:$D$501,$H155))</f>
      </c>
      <c r="C155" s="6">
        <f>IF($H155="","",INDEX(Registro!$K$2:$K$501,$H155))</f>
      </c>
      <c r="D155" s="6">
        <f>IF($H155="","",INDEX(Registro!$M$2:$M$501,$H155))</f>
      </c>
      <c r="E155" s="6">
        <f>IF($H155="","",INDEX(Registro!$N$2:$N$501,$H155))</f>
      </c>
      <c r="F155" s="6">
        <f>IF($H155="","",INDEX(Registro!$H$2:$H$501,$H155))</f>
      </c>
      <c r="G155" s="6">
        <f>IF($H155="","",INDEX(Registro!$B$2:$B$501,$H155))</f>
      </c>
      <c r="H155" s="0">
        <f>IFERROR(MATCH(147,Registro!$AH$2:$AH$501,0),"")</f>
      </c>
    </row>
    <row r="156" spans="1:7">
      <c r="A156" s="6">
        <f>IF($H156="","",148)</f>
      </c>
      <c r="B156" s="6">
        <f>IF($H156="","",INDEX(Registro!$D$2:$D$501,$H156))</f>
      </c>
      <c r="C156" s="6">
        <f>IF($H156="","",INDEX(Registro!$K$2:$K$501,$H156))</f>
      </c>
      <c r="D156" s="6">
        <f>IF($H156="","",INDEX(Registro!$M$2:$M$501,$H156))</f>
      </c>
      <c r="E156" s="6">
        <f>IF($H156="","",INDEX(Registro!$N$2:$N$501,$H156))</f>
      </c>
      <c r="F156" s="6">
        <f>IF($H156="","",INDEX(Registro!$H$2:$H$501,$H156))</f>
      </c>
      <c r="G156" s="6">
        <f>IF($H156="","",INDEX(Registro!$B$2:$B$501,$H156))</f>
      </c>
      <c r="H156" s="0">
        <f>IFERROR(MATCH(148,Registro!$AH$2:$AH$501,0),"")</f>
      </c>
    </row>
    <row r="157" spans="1:7">
      <c r="A157" s="6">
        <f>IF($H157="","",149)</f>
      </c>
      <c r="B157" s="6">
        <f>IF($H157="","",INDEX(Registro!$D$2:$D$501,$H157))</f>
      </c>
      <c r="C157" s="6">
        <f>IF($H157="","",INDEX(Registro!$K$2:$K$501,$H157))</f>
      </c>
      <c r="D157" s="6">
        <f>IF($H157="","",INDEX(Registro!$M$2:$M$501,$H157))</f>
      </c>
      <c r="E157" s="6">
        <f>IF($H157="","",INDEX(Registro!$N$2:$N$501,$H157))</f>
      </c>
      <c r="F157" s="6">
        <f>IF($H157="","",INDEX(Registro!$H$2:$H$501,$H157))</f>
      </c>
      <c r="G157" s="6">
        <f>IF($H157="","",INDEX(Registro!$B$2:$B$501,$H157))</f>
      </c>
      <c r="H157" s="0">
        <f>IFERROR(MATCH(149,Registro!$AH$2:$AH$501,0),"")</f>
      </c>
    </row>
    <row r="158" spans="1:7">
      <c r="A158" s="6">
        <f>IF($H158="","",150)</f>
      </c>
      <c r="B158" s="6">
        <f>IF($H158="","",INDEX(Registro!$D$2:$D$501,$H158))</f>
      </c>
      <c r="C158" s="6">
        <f>IF($H158="","",INDEX(Registro!$K$2:$K$501,$H158))</f>
      </c>
      <c r="D158" s="6">
        <f>IF($H158="","",INDEX(Registro!$M$2:$M$501,$H158))</f>
      </c>
      <c r="E158" s="6">
        <f>IF($H158="","",INDEX(Registro!$N$2:$N$501,$H158))</f>
      </c>
      <c r="F158" s="6">
        <f>IF($H158="","",INDEX(Registro!$H$2:$H$501,$H158))</f>
      </c>
      <c r="G158" s="6">
        <f>IF($H158="","",INDEX(Registro!$B$2:$B$501,$H158))</f>
      </c>
      <c r="H158" s="0">
        <f>IFERROR(MATCH(150,Registro!$AH$2:$AH$501,0),"")</f>
      </c>
    </row>
    <row r="159" spans="1:7" ht="22" customHeight="1">
      <c r="A159" s="7">
        <f>IF(COUNT(Registro!$AH$2:$AH$501)&gt;150,"Hay "&amp;(COUNT(Registro!$AH$2:$AH$501)-150)&amp;" filas más que no caben en este informe. Avisa para ampliarlo.","")</f>
      </c>
      <c r="B159" s="7"/>
      <c r="C159" s="7"/>
      <c r="D159" s="7"/>
      <c r="E159" s="7"/>
      <c r="F159" s="7"/>
      <c r="G159" s="7"/>
    </row>
  </sheetData>
  <sheetProtection sheet="1" objects="1" scenarios="1" formatCells="1" formatColumns="1" formatRows="1" insertColumns="1" insertRows="1" insertHyperlinks="1" deleteColumns="1" deleteRows="1" sort="1" autoFilter="0" pivotTables="1" selectLockedCells="0" selectUnlockedCells="0"/>
  <mergeCells count="6">
    <mergeCell ref="A4:C4"/>
    <mergeCell ref="A5:C5"/>
    <mergeCell ref="A6:C6"/>
    <mergeCell ref="A1:G1"/>
    <mergeCell ref="A2:G2"/>
    <mergeCell ref="A159:G159"/>
  </mergeCells>
  <printOptions horizontalCentered="1"/>
  <pageMargins left="0.4" right="0.4" top="0.6" bottom="0.6" header="0.3" footer="0.3"/>
  <pageSetup paperSize="9" orientation="landscape" fitToWidth="1" fitToHeight="0" horizontalDpi="300" verticalDpi="300"/>
  <headerFooter>
    <oddFooter>&amp;L&amp;"Arial,Regular"&amp;8HORAS LIBRES SIN NINGÚN USO&amp;C&amp;"Arial,Regular"&amp;8&amp;D&amp;R&amp;"Arial,Regular"&amp;8Página &amp;P de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G173"/>
  <sheetViews>
    <sheetView showGridLines="0" workbookViewId="0">
      <pane ySplit="3" topLeftCell="A4" activePane="bottomLeft" state="frozen"/>
    </sheetView>
  </sheetViews>
  <sheetFormatPr baseColWidth="10" defaultRowHeight="16"/>
  <cols>
    <col min="1" max="1" width="6" customWidth="1"/>
    <col min="2" max="2" width="34" customWidth="1"/>
    <col min="3" max="3" width="26" customWidth="1"/>
    <col min="4" max="4" width="20" customWidth="1"/>
    <col min="5" max="5" width="16" customWidth="1"/>
    <col min="6" max="6" width="34" customWidth="1"/>
    <col min="7" max="7" width="9" hidden="1" customWidth="1"/>
  </cols>
  <sheetData>
    <row r="1" spans="1:6" ht="30" customHeight="1">
      <c r="A1" s="46" t="inlineStr">
        <is>
          <t xml:space="preserve">REFUERZOS DEL CENTRO</t>
        </is>
      </c>
      <c r="B1" s="46"/>
      <c r="C1" s="46"/>
      <c r="D1" s="46"/>
      <c r="E1" s="46"/>
      <c r="F1" s="46"/>
    </row>
    <row r="2" spans="1:6" ht="20" customHeight="1">
      <c r="A2" s="7">
        <f>"Centro: "&amp;IF(Portada!$B$4="","(sin indicar)",Portada!$B$4)&amp;"      ·      Código: "&amp;IF(Portada!$B$5="","(sin indicar)",Portada!$B$5)&amp;"      ·      Curso "&amp;Portada!$B$6</f>
      </c>
      <c r="B2" s="7"/>
      <c r="C2" s="7"/>
      <c r="D2" s="7"/>
      <c r="E2" s="7"/>
      <c r="F2" s="7"/>
    </row>
    <row r="4" spans="1:6" ht="18" customHeight="1">
      <c r="A4" s="10" t="inlineStr">
        <is>
          <t xml:space="preserve">Total de refuerzos activos:</t>
        </is>
      </c>
      <c r="D4" s="11">
        <f>COUNT(Registro!$AG$2:$AG$501)+COUNT('Registro Refuerzo'!$L$2:$L$201)</f>
      </c>
    </row>
    <row r="5" spans="1:6" ht="18" customHeight="1">
      <c r="A5" s="10" t="inlineStr">
        <is>
          <t xml:space="preserve">De ellos, horas completas:</t>
        </is>
      </c>
      <c r="D5" s="11">
        <f>COUNTIFS(Registro!$O$2:$O$501,"Sí",Registro!$N$2:$N$501,"1 hora")</f>
      </c>
    </row>
    <row r="6" spans="1:6" ht="18" customHeight="1">
      <c r="A6" s="10" t="inlineStr">
        <is>
          <t xml:space="preserve">De ellos, medias horas:</t>
        </is>
      </c>
      <c r="D6" s="11">
        <f>COUNTIFS(Registro!$O$2:$O$501,"Sí",Registro!$N$2:$N$501,"30 minutos")</f>
      </c>
    </row>
    <row r="8" spans="1:6" ht="26" customHeight="1">
      <c r="A8" s="51" t="inlineStr">
        <is>
          <t xml:space="preserve">REFUERZOS QUE SALEN DE UNA VACANTE</t>
        </is>
      </c>
      <c r="B8" s="51"/>
      <c r="C8" s="51"/>
      <c r="D8" s="51"/>
      <c r="E8" s="51"/>
      <c r="F8" s="51"/>
    </row>
    <row r="9" spans="1:6" ht="30" customHeight="1">
      <c r="A9" s="3" t="inlineStr">
        <is>
          <t xml:space="preserve">Nº</t>
        </is>
      </c>
      <c r="B9" s="3" t="inlineStr">
        <is>
          <t xml:space="preserve">Especialidad</t>
        </is>
      </c>
      <c r="C9" s="3" t="inlineStr">
        <is>
          <t xml:space="preserve">Docente</t>
        </is>
      </c>
      <c r="D9" s="3" t="inlineStr">
        <is>
          <t xml:space="preserve">Horario</t>
        </is>
      </c>
      <c r="E9" s="3" t="inlineStr">
        <is>
          <t xml:space="preserve">Duración</t>
        </is>
      </c>
      <c r="F9" s="3" t="inlineStr">
        <is>
          <t xml:space="preserve">Detalle</t>
        </is>
      </c>
    </row>
    <row r="10" spans="1:6">
      <c r="A10" s="6">
        <f>IF($G10="","",1)</f>
      </c>
      <c r="B10" s="6">
        <f>IF($G10="","",INDEX(Registro!$D$2:$D$501,$G10))</f>
      </c>
      <c r="C10" s="6">
        <f>IF($G10="","",INDEX(Registro!$K$2:$K$501,$G10))</f>
      </c>
      <c r="D10" s="6">
        <f>IF($G10="","",INDEX(Registro!$M$2:$M$501,$G10))</f>
      </c>
      <c r="E10" s="6">
        <f>IF($G10="","",INDEX(Registro!$N$2:$N$501,$G10))</f>
      </c>
      <c r="F10" s="6">
        <f>IF($G10="","",INDEX(Registro!$P$2:$P$501,$G10))</f>
      </c>
      <c r="G10" s="0">
        <f>IFERROR(MATCH(1,Registro!$AG$2:$AG$501,0),"")</f>
      </c>
    </row>
    <row r="11" spans="1:6">
      <c r="A11" s="6">
        <f>IF($G11="","",2)</f>
      </c>
      <c r="B11" s="6">
        <f>IF($G11="","",INDEX(Registro!$D$2:$D$501,$G11))</f>
      </c>
      <c r="C11" s="6">
        <f>IF($G11="","",INDEX(Registro!$K$2:$K$501,$G11))</f>
      </c>
      <c r="D11" s="6">
        <f>IF($G11="","",INDEX(Registro!$M$2:$M$501,$G11))</f>
      </c>
      <c r="E11" s="6">
        <f>IF($G11="","",INDEX(Registro!$N$2:$N$501,$G11))</f>
      </c>
      <c r="F11" s="6">
        <f>IF($G11="","",INDEX(Registro!$P$2:$P$501,$G11))</f>
      </c>
      <c r="G11" s="0">
        <f>IFERROR(MATCH(2,Registro!$AG$2:$AG$501,0),"")</f>
      </c>
    </row>
    <row r="12" spans="1:6">
      <c r="A12" s="6">
        <f>IF($G12="","",3)</f>
      </c>
      <c r="B12" s="6">
        <f>IF($G12="","",INDEX(Registro!$D$2:$D$501,$G12))</f>
      </c>
      <c r="C12" s="6">
        <f>IF($G12="","",INDEX(Registro!$K$2:$K$501,$G12))</f>
      </c>
      <c r="D12" s="6">
        <f>IF($G12="","",INDEX(Registro!$M$2:$M$501,$G12))</f>
      </c>
      <c r="E12" s="6">
        <f>IF($G12="","",INDEX(Registro!$N$2:$N$501,$G12))</f>
      </c>
      <c r="F12" s="6">
        <f>IF($G12="","",INDEX(Registro!$P$2:$P$501,$G12))</f>
      </c>
      <c r="G12" s="0">
        <f>IFERROR(MATCH(3,Registro!$AG$2:$AG$501,0),"")</f>
      </c>
    </row>
    <row r="13" spans="1:6">
      <c r="A13" s="6">
        <f>IF($G13="","",4)</f>
      </c>
      <c r="B13" s="6">
        <f>IF($G13="","",INDEX(Registro!$D$2:$D$501,$G13))</f>
      </c>
      <c r="C13" s="6">
        <f>IF($G13="","",INDEX(Registro!$K$2:$K$501,$G13))</f>
      </c>
      <c r="D13" s="6">
        <f>IF($G13="","",INDEX(Registro!$M$2:$M$501,$G13))</f>
      </c>
      <c r="E13" s="6">
        <f>IF($G13="","",INDEX(Registro!$N$2:$N$501,$G13))</f>
      </c>
      <c r="F13" s="6">
        <f>IF($G13="","",INDEX(Registro!$P$2:$P$501,$G13))</f>
      </c>
      <c r="G13" s="0">
        <f>IFERROR(MATCH(4,Registro!$AG$2:$AG$501,0),"")</f>
      </c>
    </row>
    <row r="14" spans="1:6">
      <c r="A14" s="6">
        <f>IF($G14="","",5)</f>
      </c>
      <c r="B14" s="6">
        <f>IF($G14="","",INDEX(Registro!$D$2:$D$501,$G14))</f>
      </c>
      <c r="C14" s="6">
        <f>IF($G14="","",INDEX(Registro!$K$2:$K$501,$G14))</f>
      </c>
      <c r="D14" s="6">
        <f>IF($G14="","",INDEX(Registro!$M$2:$M$501,$G14))</f>
      </c>
      <c r="E14" s="6">
        <f>IF($G14="","",INDEX(Registro!$N$2:$N$501,$G14))</f>
      </c>
      <c r="F14" s="6">
        <f>IF($G14="","",INDEX(Registro!$P$2:$P$501,$G14))</f>
      </c>
      <c r="G14" s="0">
        <f>IFERROR(MATCH(5,Registro!$AG$2:$AG$501,0),"")</f>
      </c>
    </row>
    <row r="15" spans="1:6">
      <c r="A15" s="6">
        <f>IF($G15="","",6)</f>
      </c>
      <c r="B15" s="6">
        <f>IF($G15="","",INDEX(Registro!$D$2:$D$501,$G15))</f>
      </c>
      <c r="C15" s="6">
        <f>IF($G15="","",INDEX(Registro!$K$2:$K$501,$G15))</f>
      </c>
      <c r="D15" s="6">
        <f>IF($G15="","",INDEX(Registro!$M$2:$M$501,$G15))</f>
      </c>
      <c r="E15" s="6">
        <f>IF($G15="","",INDEX(Registro!$N$2:$N$501,$G15))</f>
      </c>
      <c r="F15" s="6">
        <f>IF($G15="","",INDEX(Registro!$P$2:$P$501,$G15))</f>
      </c>
      <c r="G15" s="0">
        <f>IFERROR(MATCH(6,Registro!$AG$2:$AG$501,0),"")</f>
      </c>
    </row>
    <row r="16" spans="1:6">
      <c r="A16" s="6">
        <f>IF($G16="","",7)</f>
      </c>
      <c r="B16" s="6">
        <f>IF($G16="","",INDEX(Registro!$D$2:$D$501,$G16))</f>
      </c>
      <c r="C16" s="6">
        <f>IF($G16="","",INDEX(Registro!$K$2:$K$501,$G16))</f>
      </c>
      <c r="D16" s="6">
        <f>IF($G16="","",INDEX(Registro!$M$2:$M$501,$G16))</f>
      </c>
      <c r="E16" s="6">
        <f>IF($G16="","",INDEX(Registro!$N$2:$N$501,$G16))</f>
      </c>
      <c r="F16" s="6">
        <f>IF($G16="","",INDEX(Registro!$P$2:$P$501,$G16))</f>
      </c>
      <c r="G16" s="0">
        <f>IFERROR(MATCH(7,Registro!$AG$2:$AG$501,0),"")</f>
      </c>
    </row>
    <row r="17" spans="1:6">
      <c r="A17" s="6">
        <f>IF($G17="","",8)</f>
      </c>
      <c r="B17" s="6">
        <f>IF($G17="","",INDEX(Registro!$D$2:$D$501,$G17))</f>
      </c>
      <c r="C17" s="6">
        <f>IF($G17="","",INDEX(Registro!$K$2:$K$501,$G17))</f>
      </c>
      <c r="D17" s="6">
        <f>IF($G17="","",INDEX(Registro!$M$2:$M$501,$G17))</f>
      </c>
      <c r="E17" s="6">
        <f>IF($G17="","",INDEX(Registro!$N$2:$N$501,$G17))</f>
      </c>
      <c r="F17" s="6">
        <f>IF($G17="","",INDEX(Registro!$P$2:$P$501,$G17))</f>
      </c>
      <c r="G17" s="0">
        <f>IFERROR(MATCH(8,Registro!$AG$2:$AG$501,0),"")</f>
      </c>
    </row>
    <row r="18" spans="1:6">
      <c r="A18" s="6">
        <f>IF($G18="","",9)</f>
      </c>
      <c r="B18" s="6">
        <f>IF($G18="","",INDEX(Registro!$D$2:$D$501,$G18))</f>
      </c>
      <c r="C18" s="6">
        <f>IF($G18="","",INDEX(Registro!$K$2:$K$501,$G18))</f>
      </c>
      <c r="D18" s="6">
        <f>IF($G18="","",INDEX(Registro!$M$2:$M$501,$G18))</f>
      </c>
      <c r="E18" s="6">
        <f>IF($G18="","",INDEX(Registro!$N$2:$N$501,$G18))</f>
      </c>
      <c r="F18" s="6">
        <f>IF($G18="","",INDEX(Registro!$P$2:$P$501,$G18))</f>
      </c>
      <c r="G18" s="0">
        <f>IFERROR(MATCH(9,Registro!$AG$2:$AG$501,0),"")</f>
      </c>
    </row>
    <row r="19" spans="1:6">
      <c r="A19" s="6">
        <f>IF($G19="","",10)</f>
      </c>
      <c r="B19" s="6">
        <f>IF($G19="","",INDEX(Registro!$D$2:$D$501,$G19))</f>
      </c>
      <c r="C19" s="6">
        <f>IF($G19="","",INDEX(Registro!$K$2:$K$501,$G19))</f>
      </c>
      <c r="D19" s="6">
        <f>IF($G19="","",INDEX(Registro!$M$2:$M$501,$G19))</f>
      </c>
      <c r="E19" s="6">
        <f>IF($G19="","",INDEX(Registro!$N$2:$N$501,$G19))</f>
      </c>
      <c r="F19" s="6">
        <f>IF($G19="","",INDEX(Registro!$P$2:$P$501,$G19))</f>
      </c>
      <c r="G19" s="0">
        <f>IFERROR(MATCH(10,Registro!$AG$2:$AG$501,0),"")</f>
      </c>
    </row>
    <row r="20" spans="1:6">
      <c r="A20" s="6">
        <f>IF($G20="","",11)</f>
      </c>
      <c r="B20" s="6">
        <f>IF($G20="","",INDEX(Registro!$D$2:$D$501,$G20))</f>
      </c>
      <c r="C20" s="6">
        <f>IF($G20="","",INDEX(Registro!$K$2:$K$501,$G20))</f>
      </c>
      <c r="D20" s="6">
        <f>IF($G20="","",INDEX(Registro!$M$2:$M$501,$G20))</f>
      </c>
      <c r="E20" s="6">
        <f>IF($G20="","",INDEX(Registro!$N$2:$N$501,$G20))</f>
      </c>
      <c r="F20" s="6">
        <f>IF($G20="","",INDEX(Registro!$P$2:$P$501,$G20))</f>
      </c>
      <c r="G20" s="0">
        <f>IFERROR(MATCH(11,Registro!$AG$2:$AG$501,0),"")</f>
      </c>
    </row>
    <row r="21" spans="1:6">
      <c r="A21" s="6">
        <f>IF($G21="","",12)</f>
      </c>
      <c r="B21" s="6">
        <f>IF($G21="","",INDEX(Registro!$D$2:$D$501,$G21))</f>
      </c>
      <c r="C21" s="6">
        <f>IF($G21="","",INDEX(Registro!$K$2:$K$501,$G21))</f>
      </c>
      <c r="D21" s="6">
        <f>IF($G21="","",INDEX(Registro!$M$2:$M$501,$G21))</f>
      </c>
      <c r="E21" s="6">
        <f>IF($G21="","",INDEX(Registro!$N$2:$N$501,$G21))</f>
      </c>
      <c r="F21" s="6">
        <f>IF($G21="","",INDEX(Registro!$P$2:$P$501,$G21))</f>
      </c>
      <c r="G21" s="0">
        <f>IFERROR(MATCH(12,Registro!$AG$2:$AG$501,0),"")</f>
      </c>
    </row>
    <row r="22" spans="1:6">
      <c r="A22" s="6">
        <f>IF($G22="","",13)</f>
      </c>
      <c r="B22" s="6">
        <f>IF($G22="","",INDEX(Registro!$D$2:$D$501,$G22))</f>
      </c>
      <c r="C22" s="6">
        <f>IF($G22="","",INDEX(Registro!$K$2:$K$501,$G22))</f>
      </c>
      <c r="D22" s="6">
        <f>IF($G22="","",INDEX(Registro!$M$2:$M$501,$G22))</f>
      </c>
      <c r="E22" s="6">
        <f>IF($G22="","",INDEX(Registro!$N$2:$N$501,$G22))</f>
      </c>
      <c r="F22" s="6">
        <f>IF($G22="","",INDEX(Registro!$P$2:$P$501,$G22))</f>
      </c>
      <c r="G22" s="0">
        <f>IFERROR(MATCH(13,Registro!$AG$2:$AG$501,0),"")</f>
      </c>
    </row>
    <row r="23" spans="1:6">
      <c r="A23" s="6">
        <f>IF($G23="","",14)</f>
      </c>
      <c r="B23" s="6">
        <f>IF($G23="","",INDEX(Registro!$D$2:$D$501,$G23))</f>
      </c>
      <c r="C23" s="6">
        <f>IF($G23="","",INDEX(Registro!$K$2:$K$501,$G23))</f>
      </c>
      <c r="D23" s="6">
        <f>IF($G23="","",INDEX(Registro!$M$2:$M$501,$G23))</f>
      </c>
      <c r="E23" s="6">
        <f>IF($G23="","",INDEX(Registro!$N$2:$N$501,$G23))</f>
      </c>
      <c r="F23" s="6">
        <f>IF($G23="","",INDEX(Registro!$P$2:$P$501,$G23))</f>
      </c>
      <c r="G23" s="0">
        <f>IFERROR(MATCH(14,Registro!$AG$2:$AG$501,0),"")</f>
      </c>
    </row>
    <row r="24" spans="1:6">
      <c r="A24" s="6">
        <f>IF($G24="","",15)</f>
      </c>
      <c r="B24" s="6">
        <f>IF($G24="","",INDEX(Registro!$D$2:$D$501,$G24))</f>
      </c>
      <c r="C24" s="6">
        <f>IF($G24="","",INDEX(Registro!$K$2:$K$501,$G24))</f>
      </c>
      <c r="D24" s="6">
        <f>IF($G24="","",INDEX(Registro!$M$2:$M$501,$G24))</f>
      </c>
      <c r="E24" s="6">
        <f>IF($G24="","",INDEX(Registro!$N$2:$N$501,$G24))</f>
      </c>
      <c r="F24" s="6">
        <f>IF($G24="","",INDEX(Registro!$P$2:$P$501,$G24))</f>
      </c>
      <c r="G24" s="0">
        <f>IFERROR(MATCH(15,Registro!$AG$2:$AG$501,0),"")</f>
      </c>
    </row>
    <row r="25" spans="1:6">
      <c r="A25" s="6">
        <f>IF($G25="","",16)</f>
      </c>
      <c r="B25" s="6">
        <f>IF($G25="","",INDEX(Registro!$D$2:$D$501,$G25))</f>
      </c>
      <c r="C25" s="6">
        <f>IF($G25="","",INDEX(Registro!$K$2:$K$501,$G25))</f>
      </c>
      <c r="D25" s="6">
        <f>IF($G25="","",INDEX(Registro!$M$2:$M$501,$G25))</f>
      </c>
      <c r="E25" s="6">
        <f>IF($G25="","",INDEX(Registro!$N$2:$N$501,$G25))</f>
      </c>
      <c r="F25" s="6">
        <f>IF($G25="","",INDEX(Registro!$P$2:$P$501,$G25))</f>
      </c>
      <c r="G25" s="0">
        <f>IFERROR(MATCH(16,Registro!$AG$2:$AG$501,0),"")</f>
      </c>
    </row>
    <row r="26" spans="1:6">
      <c r="A26" s="6">
        <f>IF($G26="","",17)</f>
      </c>
      <c r="B26" s="6">
        <f>IF($G26="","",INDEX(Registro!$D$2:$D$501,$G26))</f>
      </c>
      <c r="C26" s="6">
        <f>IF($G26="","",INDEX(Registro!$K$2:$K$501,$G26))</f>
      </c>
      <c r="D26" s="6">
        <f>IF($G26="","",INDEX(Registro!$M$2:$M$501,$G26))</f>
      </c>
      <c r="E26" s="6">
        <f>IF($G26="","",INDEX(Registro!$N$2:$N$501,$G26))</f>
      </c>
      <c r="F26" s="6">
        <f>IF($G26="","",INDEX(Registro!$P$2:$P$501,$G26))</f>
      </c>
      <c r="G26" s="0">
        <f>IFERROR(MATCH(17,Registro!$AG$2:$AG$501,0),"")</f>
      </c>
    </row>
    <row r="27" spans="1:6">
      <c r="A27" s="6">
        <f>IF($G27="","",18)</f>
      </c>
      <c r="B27" s="6">
        <f>IF($G27="","",INDEX(Registro!$D$2:$D$501,$G27))</f>
      </c>
      <c r="C27" s="6">
        <f>IF($G27="","",INDEX(Registro!$K$2:$K$501,$G27))</f>
      </c>
      <c r="D27" s="6">
        <f>IF($G27="","",INDEX(Registro!$M$2:$M$501,$G27))</f>
      </c>
      <c r="E27" s="6">
        <f>IF($G27="","",INDEX(Registro!$N$2:$N$501,$G27))</f>
      </c>
      <c r="F27" s="6">
        <f>IF($G27="","",INDEX(Registro!$P$2:$P$501,$G27))</f>
      </c>
      <c r="G27" s="0">
        <f>IFERROR(MATCH(18,Registro!$AG$2:$AG$501,0),"")</f>
      </c>
    </row>
    <row r="28" spans="1:6">
      <c r="A28" s="6">
        <f>IF($G28="","",19)</f>
      </c>
      <c r="B28" s="6">
        <f>IF($G28="","",INDEX(Registro!$D$2:$D$501,$G28))</f>
      </c>
      <c r="C28" s="6">
        <f>IF($G28="","",INDEX(Registro!$K$2:$K$501,$G28))</f>
      </c>
      <c r="D28" s="6">
        <f>IF($G28="","",INDEX(Registro!$M$2:$M$501,$G28))</f>
      </c>
      <c r="E28" s="6">
        <f>IF($G28="","",INDEX(Registro!$N$2:$N$501,$G28))</f>
      </c>
      <c r="F28" s="6">
        <f>IF($G28="","",INDEX(Registro!$P$2:$P$501,$G28))</f>
      </c>
      <c r="G28" s="0">
        <f>IFERROR(MATCH(19,Registro!$AG$2:$AG$501,0),"")</f>
      </c>
    </row>
    <row r="29" spans="1:6">
      <c r="A29" s="6">
        <f>IF($G29="","",20)</f>
      </c>
      <c r="B29" s="6">
        <f>IF($G29="","",INDEX(Registro!$D$2:$D$501,$G29))</f>
      </c>
      <c r="C29" s="6">
        <f>IF($G29="","",INDEX(Registro!$K$2:$K$501,$G29))</f>
      </c>
      <c r="D29" s="6">
        <f>IF($G29="","",INDEX(Registro!$M$2:$M$501,$G29))</f>
      </c>
      <c r="E29" s="6">
        <f>IF($G29="","",INDEX(Registro!$N$2:$N$501,$G29))</f>
      </c>
      <c r="F29" s="6">
        <f>IF($G29="","",INDEX(Registro!$P$2:$P$501,$G29))</f>
      </c>
      <c r="G29" s="0">
        <f>IFERROR(MATCH(20,Registro!$AG$2:$AG$501,0),"")</f>
      </c>
    </row>
    <row r="30" spans="1:6">
      <c r="A30" s="6">
        <f>IF($G30="","",21)</f>
      </c>
      <c r="B30" s="6">
        <f>IF($G30="","",INDEX(Registro!$D$2:$D$501,$G30))</f>
      </c>
      <c r="C30" s="6">
        <f>IF($G30="","",INDEX(Registro!$K$2:$K$501,$G30))</f>
      </c>
      <c r="D30" s="6">
        <f>IF($G30="","",INDEX(Registro!$M$2:$M$501,$G30))</f>
      </c>
      <c r="E30" s="6">
        <f>IF($G30="","",INDEX(Registro!$N$2:$N$501,$G30))</f>
      </c>
      <c r="F30" s="6">
        <f>IF($G30="","",INDEX(Registro!$P$2:$P$501,$G30))</f>
      </c>
      <c r="G30" s="0">
        <f>IFERROR(MATCH(21,Registro!$AG$2:$AG$501,0),"")</f>
      </c>
    </row>
    <row r="31" spans="1:6">
      <c r="A31" s="6">
        <f>IF($G31="","",22)</f>
      </c>
      <c r="B31" s="6">
        <f>IF($G31="","",INDEX(Registro!$D$2:$D$501,$G31))</f>
      </c>
      <c r="C31" s="6">
        <f>IF($G31="","",INDEX(Registro!$K$2:$K$501,$G31))</f>
      </c>
      <c r="D31" s="6">
        <f>IF($G31="","",INDEX(Registro!$M$2:$M$501,$G31))</f>
      </c>
      <c r="E31" s="6">
        <f>IF($G31="","",INDEX(Registro!$N$2:$N$501,$G31))</f>
      </c>
      <c r="F31" s="6">
        <f>IF($G31="","",INDEX(Registro!$P$2:$P$501,$G31))</f>
      </c>
      <c r="G31" s="0">
        <f>IFERROR(MATCH(22,Registro!$AG$2:$AG$501,0),"")</f>
      </c>
    </row>
    <row r="32" spans="1:6">
      <c r="A32" s="6">
        <f>IF($G32="","",23)</f>
      </c>
      <c r="B32" s="6">
        <f>IF($G32="","",INDEX(Registro!$D$2:$D$501,$G32))</f>
      </c>
      <c r="C32" s="6">
        <f>IF($G32="","",INDEX(Registro!$K$2:$K$501,$G32))</f>
      </c>
      <c r="D32" s="6">
        <f>IF($G32="","",INDEX(Registro!$M$2:$M$501,$G32))</f>
      </c>
      <c r="E32" s="6">
        <f>IF($G32="","",INDEX(Registro!$N$2:$N$501,$G32))</f>
      </c>
      <c r="F32" s="6">
        <f>IF($G32="","",INDEX(Registro!$P$2:$P$501,$G32))</f>
      </c>
      <c r="G32" s="0">
        <f>IFERROR(MATCH(23,Registro!$AG$2:$AG$501,0),"")</f>
      </c>
    </row>
    <row r="33" spans="1:6">
      <c r="A33" s="6">
        <f>IF($G33="","",24)</f>
      </c>
      <c r="B33" s="6">
        <f>IF($G33="","",INDEX(Registro!$D$2:$D$501,$G33))</f>
      </c>
      <c r="C33" s="6">
        <f>IF($G33="","",INDEX(Registro!$K$2:$K$501,$G33))</f>
      </c>
      <c r="D33" s="6">
        <f>IF($G33="","",INDEX(Registro!$M$2:$M$501,$G33))</f>
      </c>
      <c r="E33" s="6">
        <f>IF($G33="","",INDEX(Registro!$N$2:$N$501,$G33))</f>
      </c>
      <c r="F33" s="6">
        <f>IF($G33="","",INDEX(Registro!$P$2:$P$501,$G33))</f>
      </c>
      <c r="G33" s="0">
        <f>IFERROR(MATCH(24,Registro!$AG$2:$AG$501,0),"")</f>
      </c>
    </row>
    <row r="34" spans="1:6">
      <c r="A34" s="6">
        <f>IF($G34="","",25)</f>
      </c>
      <c r="B34" s="6">
        <f>IF($G34="","",INDEX(Registro!$D$2:$D$501,$G34))</f>
      </c>
      <c r="C34" s="6">
        <f>IF($G34="","",INDEX(Registro!$K$2:$K$501,$G34))</f>
      </c>
      <c r="D34" s="6">
        <f>IF($G34="","",INDEX(Registro!$M$2:$M$501,$G34))</f>
      </c>
      <c r="E34" s="6">
        <f>IF($G34="","",INDEX(Registro!$N$2:$N$501,$G34))</f>
      </c>
      <c r="F34" s="6">
        <f>IF($G34="","",INDEX(Registro!$P$2:$P$501,$G34))</f>
      </c>
      <c r="G34" s="0">
        <f>IFERROR(MATCH(25,Registro!$AG$2:$AG$501,0),"")</f>
      </c>
    </row>
    <row r="35" spans="1:6">
      <c r="A35" s="6">
        <f>IF($G35="","",26)</f>
      </c>
      <c r="B35" s="6">
        <f>IF($G35="","",INDEX(Registro!$D$2:$D$501,$G35))</f>
      </c>
      <c r="C35" s="6">
        <f>IF($G35="","",INDEX(Registro!$K$2:$K$501,$G35))</f>
      </c>
      <c r="D35" s="6">
        <f>IF($G35="","",INDEX(Registro!$M$2:$M$501,$G35))</f>
      </c>
      <c r="E35" s="6">
        <f>IF($G35="","",INDEX(Registro!$N$2:$N$501,$G35))</f>
      </c>
      <c r="F35" s="6">
        <f>IF($G35="","",INDEX(Registro!$P$2:$P$501,$G35))</f>
      </c>
      <c r="G35" s="0">
        <f>IFERROR(MATCH(26,Registro!$AG$2:$AG$501,0),"")</f>
      </c>
    </row>
    <row r="36" spans="1:6">
      <c r="A36" s="6">
        <f>IF($G36="","",27)</f>
      </c>
      <c r="B36" s="6">
        <f>IF($G36="","",INDEX(Registro!$D$2:$D$501,$G36))</f>
      </c>
      <c r="C36" s="6">
        <f>IF($G36="","",INDEX(Registro!$K$2:$K$501,$G36))</f>
      </c>
      <c r="D36" s="6">
        <f>IF($G36="","",INDEX(Registro!$M$2:$M$501,$G36))</f>
      </c>
      <c r="E36" s="6">
        <f>IF($G36="","",INDEX(Registro!$N$2:$N$501,$G36))</f>
      </c>
      <c r="F36" s="6">
        <f>IF($G36="","",INDEX(Registro!$P$2:$P$501,$G36))</f>
      </c>
      <c r="G36" s="0">
        <f>IFERROR(MATCH(27,Registro!$AG$2:$AG$501,0),"")</f>
      </c>
    </row>
    <row r="37" spans="1:6">
      <c r="A37" s="6">
        <f>IF($G37="","",28)</f>
      </c>
      <c r="B37" s="6">
        <f>IF($G37="","",INDEX(Registro!$D$2:$D$501,$G37))</f>
      </c>
      <c r="C37" s="6">
        <f>IF($G37="","",INDEX(Registro!$K$2:$K$501,$G37))</f>
      </c>
      <c r="D37" s="6">
        <f>IF($G37="","",INDEX(Registro!$M$2:$M$501,$G37))</f>
      </c>
      <c r="E37" s="6">
        <f>IF($G37="","",INDEX(Registro!$N$2:$N$501,$G37))</f>
      </c>
      <c r="F37" s="6">
        <f>IF($G37="","",INDEX(Registro!$P$2:$P$501,$G37))</f>
      </c>
      <c r="G37" s="0">
        <f>IFERROR(MATCH(28,Registro!$AG$2:$AG$501,0),"")</f>
      </c>
    </row>
    <row r="38" spans="1:6">
      <c r="A38" s="6">
        <f>IF($G38="","",29)</f>
      </c>
      <c r="B38" s="6">
        <f>IF($G38="","",INDEX(Registro!$D$2:$D$501,$G38))</f>
      </c>
      <c r="C38" s="6">
        <f>IF($G38="","",INDEX(Registro!$K$2:$K$501,$G38))</f>
      </c>
      <c r="D38" s="6">
        <f>IF($G38="","",INDEX(Registro!$M$2:$M$501,$G38))</f>
      </c>
      <c r="E38" s="6">
        <f>IF($G38="","",INDEX(Registro!$N$2:$N$501,$G38))</f>
      </c>
      <c r="F38" s="6">
        <f>IF($G38="","",INDEX(Registro!$P$2:$P$501,$G38))</f>
      </c>
      <c r="G38" s="0">
        <f>IFERROR(MATCH(29,Registro!$AG$2:$AG$501,0),"")</f>
      </c>
    </row>
    <row r="39" spans="1:6">
      <c r="A39" s="6">
        <f>IF($G39="","",30)</f>
      </c>
      <c r="B39" s="6">
        <f>IF($G39="","",INDEX(Registro!$D$2:$D$501,$G39))</f>
      </c>
      <c r="C39" s="6">
        <f>IF($G39="","",INDEX(Registro!$K$2:$K$501,$G39))</f>
      </c>
      <c r="D39" s="6">
        <f>IF($G39="","",INDEX(Registro!$M$2:$M$501,$G39))</f>
      </c>
      <c r="E39" s="6">
        <f>IF($G39="","",INDEX(Registro!$N$2:$N$501,$G39))</f>
      </c>
      <c r="F39" s="6">
        <f>IF($G39="","",INDEX(Registro!$P$2:$P$501,$G39))</f>
      </c>
      <c r="G39" s="0">
        <f>IFERROR(MATCH(30,Registro!$AG$2:$AG$501,0),"")</f>
      </c>
    </row>
    <row r="40" spans="1:6">
      <c r="A40" s="6">
        <f>IF($G40="","",31)</f>
      </c>
      <c r="B40" s="6">
        <f>IF($G40="","",INDEX(Registro!$D$2:$D$501,$G40))</f>
      </c>
      <c r="C40" s="6">
        <f>IF($G40="","",INDEX(Registro!$K$2:$K$501,$G40))</f>
      </c>
      <c r="D40" s="6">
        <f>IF($G40="","",INDEX(Registro!$M$2:$M$501,$G40))</f>
      </c>
      <c r="E40" s="6">
        <f>IF($G40="","",INDEX(Registro!$N$2:$N$501,$G40))</f>
      </c>
      <c r="F40" s="6">
        <f>IF($G40="","",INDEX(Registro!$P$2:$P$501,$G40))</f>
      </c>
      <c r="G40" s="0">
        <f>IFERROR(MATCH(31,Registro!$AG$2:$AG$501,0),"")</f>
      </c>
    </row>
    <row r="41" spans="1:6">
      <c r="A41" s="6">
        <f>IF($G41="","",32)</f>
      </c>
      <c r="B41" s="6">
        <f>IF($G41="","",INDEX(Registro!$D$2:$D$501,$G41))</f>
      </c>
      <c r="C41" s="6">
        <f>IF($G41="","",INDEX(Registro!$K$2:$K$501,$G41))</f>
      </c>
      <c r="D41" s="6">
        <f>IF($G41="","",INDEX(Registro!$M$2:$M$501,$G41))</f>
      </c>
      <c r="E41" s="6">
        <f>IF($G41="","",INDEX(Registro!$N$2:$N$501,$G41))</f>
      </c>
      <c r="F41" s="6">
        <f>IF($G41="","",INDEX(Registro!$P$2:$P$501,$G41))</f>
      </c>
      <c r="G41" s="0">
        <f>IFERROR(MATCH(32,Registro!$AG$2:$AG$501,0),"")</f>
      </c>
    </row>
    <row r="42" spans="1:6">
      <c r="A42" s="6">
        <f>IF($G42="","",33)</f>
      </c>
      <c r="B42" s="6">
        <f>IF($G42="","",INDEX(Registro!$D$2:$D$501,$G42))</f>
      </c>
      <c r="C42" s="6">
        <f>IF($G42="","",INDEX(Registro!$K$2:$K$501,$G42))</f>
      </c>
      <c r="D42" s="6">
        <f>IF($G42="","",INDEX(Registro!$M$2:$M$501,$G42))</f>
      </c>
      <c r="E42" s="6">
        <f>IF($G42="","",INDEX(Registro!$N$2:$N$501,$G42))</f>
      </c>
      <c r="F42" s="6">
        <f>IF($G42="","",INDEX(Registro!$P$2:$P$501,$G42))</f>
      </c>
      <c r="G42" s="0">
        <f>IFERROR(MATCH(33,Registro!$AG$2:$AG$501,0),"")</f>
      </c>
    </row>
    <row r="43" spans="1:6">
      <c r="A43" s="6">
        <f>IF($G43="","",34)</f>
      </c>
      <c r="B43" s="6">
        <f>IF($G43="","",INDEX(Registro!$D$2:$D$501,$G43))</f>
      </c>
      <c r="C43" s="6">
        <f>IF($G43="","",INDEX(Registro!$K$2:$K$501,$G43))</f>
      </c>
      <c r="D43" s="6">
        <f>IF($G43="","",INDEX(Registro!$M$2:$M$501,$G43))</f>
      </c>
      <c r="E43" s="6">
        <f>IF($G43="","",INDEX(Registro!$N$2:$N$501,$G43))</f>
      </c>
      <c r="F43" s="6">
        <f>IF($G43="","",INDEX(Registro!$P$2:$P$501,$G43))</f>
      </c>
      <c r="G43" s="0">
        <f>IFERROR(MATCH(34,Registro!$AG$2:$AG$501,0),"")</f>
      </c>
    </row>
    <row r="44" spans="1:6">
      <c r="A44" s="6">
        <f>IF($G44="","",35)</f>
      </c>
      <c r="B44" s="6">
        <f>IF($G44="","",INDEX(Registro!$D$2:$D$501,$G44))</f>
      </c>
      <c r="C44" s="6">
        <f>IF($G44="","",INDEX(Registro!$K$2:$K$501,$G44))</f>
      </c>
      <c r="D44" s="6">
        <f>IF($G44="","",INDEX(Registro!$M$2:$M$501,$G44))</f>
      </c>
      <c r="E44" s="6">
        <f>IF($G44="","",INDEX(Registro!$N$2:$N$501,$G44))</f>
      </c>
      <c r="F44" s="6">
        <f>IF($G44="","",INDEX(Registro!$P$2:$P$501,$G44))</f>
      </c>
      <c r="G44" s="0">
        <f>IFERROR(MATCH(35,Registro!$AG$2:$AG$501,0),"")</f>
      </c>
    </row>
    <row r="45" spans="1:6">
      <c r="A45" s="6">
        <f>IF($G45="","",36)</f>
      </c>
      <c r="B45" s="6">
        <f>IF($G45="","",INDEX(Registro!$D$2:$D$501,$G45))</f>
      </c>
      <c r="C45" s="6">
        <f>IF($G45="","",INDEX(Registro!$K$2:$K$501,$G45))</f>
      </c>
      <c r="D45" s="6">
        <f>IF($G45="","",INDEX(Registro!$M$2:$M$501,$G45))</f>
      </c>
      <c r="E45" s="6">
        <f>IF($G45="","",INDEX(Registro!$N$2:$N$501,$G45))</f>
      </c>
      <c r="F45" s="6">
        <f>IF($G45="","",INDEX(Registro!$P$2:$P$501,$G45))</f>
      </c>
      <c r="G45" s="0">
        <f>IFERROR(MATCH(36,Registro!$AG$2:$AG$501,0),"")</f>
      </c>
    </row>
    <row r="46" spans="1:6">
      <c r="A46" s="6">
        <f>IF($G46="","",37)</f>
      </c>
      <c r="B46" s="6">
        <f>IF($G46="","",INDEX(Registro!$D$2:$D$501,$G46))</f>
      </c>
      <c r="C46" s="6">
        <f>IF($G46="","",INDEX(Registro!$K$2:$K$501,$G46))</f>
      </c>
      <c r="D46" s="6">
        <f>IF($G46="","",INDEX(Registro!$M$2:$M$501,$G46))</f>
      </c>
      <c r="E46" s="6">
        <f>IF($G46="","",INDEX(Registro!$N$2:$N$501,$G46))</f>
      </c>
      <c r="F46" s="6">
        <f>IF($G46="","",INDEX(Registro!$P$2:$P$501,$G46))</f>
      </c>
      <c r="G46" s="0">
        <f>IFERROR(MATCH(37,Registro!$AG$2:$AG$501,0),"")</f>
      </c>
    </row>
    <row r="47" spans="1:6">
      <c r="A47" s="6">
        <f>IF($G47="","",38)</f>
      </c>
      <c r="B47" s="6">
        <f>IF($G47="","",INDEX(Registro!$D$2:$D$501,$G47))</f>
      </c>
      <c r="C47" s="6">
        <f>IF($G47="","",INDEX(Registro!$K$2:$K$501,$G47))</f>
      </c>
      <c r="D47" s="6">
        <f>IF($G47="","",INDEX(Registro!$M$2:$M$501,$G47))</f>
      </c>
      <c r="E47" s="6">
        <f>IF($G47="","",INDEX(Registro!$N$2:$N$501,$G47))</f>
      </c>
      <c r="F47" s="6">
        <f>IF($G47="","",INDEX(Registro!$P$2:$P$501,$G47))</f>
      </c>
      <c r="G47" s="0">
        <f>IFERROR(MATCH(38,Registro!$AG$2:$AG$501,0),"")</f>
      </c>
    </row>
    <row r="48" spans="1:6">
      <c r="A48" s="6">
        <f>IF($G48="","",39)</f>
      </c>
      <c r="B48" s="6">
        <f>IF($G48="","",INDEX(Registro!$D$2:$D$501,$G48))</f>
      </c>
      <c r="C48" s="6">
        <f>IF($G48="","",INDEX(Registro!$K$2:$K$501,$G48))</f>
      </c>
      <c r="D48" s="6">
        <f>IF($G48="","",INDEX(Registro!$M$2:$M$501,$G48))</f>
      </c>
      <c r="E48" s="6">
        <f>IF($G48="","",INDEX(Registro!$N$2:$N$501,$G48))</f>
      </c>
      <c r="F48" s="6">
        <f>IF($G48="","",INDEX(Registro!$P$2:$P$501,$G48))</f>
      </c>
      <c r="G48" s="0">
        <f>IFERROR(MATCH(39,Registro!$AG$2:$AG$501,0),"")</f>
      </c>
    </row>
    <row r="49" spans="1:6">
      <c r="A49" s="6">
        <f>IF($G49="","",40)</f>
      </c>
      <c r="B49" s="6">
        <f>IF($G49="","",INDEX(Registro!$D$2:$D$501,$G49))</f>
      </c>
      <c r="C49" s="6">
        <f>IF($G49="","",INDEX(Registro!$K$2:$K$501,$G49))</f>
      </c>
      <c r="D49" s="6">
        <f>IF($G49="","",INDEX(Registro!$M$2:$M$501,$G49))</f>
      </c>
      <c r="E49" s="6">
        <f>IF($G49="","",INDEX(Registro!$N$2:$N$501,$G49))</f>
      </c>
      <c r="F49" s="6">
        <f>IF($G49="","",INDEX(Registro!$P$2:$P$501,$G49))</f>
      </c>
      <c r="G49" s="0">
        <f>IFERROR(MATCH(40,Registro!$AG$2:$AG$501,0),"")</f>
      </c>
    </row>
    <row r="50" spans="1:6">
      <c r="A50" s="6">
        <f>IF($G50="","",41)</f>
      </c>
      <c r="B50" s="6">
        <f>IF($G50="","",INDEX(Registro!$D$2:$D$501,$G50))</f>
      </c>
      <c r="C50" s="6">
        <f>IF($G50="","",INDEX(Registro!$K$2:$K$501,$G50))</f>
      </c>
      <c r="D50" s="6">
        <f>IF($G50="","",INDEX(Registro!$M$2:$M$501,$G50))</f>
      </c>
      <c r="E50" s="6">
        <f>IF($G50="","",INDEX(Registro!$N$2:$N$501,$G50))</f>
      </c>
      <c r="F50" s="6">
        <f>IF($G50="","",INDEX(Registro!$P$2:$P$501,$G50))</f>
      </c>
      <c r="G50" s="0">
        <f>IFERROR(MATCH(41,Registro!$AG$2:$AG$501,0),"")</f>
      </c>
    </row>
    <row r="51" spans="1:6">
      <c r="A51" s="6">
        <f>IF($G51="","",42)</f>
      </c>
      <c r="B51" s="6">
        <f>IF($G51="","",INDEX(Registro!$D$2:$D$501,$G51))</f>
      </c>
      <c r="C51" s="6">
        <f>IF($G51="","",INDEX(Registro!$K$2:$K$501,$G51))</f>
      </c>
      <c r="D51" s="6">
        <f>IF($G51="","",INDEX(Registro!$M$2:$M$501,$G51))</f>
      </c>
      <c r="E51" s="6">
        <f>IF($G51="","",INDEX(Registro!$N$2:$N$501,$G51))</f>
      </c>
      <c r="F51" s="6">
        <f>IF($G51="","",INDEX(Registro!$P$2:$P$501,$G51))</f>
      </c>
      <c r="G51" s="0">
        <f>IFERROR(MATCH(42,Registro!$AG$2:$AG$501,0),"")</f>
      </c>
    </row>
    <row r="52" spans="1:6">
      <c r="A52" s="6">
        <f>IF($G52="","",43)</f>
      </c>
      <c r="B52" s="6">
        <f>IF($G52="","",INDEX(Registro!$D$2:$D$501,$G52))</f>
      </c>
      <c r="C52" s="6">
        <f>IF($G52="","",INDEX(Registro!$K$2:$K$501,$G52))</f>
      </c>
      <c r="D52" s="6">
        <f>IF($G52="","",INDEX(Registro!$M$2:$M$501,$G52))</f>
      </c>
      <c r="E52" s="6">
        <f>IF($G52="","",INDEX(Registro!$N$2:$N$501,$G52))</f>
      </c>
      <c r="F52" s="6">
        <f>IF($G52="","",INDEX(Registro!$P$2:$P$501,$G52))</f>
      </c>
      <c r="G52" s="0">
        <f>IFERROR(MATCH(43,Registro!$AG$2:$AG$501,0),"")</f>
      </c>
    </row>
    <row r="53" spans="1:6">
      <c r="A53" s="6">
        <f>IF($G53="","",44)</f>
      </c>
      <c r="B53" s="6">
        <f>IF($G53="","",INDEX(Registro!$D$2:$D$501,$G53))</f>
      </c>
      <c r="C53" s="6">
        <f>IF($G53="","",INDEX(Registro!$K$2:$K$501,$G53))</f>
      </c>
      <c r="D53" s="6">
        <f>IF($G53="","",INDEX(Registro!$M$2:$M$501,$G53))</f>
      </c>
      <c r="E53" s="6">
        <f>IF($G53="","",INDEX(Registro!$N$2:$N$501,$G53))</f>
      </c>
      <c r="F53" s="6">
        <f>IF($G53="","",INDEX(Registro!$P$2:$P$501,$G53))</f>
      </c>
      <c r="G53" s="0">
        <f>IFERROR(MATCH(44,Registro!$AG$2:$AG$501,0),"")</f>
      </c>
    </row>
    <row r="54" spans="1:6">
      <c r="A54" s="6">
        <f>IF($G54="","",45)</f>
      </c>
      <c r="B54" s="6">
        <f>IF($G54="","",INDEX(Registro!$D$2:$D$501,$G54))</f>
      </c>
      <c r="C54" s="6">
        <f>IF($G54="","",INDEX(Registro!$K$2:$K$501,$G54))</f>
      </c>
      <c r="D54" s="6">
        <f>IF($G54="","",INDEX(Registro!$M$2:$M$501,$G54))</f>
      </c>
      <c r="E54" s="6">
        <f>IF($G54="","",INDEX(Registro!$N$2:$N$501,$G54))</f>
      </c>
      <c r="F54" s="6">
        <f>IF($G54="","",INDEX(Registro!$P$2:$P$501,$G54))</f>
      </c>
      <c r="G54" s="0">
        <f>IFERROR(MATCH(45,Registro!$AG$2:$AG$501,0),"")</f>
      </c>
    </row>
    <row r="55" spans="1:6">
      <c r="A55" s="6">
        <f>IF($G55="","",46)</f>
      </c>
      <c r="B55" s="6">
        <f>IF($G55="","",INDEX(Registro!$D$2:$D$501,$G55))</f>
      </c>
      <c r="C55" s="6">
        <f>IF($G55="","",INDEX(Registro!$K$2:$K$501,$G55))</f>
      </c>
      <c r="D55" s="6">
        <f>IF($G55="","",INDEX(Registro!$M$2:$M$501,$G55))</f>
      </c>
      <c r="E55" s="6">
        <f>IF($G55="","",INDEX(Registro!$N$2:$N$501,$G55))</f>
      </c>
      <c r="F55" s="6">
        <f>IF($G55="","",INDEX(Registro!$P$2:$P$501,$G55))</f>
      </c>
      <c r="G55" s="0">
        <f>IFERROR(MATCH(46,Registro!$AG$2:$AG$501,0),"")</f>
      </c>
    </row>
    <row r="56" spans="1:6">
      <c r="A56" s="6">
        <f>IF($G56="","",47)</f>
      </c>
      <c r="B56" s="6">
        <f>IF($G56="","",INDEX(Registro!$D$2:$D$501,$G56))</f>
      </c>
      <c r="C56" s="6">
        <f>IF($G56="","",INDEX(Registro!$K$2:$K$501,$G56))</f>
      </c>
      <c r="D56" s="6">
        <f>IF($G56="","",INDEX(Registro!$M$2:$M$501,$G56))</f>
      </c>
      <c r="E56" s="6">
        <f>IF($G56="","",INDEX(Registro!$N$2:$N$501,$G56))</f>
      </c>
      <c r="F56" s="6">
        <f>IF($G56="","",INDEX(Registro!$P$2:$P$501,$G56))</f>
      </c>
      <c r="G56" s="0">
        <f>IFERROR(MATCH(47,Registro!$AG$2:$AG$501,0),"")</f>
      </c>
    </row>
    <row r="57" spans="1:6">
      <c r="A57" s="6">
        <f>IF($G57="","",48)</f>
      </c>
      <c r="B57" s="6">
        <f>IF($G57="","",INDEX(Registro!$D$2:$D$501,$G57))</f>
      </c>
      <c r="C57" s="6">
        <f>IF($G57="","",INDEX(Registro!$K$2:$K$501,$G57))</f>
      </c>
      <c r="D57" s="6">
        <f>IF($G57="","",INDEX(Registro!$M$2:$M$501,$G57))</f>
      </c>
      <c r="E57" s="6">
        <f>IF($G57="","",INDEX(Registro!$N$2:$N$501,$G57))</f>
      </c>
      <c r="F57" s="6">
        <f>IF($G57="","",INDEX(Registro!$P$2:$P$501,$G57))</f>
      </c>
      <c r="G57" s="0">
        <f>IFERROR(MATCH(48,Registro!$AG$2:$AG$501,0),"")</f>
      </c>
    </row>
    <row r="58" spans="1:6">
      <c r="A58" s="6">
        <f>IF($G58="","",49)</f>
      </c>
      <c r="B58" s="6">
        <f>IF($G58="","",INDEX(Registro!$D$2:$D$501,$G58))</f>
      </c>
      <c r="C58" s="6">
        <f>IF($G58="","",INDEX(Registro!$K$2:$K$501,$G58))</f>
      </c>
      <c r="D58" s="6">
        <f>IF($G58="","",INDEX(Registro!$M$2:$M$501,$G58))</f>
      </c>
      <c r="E58" s="6">
        <f>IF($G58="","",INDEX(Registro!$N$2:$N$501,$G58))</f>
      </c>
      <c r="F58" s="6">
        <f>IF($G58="","",INDEX(Registro!$P$2:$P$501,$G58))</f>
      </c>
      <c r="G58" s="0">
        <f>IFERROR(MATCH(49,Registro!$AG$2:$AG$501,0),"")</f>
      </c>
    </row>
    <row r="59" spans="1:6">
      <c r="A59" s="6">
        <f>IF($G59="","",50)</f>
      </c>
      <c r="B59" s="6">
        <f>IF($G59="","",INDEX(Registro!$D$2:$D$501,$G59))</f>
      </c>
      <c r="C59" s="6">
        <f>IF($G59="","",INDEX(Registro!$K$2:$K$501,$G59))</f>
      </c>
      <c r="D59" s="6">
        <f>IF($G59="","",INDEX(Registro!$M$2:$M$501,$G59))</f>
      </c>
      <c r="E59" s="6">
        <f>IF($G59="","",INDEX(Registro!$N$2:$N$501,$G59))</f>
      </c>
      <c r="F59" s="6">
        <f>IF($G59="","",INDEX(Registro!$P$2:$P$501,$G59))</f>
      </c>
      <c r="G59" s="0">
        <f>IFERROR(MATCH(50,Registro!$AG$2:$AG$501,0),"")</f>
      </c>
    </row>
    <row r="60" spans="1:6">
      <c r="A60" s="6">
        <f>IF($G60="","",51)</f>
      </c>
      <c r="B60" s="6">
        <f>IF($G60="","",INDEX(Registro!$D$2:$D$501,$G60))</f>
      </c>
      <c r="C60" s="6">
        <f>IF($G60="","",INDEX(Registro!$K$2:$K$501,$G60))</f>
      </c>
      <c r="D60" s="6">
        <f>IF($G60="","",INDEX(Registro!$M$2:$M$501,$G60))</f>
      </c>
      <c r="E60" s="6">
        <f>IF($G60="","",INDEX(Registro!$N$2:$N$501,$G60))</f>
      </c>
      <c r="F60" s="6">
        <f>IF($G60="","",INDEX(Registro!$P$2:$P$501,$G60))</f>
      </c>
      <c r="G60" s="0">
        <f>IFERROR(MATCH(51,Registro!$AG$2:$AG$501,0),"")</f>
      </c>
    </row>
    <row r="61" spans="1:6">
      <c r="A61" s="6">
        <f>IF($G61="","",52)</f>
      </c>
      <c r="B61" s="6">
        <f>IF($G61="","",INDEX(Registro!$D$2:$D$501,$G61))</f>
      </c>
      <c r="C61" s="6">
        <f>IF($G61="","",INDEX(Registro!$K$2:$K$501,$G61))</f>
      </c>
      <c r="D61" s="6">
        <f>IF($G61="","",INDEX(Registro!$M$2:$M$501,$G61))</f>
      </c>
      <c r="E61" s="6">
        <f>IF($G61="","",INDEX(Registro!$N$2:$N$501,$G61))</f>
      </c>
      <c r="F61" s="6">
        <f>IF($G61="","",INDEX(Registro!$P$2:$P$501,$G61))</f>
      </c>
      <c r="G61" s="0">
        <f>IFERROR(MATCH(52,Registro!$AG$2:$AG$501,0),"")</f>
      </c>
    </row>
    <row r="62" spans="1:6">
      <c r="A62" s="6">
        <f>IF($G62="","",53)</f>
      </c>
      <c r="B62" s="6">
        <f>IF($G62="","",INDEX(Registro!$D$2:$D$501,$G62))</f>
      </c>
      <c r="C62" s="6">
        <f>IF($G62="","",INDEX(Registro!$K$2:$K$501,$G62))</f>
      </c>
      <c r="D62" s="6">
        <f>IF($G62="","",INDEX(Registro!$M$2:$M$501,$G62))</f>
      </c>
      <c r="E62" s="6">
        <f>IF($G62="","",INDEX(Registro!$N$2:$N$501,$G62))</f>
      </c>
      <c r="F62" s="6">
        <f>IF($G62="","",INDEX(Registro!$P$2:$P$501,$G62))</f>
      </c>
      <c r="G62" s="0">
        <f>IFERROR(MATCH(53,Registro!$AG$2:$AG$501,0),"")</f>
      </c>
    </row>
    <row r="63" spans="1:6">
      <c r="A63" s="6">
        <f>IF($G63="","",54)</f>
      </c>
      <c r="B63" s="6">
        <f>IF($G63="","",INDEX(Registro!$D$2:$D$501,$G63))</f>
      </c>
      <c r="C63" s="6">
        <f>IF($G63="","",INDEX(Registro!$K$2:$K$501,$G63))</f>
      </c>
      <c r="D63" s="6">
        <f>IF($G63="","",INDEX(Registro!$M$2:$M$501,$G63))</f>
      </c>
      <c r="E63" s="6">
        <f>IF($G63="","",INDEX(Registro!$N$2:$N$501,$G63))</f>
      </c>
      <c r="F63" s="6">
        <f>IF($G63="","",INDEX(Registro!$P$2:$P$501,$G63))</f>
      </c>
      <c r="G63" s="0">
        <f>IFERROR(MATCH(54,Registro!$AG$2:$AG$501,0),"")</f>
      </c>
    </row>
    <row r="64" spans="1:6">
      <c r="A64" s="6">
        <f>IF($G64="","",55)</f>
      </c>
      <c r="B64" s="6">
        <f>IF($G64="","",INDEX(Registro!$D$2:$D$501,$G64))</f>
      </c>
      <c r="C64" s="6">
        <f>IF($G64="","",INDEX(Registro!$K$2:$K$501,$G64))</f>
      </c>
      <c r="D64" s="6">
        <f>IF($G64="","",INDEX(Registro!$M$2:$M$501,$G64))</f>
      </c>
      <c r="E64" s="6">
        <f>IF($G64="","",INDEX(Registro!$N$2:$N$501,$G64))</f>
      </c>
      <c r="F64" s="6">
        <f>IF($G64="","",INDEX(Registro!$P$2:$P$501,$G64))</f>
      </c>
      <c r="G64" s="0">
        <f>IFERROR(MATCH(55,Registro!$AG$2:$AG$501,0),"")</f>
      </c>
    </row>
    <row r="65" spans="1:6">
      <c r="A65" s="6">
        <f>IF($G65="","",56)</f>
      </c>
      <c r="B65" s="6">
        <f>IF($G65="","",INDEX(Registro!$D$2:$D$501,$G65))</f>
      </c>
      <c r="C65" s="6">
        <f>IF($G65="","",INDEX(Registro!$K$2:$K$501,$G65))</f>
      </c>
      <c r="D65" s="6">
        <f>IF($G65="","",INDEX(Registro!$M$2:$M$501,$G65))</f>
      </c>
      <c r="E65" s="6">
        <f>IF($G65="","",INDEX(Registro!$N$2:$N$501,$G65))</f>
      </c>
      <c r="F65" s="6">
        <f>IF($G65="","",INDEX(Registro!$P$2:$P$501,$G65))</f>
      </c>
      <c r="G65" s="0">
        <f>IFERROR(MATCH(56,Registro!$AG$2:$AG$501,0),"")</f>
      </c>
    </row>
    <row r="66" spans="1:6">
      <c r="A66" s="6">
        <f>IF($G66="","",57)</f>
      </c>
      <c r="B66" s="6">
        <f>IF($G66="","",INDEX(Registro!$D$2:$D$501,$G66))</f>
      </c>
      <c r="C66" s="6">
        <f>IF($G66="","",INDEX(Registro!$K$2:$K$501,$G66))</f>
      </c>
      <c r="D66" s="6">
        <f>IF($G66="","",INDEX(Registro!$M$2:$M$501,$G66))</f>
      </c>
      <c r="E66" s="6">
        <f>IF($G66="","",INDEX(Registro!$N$2:$N$501,$G66))</f>
      </c>
      <c r="F66" s="6">
        <f>IF($G66="","",INDEX(Registro!$P$2:$P$501,$G66))</f>
      </c>
      <c r="G66" s="0">
        <f>IFERROR(MATCH(57,Registro!$AG$2:$AG$501,0),"")</f>
      </c>
    </row>
    <row r="67" spans="1:6">
      <c r="A67" s="6">
        <f>IF($G67="","",58)</f>
      </c>
      <c r="B67" s="6">
        <f>IF($G67="","",INDEX(Registro!$D$2:$D$501,$G67))</f>
      </c>
      <c r="C67" s="6">
        <f>IF($G67="","",INDEX(Registro!$K$2:$K$501,$G67))</f>
      </c>
      <c r="D67" s="6">
        <f>IF($G67="","",INDEX(Registro!$M$2:$M$501,$G67))</f>
      </c>
      <c r="E67" s="6">
        <f>IF($G67="","",INDEX(Registro!$N$2:$N$501,$G67))</f>
      </c>
      <c r="F67" s="6">
        <f>IF($G67="","",INDEX(Registro!$P$2:$P$501,$G67))</f>
      </c>
      <c r="G67" s="0">
        <f>IFERROR(MATCH(58,Registro!$AG$2:$AG$501,0),"")</f>
      </c>
    </row>
    <row r="68" spans="1:6">
      <c r="A68" s="6">
        <f>IF($G68="","",59)</f>
      </c>
      <c r="B68" s="6">
        <f>IF($G68="","",INDEX(Registro!$D$2:$D$501,$G68))</f>
      </c>
      <c r="C68" s="6">
        <f>IF($G68="","",INDEX(Registro!$K$2:$K$501,$G68))</f>
      </c>
      <c r="D68" s="6">
        <f>IF($G68="","",INDEX(Registro!$M$2:$M$501,$G68))</f>
      </c>
      <c r="E68" s="6">
        <f>IF($G68="","",INDEX(Registro!$N$2:$N$501,$G68))</f>
      </c>
      <c r="F68" s="6">
        <f>IF($G68="","",INDEX(Registro!$P$2:$P$501,$G68))</f>
      </c>
      <c r="G68" s="0">
        <f>IFERROR(MATCH(59,Registro!$AG$2:$AG$501,0),"")</f>
      </c>
    </row>
    <row r="69" spans="1:6">
      <c r="A69" s="6">
        <f>IF($G69="","",60)</f>
      </c>
      <c r="B69" s="6">
        <f>IF($G69="","",INDEX(Registro!$D$2:$D$501,$G69))</f>
      </c>
      <c r="C69" s="6">
        <f>IF($G69="","",INDEX(Registro!$K$2:$K$501,$G69))</f>
      </c>
      <c r="D69" s="6">
        <f>IF($G69="","",INDEX(Registro!$M$2:$M$501,$G69))</f>
      </c>
      <c r="E69" s="6">
        <f>IF($G69="","",INDEX(Registro!$N$2:$N$501,$G69))</f>
      </c>
      <c r="F69" s="6">
        <f>IF($G69="","",INDEX(Registro!$P$2:$P$501,$G69))</f>
      </c>
      <c r="G69" s="0">
        <f>IFERROR(MATCH(60,Registro!$AG$2:$AG$501,0),"")</f>
      </c>
    </row>
    <row r="70" spans="1:6">
      <c r="A70" s="6">
        <f>IF($G70="","",61)</f>
      </c>
      <c r="B70" s="6">
        <f>IF($G70="","",INDEX(Registro!$D$2:$D$501,$G70))</f>
      </c>
      <c r="C70" s="6">
        <f>IF($G70="","",INDEX(Registro!$K$2:$K$501,$G70))</f>
      </c>
      <c r="D70" s="6">
        <f>IF($G70="","",INDEX(Registro!$M$2:$M$501,$G70))</f>
      </c>
      <c r="E70" s="6">
        <f>IF($G70="","",INDEX(Registro!$N$2:$N$501,$G70))</f>
      </c>
      <c r="F70" s="6">
        <f>IF($G70="","",INDEX(Registro!$P$2:$P$501,$G70))</f>
      </c>
      <c r="G70" s="0">
        <f>IFERROR(MATCH(61,Registro!$AG$2:$AG$501,0),"")</f>
      </c>
    </row>
    <row r="71" spans="1:6">
      <c r="A71" s="6">
        <f>IF($G71="","",62)</f>
      </c>
      <c r="B71" s="6">
        <f>IF($G71="","",INDEX(Registro!$D$2:$D$501,$G71))</f>
      </c>
      <c r="C71" s="6">
        <f>IF($G71="","",INDEX(Registro!$K$2:$K$501,$G71))</f>
      </c>
      <c r="D71" s="6">
        <f>IF($G71="","",INDEX(Registro!$M$2:$M$501,$G71))</f>
      </c>
      <c r="E71" s="6">
        <f>IF($G71="","",INDEX(Registro!$N$2:$N$501,$G71))</f>
      </c>
      <c r="F71" s="6">
        <f>IF($G71="","",INDEX(Registro!$P$2:$P$501,$G71))</f>
      </c>
      <c r="G71" s="0">
        <f>IFERROR(MATCH(62,Registro!$AG$2:$AG$501,0),"")</f>
      </c>
    </row>
    <row r="72" spans="1:6">
      <c r="A72" s="6">
        <f>IF($G72="","",63)</f>
      </c>
      <c r="B72" s="6">
        <f>IF($G72="","",INDEX(Registro!$D$2:$D$501,$G72))</f>
      </c>
      <c r="C72" s="6">
        <f>IF($G72="","",INDEX(Registro!$K$2:$K$501,$G72))</f>
      </c>
      <c r="D72" s="6">
        <f>IF($G72="","",INDEX(Registro!$M$2:$M$501,$G72))</f>
      </c>
      <c r="E72" s="6">
        <f>IF($G72="","",INDEX(Registro!$N$2:$N$501,$G72))</f>
      </c>
      <c r="F72" s="6">
        <f>IF($G72="","",INDEX(Registro!$P$2:$P$501,$G72))</f>
      </c>
      <c r="G72" s="0">
        <f>IFERROR(MATCH(63,Registro!$AG$2:$AG$501,0),"")</f>
      </c>
    </row>
    <row r="73" spans="1:6">
      <c r="A73" s="6">
        <f>IF($G73="","",64)</f>
      </c>
      <c r="B73" s="6">
        <f>IF($G73="","",INDEX(Registro!$D$2:$D$501,$G73))</f>
      </c>
      <c r="C73" s="6">
        <f>IF($G73="","",INDEX(Registro!$K$2:$K$501,$G73))</f>
      </c>
      <c r="D73" s="6">
        <f>IF($G73="","",INDEX(Registro!$M$2:$M$501,$G73))</f>
      </c>
      <c r="E73" s="6">
        <f>IF($G73="","",INDEX(Registro!$N$2:$N$501,$G73))</f>
      </c>
      <c r="F73" s="6">
        <f>IF($G73="","",INDEX(Registro!$P$2:$P$501,$G73))</f>
      </c>
      <c r="G73" s="0">
        <f>IFERROR(MATCH(64,Registro!$AG$2:$AG$501,0),"")</f>
      </c>
    </row>
    <row r="74" spans="1:6">
      <c r="A74" s="6">
        <f>IF($G74="","",65)</f>
      </c>
      <c r="B74" s="6">
        <f>IF($G74="","",INDEX(Registro!$D$2:$D$501,$G74))</f>
      </c>
      <c r="C74" s="6">
        <f>IF($G74="","",INDEX(Registro!$K$2:$K$501,$G74))</f>
      </c>
      <c r="D74" s="6">
        <f>IF($G74="","",INDEX(Registro!$M$2:$M$501,$G74))</f>
      </c>
      <c r="E74" s="6">
        <f>IF($G74="","",INDEX(Registro!$N$2:$N$501,$G74))</f>
      </c>
      <c r="F74" s="6">
        <f>IF($G74="","",INDEX(Registro!$P$2:$P$501,$G74))</f>
      </c>
      <c r="G74" s="0">
        <f>IFERROR(MATCH(65,Registro!$AG$2:$AG$501,0),"")</f>
      </c>
    </row>
    <row r="75" spans="1:6">
      <c r="A75" s="6">
        <f>IF($G75="","",66)</f>
      </c>
      <c r="B75" s="6">
        <f>IF($G75="","",INDEX(Registro!$D$2:$D$501,$G75))</f>
      </c>
      <c r="C75" s="6">
        <f>IF($G75="","",INDEX(Registro!$K$2:$K$501,$G75))</f>
      </c>
      <c r="D75" s="6">
        <f>IF($G75="","",INDEX(Registro!$M$2:$M$501,$G75))</f>
      </c>
      <c r="E75" s="6">
        <f>IF($G75="","",INDEX(Registro!$N$2:$N$501,$G75))</f>
      </c>
      <c r="F75" s="6">
        <f>IF($G75="","",INDEX(Registro!$P$2:$P$501,$G75))</f>
      </c>
      <c r="G75" s="0">
        <f>IFERROR(MATCH(66,Registro!$AG$2:$AG$501,0),"")</f>
      </c>
    </row>
    <row r="76" spans="1:6">
      <c r="A76" s="6">
        <f>IF($G76="","",67)</f>
      </c>
      <c r="B76" s="6">
        <f>IF($G76="","",INDEX(Registro!$D$2:$D$501,$G76))</f>
      </c>
      <c r="C76" s="6">
        <f>IF($G76="","",INDEX(Registro!$K$2:$K$501,$G76))</f>
      </c>
      <c r="D76" s="6">
        <f>IF($G76="","",INDEX(Registro!$M$2:$M$501,$G76))</f>
      </c>
      <c r="E76" s="6">
        <f>IF($G76="","",INDEX(Registro!$N$2:$N$501,$G76))</f>
      </c>
      <c r="F76" s="6">
        <f>IF($G76="","",INDEX(Registro!$P$2:$P$501,$G76))</f>
      </c>
      <c r="G76" s="0">
        <f>IFERROR(MATCH(67,Registro!$AG$2:$AG$501,0),"")</f>
      </c>
    </row>
    <row r="77" spans="1:6">
      <c r="A77" s="6">
        <f>IF($G77="","",68)</f>
      </c>
      <c r="B77" s="6">
        <f>IF($G77="","",INDEX(Registro!$D$2:$D$501,$G77))</f>
      </c>
      <c r="C77" s="6">
        <f>IF($G77="","",INDEX(Registro!$K$2:$K$501,$G77))</f>
      </c>
      <c r="D77" s="6">
        <f>IF($G77="","",INDEX(Registro!$M$2:$M$501,$G77))</f>
      </c>
      <c r="E77" s="6">
        <f>IF($G77="","",INDEX(Registro!$N$2:$N$501,$G77))</f>
      </c>
      <c r="F77" s="6">
        <f>IF($G77="","",INDEX(Registro!$P$2:$P$501,$G77))</f>
      </c>
      <c r="G77" s="0">
        <f>IFERROR(MATCH(68,Registro!$AG$2:$AG$501,0),"")</f>
      </c>
    </row>
    <row r="78" spans="1:6">
      <c r="A78" s="6">
        <f>IF($G78="","",69)</f>
      </c>
      <c r="B78" s="6">
        <f>IF($G78="","",INDEX(Registro!$D$2:$D$501,$G78))</f>
      </c>
      <c r="C78" s="6">
        <f>IF($G78="","",INDEX(Registro!$K$2:$K$501,$G78))</f>
      </c>
      <c r="D78" s="6">
        <f>IF($G78="","",INDEX(Registro!$M$2:$M$501,$G78))</f>
      </c>
      <c r="E78" s="6">
        <f>IF($G78="","",INDEX(Registro!$N$2:$N$501,$G78))</f>
      </c>
      <c r="F78" s="6">
        <f>IF($G78="","",INDEX(Registro!$P$2:$P$501,$G78))</f>
      </c>
      <c r="G78" s="0">
        <f>IFERROR(MATCH(69,Registro!$AG$2:$AG$501,0),"")</f>
      </c>
    </row>
    <row r="79" spans="1:6">
      <c r="A79" s="6">
        <f>IF($G79="","",70)</f>
      </c>
      <c r="B79" s="6">
        <f>IF($G79="","",INDEX(Registro!$D$2:$D$501,$G79))</f>
      </c>
      <c r="C79" s="6">
        <f>IF($G79="","",INDEX(Registro!$K$2:$K$501,$G79))</f>
      </c>
      <c r="D79" s="6">
        <f>IF($G79="","",INDEX(Registro!$M$2:$M$501,$G79))</f>
      </c>
      <c r="E79" s="6">
        <f>IF($G79="","",INDEX(Registro!$N$2:$N$501,$G79))</f>
      </c>
      <c r="F79" s="6">
        <f>IF($G79="","",INDEX(Registro!$P$2:$P$501,$G79))</f>
      </c>
      <c r="G79" s="0">
        <f>IFERROR(MATCH(70,Registro!$AG$2:$AG$501,0),"")</f>
      </c>
    </row>
    <row r="80" spans="1:6">
      <c r="A80" s="6">
        <f>IF($G80="","",71)</f>
      </c>
      <c r="B80" s="6">
        <f>IF($G80="","",INDEX(Registro!$D$2:$D$501,$G80))</f>
      </c>
      <c r="C80" s="6">
        <f>IF($G80="","",INDEX(Registro!$K$2:$K$501,$G80))</f>
      </c>
      <c r="D80" s="6">
        <f>IF($G80="","",INDEX(Registro!$M$2:$M$501,$G80))</f>
      </c>
      <c r="E80" s="6">
        <f>IF($G80="","",INDEX(Registro!$N$2:$N$501,$G80))</f>
      </c>
      <c r="F80" s="6">
        <f>IF($G80="","",INDEX(Registro!$P$2:$P$501,$G80))</f>
      </c>
      <c r="G80" s="0">
        <f>IFERROR(MATCH(71,Registro!$AG$2:$AG$501,0),"")</f>
      </c>
    </row>
    <row r="81" spans="1:6">
      <c r="A81" s="6">
        <f>IF($G81="","",72)</f>
      </c>
      <c r="B81" s="6">
        <f>IF($G81="","",INDEX(Registro!$D$2:$D$501,$G81))</f>
      </c>
      <c r="C81" s="6">
        <f>IF($G81="","",INDEX(Registro!$K$2:$K$501,$G81))</f>
      </c>
      <c r="D81" s="6">
        <f>IF($G81="","",INDEX(Registro!$M$2:$M$501,$G81))</f>
      </c>
      <c r="E81" s="6">
        <f>IF($G81="","",INDEX(Registro!$N$2:$N$501,$G81))</f>
      </c>
      <c r="F81" s="6">
        <f>IF($G81="","",INDEX(Registro!$P$2:$P$501,$G81))</f>
      </c>
      <c r="G81" s="0">
        <f>IFERROR(MATCH(72,Registro!$AG$2:$AG$501,0),"")</f>
      </c>
    </row>
    <row r="82" spans="1:6">
      <c r="A82" s="6">
        <f>IF($G82="","",73)</f>
      </c>
      <c r="B82" s="6">
        <f>IF($G82="","",INDEX(Registro!$D$2:$D$501,$G82))</f>
      </c>
      <c r="C82" s="6">
        <f>IF($G82="","",INDEX(Registro!$K$2:$K$501,$G82))</f>
      </c>
      <c r="D82" s="6">
        <f>IF($G82="","",INDEX(Registro!$M$2:$M$501,$G82))</f>
      </c>
      <c r="E82" s="6">
        <f>IF($G82="","",INDEX(Registro!$N$2:$N$501,$G82))</f>
      </c>
      <c r="F82" s="6">
        <f>IF($G82="","",INDEX(Registro!$P$2:$P$501,$G82))</f>
      </c>
      <c r="G82" s="0">
        <f>IFERROR(MATCH(73,Registro!$AG$2:$AG$501,0),"")</f>
      </c>
    </row>
    <row r="83" spans="1:6">
      <c r="A83" s="6">
        <f>IF($G83="","",74)</f>
      </c>
      <c r="B83" s="6">
        <f>IF($G83="","",INDEX(Registro!$D$2:$D$501,$G83))</f>
      </c>
      <c r="C83" s="6">
        <f>IF($G83="","",INDEX(Registro!$K$2:$K$501,$G83))</f>
      </c>
      <c r="D83" s="6">
        <f>IF($G83="","",INDEX(Registro!$M$2:$M$501,$G83))</f>
      </c>
      <c r="E83" s="6">
        <f>IF($G83="","",INDEX(Registro!$N$2:$N$501,$G83))</f>
      </c>
      <c r="F83" s="6">
        <f>IF($G83="","",INDEX(Registro!$P$2:$P$501,$G83))</f>
      </c>
      <c r="G83" s="0">
        <f>IFERROR(MATCH(74,Registro!$AG$2:$AG$501,0),"")</f>
      </c>
    </row>
    <row r="84" spans="1:6">
      <c r="A84" s="6">
        <f>IF($G84="","",75)</f>
      </c>
      <c r="B84" s="6">
        <f>IF($G84="","",INDEX(Registro!$D$2:$D$501,$G84))</f>
      </c>
      <c r="C84" s="6">
        <f>IF($G84="","",INDEX(Registro!$K$2:$K$501,$G84))</f>
      </c>
      <c r="D84" s="6">
        <f>IF($G84="","",INDEX(Registro!$M$2:$M$501,$G84))</f>
      </c>
      <c r="E84" s="6">
        <f>IF($G84="","",INDEX(Registro!$N$2:$N$501,$G84))</f>
      </c>
      <c r="F84" s="6">
        <f>IF($G84="","",INDEX(Registro!$P$2:$P$501,$G84))</f>
      </c>
      <c r="G84" s="0">
        <f>IFERROR(MATCH(75,Registro!$AG$2:$AG$501,0),"")</f>
      </c>
    </row>
    <row r="85" spans="1:6">
      <c r="A85" s="6">
        <f>IF($G85="","",76)</f>
      </c>
      <c r="B85" s="6">
        <f>IF($G85="","",INDEX(Registro!$D$2:$D$501,$G85))</f>
      </c>
      <c r="C85" s="6">
        <f>IF($G85="","",INDEX(Registro!$K$2:$K$501,$G85))</f>
      </c>
      <c r="D85" s="6">
        <f>IF($G85="","",INDEX(Registro!$M$2:$M$501,$G85))</f>
      </c>
      <c r="E85" s="6">
        <f>IF($G85="","",INDEX(Registro!$N$2:$N$501,$G85))</f>
      </c>
      <c r="F85" s="6">
        <f>IF($G85="","",INDEX(Registro!$P$2:$P$501,$G85))</f>
      </c>
      <c r="G85" s="0">
        <f>IFERROR(MATCH(76,Registro!$AG$2:$AG$501,0),"")</f>
      </c>
    </row>
    <row r="86" spans="1:6">
      <c r="A86" s="6">
        <f>IF($G86="","",77)</f>
      </c>
      <c r="B86" s="6">
        <f>IF($G86="","",INDEX(Registro!$D$2:$D$501,$G86))</f>
      </c>
      <c r="C86" s="6">
        <f>IF($G86="","",INDEX(Registro!$K$2:$K$501,$G86))</f>
      </c>
      <c r="D86" s="6">
        <f>IF($G86="","",INDEX(Registro!$M$2:$M$501,$G86))</f>
      </c>
      <c r="E86" s="6">
        <f>IF($G86="","",INDEX(Registro!$N$2:$N$501,$G86))</f>
      </c>
      <c r="F86" s="6">
        <f>IF($G86="","",INDEX(Registro!$P$2:$P$501,$G86))</f>
      </c>
      <c r="G86" s="0">
        <f>IFERROR(MATCH(77,Registro!$AG$2:$AG$501,0),"")</f>
      </c>
    </row>
    <row r="87" spans="1:6">
      <c r="A87" s="6">
        <f>IF($G87="","",78)</f>
      </c>
      <c r="B87" s="6">
        <f>IF($G87="","",INDEX(Registro!$D$2:$D$501,$G87))</f>
      </c>
      <c r="C87" s="6">
        <f>IF($G87="","",INDEX(Registro!$K$2:$K$501,$G87))</f>
      </c>
      <c r="D87" s="6">
        <f>IF($G87="","",INDEX(Registro!$M$2:$M$501,$G87))</f>
      </c>
      <c r="E87" s="6">
        <f>IF($G87="","",INDEX(Registro!$N$2:$N$501,$G87))</f>
      </c>
      <c r="F87" s="6">
        <f>IF($G87="","",INDEX(Registro!$P$2:$P$501,$G87))</f>
      </c>
      <c r="G87" s="0">
        <f>IFERROR(MATCH(78,Registro!$AG$2:$AG$501,0),"")</f>
      </c>
    </row>
    <row r="88" spans="1:6">
      <c r="A88" s="6">
        <f>IF($G88="","",79)</f>
      </c>
      <c r="B88" s="6">
        <f>IF($G88="","",INDEX(Registro!$D$2:$D$501,$G88))</f>
      </c>
      <c r="C88" s="6">
        <f>IF($G88="","",INDEX(Registro!$K$2:$K$501,$G88))</f>
      </c>
      <c r="D88" s="6">
        <f>IF($G88="","",INDEX(Registro!$M$2:$M$501,$G88))</f>
      </c>
      <c r="E88" s="6">
        <f>IF($G88="","",INDEX(Registro!$N$2:$N$501,$G88))</f>
      </c>
      <c r="F88" s="6">
        <f>IF($G88="","",INDEX(Registro!$P$2:$P$501,$G88))</f>
      </c>
      <c r="G88" s="0">
        <f>IFERROR(MATCH(79,Registro!$AG$2:$AG$501,0),"")</f>
      </c>
    </row>
    <row r="89" spans="1:6">
      <c r="A89" s="6">
        <f>IF($G89="","",80)</f>
      </c>
      <c r="B89" s="6">
        <f>IF($G89="","",INDEX(Registro!$D$2:$D$501,$G89))</f>
      </c>
      <c r="C89" s="6">
        <f>IF($G89="","",INDEX(Registro!$K$2:$K$501,$G89))</f>
      </c>
      <c r="D89" s="6">
        <f>IF($G89="","",INDEX(Registro!$M$2:$M$501,$G89))</f>
      </c>
      <c r="E89" s="6">
        <f>IF($G89="","",INDEX(Registro!$N$2:$N$501,$G89))</f>
      </c>
      <c r="F89" s="6">
        <f>IF($G89="","",INDEX(Registro!$P$2:$P$501,$G89))</f>
      </c>
      <c r="G89" s="0">
        <f>IFERROR(MATCH(80,Registro!$AG$2:$AG$501,0),"")</f>
      </c>
    </row>
    <row r="91" spans="1:6" ht="26" customHeight="1">
      <c r="A91" s="51" t="inlineStr">
        <is>
          <t xml:space="preserve">REFUERZOS SIN VACANTE DETRÁS · asignaturas no de especialidad</t>
        </is>
      </c>
      <c r="B91" s="51"/>
      <c r="C91" s="51"/>
      <c r="D91" s="51"/>
      <c r="E91" s="51"/>
      <c r="F91" s="51"/>
    </row>
    <row r="92" spans="1:6" ht="30" customHeight="1">
      <c r="A92" s="3" t="inlineStr">
        <is>
          <t xml:space="preserve">Nº</t>
        </is>
      </c>
      <c r="B92" s="3" t="inlineStr">
        <is>
          <t xml:space="preserve">Especialidad</t>
        </is>
      </c>
      <c r="C92" s="3" t="inlineStr">
        <is>
          <t xml:space="preserve">Docente</t>
        </is>
      </c>
      <c r="D92" s="3" t="inlineStr">
        <is>
          <t xml:space="preserve">Horario</t>
        </is>
      </c>
      <c r="E92" s="3" t="inlineStr">
        <is>
          <t xml:space="preserve">Observaciones</t>
        </is>
      </c>
      <c r="F92" s="3" t="inlineStr">
        <is>
          <t xml:space="preserve"/>
        </is>
      </c>
    </row>
    <row r="93" spans="1:6">
      <c r="A93" s="6">
        <f>IF($G93="","",1)</f>
      </c>
      <c r="B93" s="6">
        <f>IF($G93="","",INDEX('Registro Refuerzo'!$D$2:$D$201,$G93))</f>
      </c>
      <c r="C93" s="6">
        <f>IF($G93="","",INDEX('Registro Refuerzo'!$F$2:$F$201,$G93))</f>
      </c>
      <c r="D93" s="6">
        <f>IF($G93="","",INDEX('Registro Refuerzo'!$G$2:$G$201,$G93))</f>
      </c>
      <c r="E93" s="6">
        <f>IF($G93="","",INDEX('Registro Refuerzo'!$E$2:$E$201,$G93))</f>
      </c>
      <c r="F93" s="6"/>
      <c r="G93" s="0">
        <f>IFERROR(MATCH(1,'Registro Refuerzo'!$L$2:$L$201,0),"")</f>
      </c>
    </row>
    <row r="94" spans="1:6">
      <c r="A94" s="6">
        <f>IF($G94="","",2)</f>
      </c>
      <c r="B94" s="6">
        <f>IF($G94="","",INDEX('Registro Refuerzo'!$D$2:$D$201,$G94))</f>
      </c>
      <c r="C94" s="6">
        <f>IF($G94="","",INDEX('Registro Refuerzo'!$F$2:$F$201,$G94))</f>
      </c>
      <c r="D94" s="6">
        <f>IF($G94="","",INDEX('Registro Refuerzo'!$G$2:$G$201,$G94))</f>
      </c>
      <c r="E94" s="6">
        <f>IF($G94="","",INDEX('Registro Refuerzo'!$E$2:$E$201,$G94))</f>
      </c>
      <c r="F94" s="6"/>
      <c r="G94" s="0">
        <f>IFERROR(MATCH(2,'Registro Refuerzo'!$L$2:$L$201,0),"")</f>
      </c>
    </row>
    <row r="95" spans="1:6">
      <c r="A95" s="6">
        <f>IF($G95="","",3)</f>
      </c>
      <c r="B95" s="6">
        <f>IF($G95="","",INDEX('Registro Refuerzo'!$D$2:$D$201,$G95))</f>
      </c>
      <c r="C95" s="6">
        <f>IF($G95="","",INDEX('Registro Refuerzo'!$F$2:$F$201,$G95))</f>
      </c>
      <c r="D95" s="6">
        <f>IF($G95="","",INDEX('Registro Refuerzo'!$G$2:$G$201,$G95))</f>
      </c>
      <c r="E95" s="6">
        <f>IF($G95="","",INDEX('Registro Refuerzo'!$E$2:$E$201,$G95))</f>
      </c>
      <c r="F95" s="6"/>
      <c r="G95" s="0">
        <f>IFERROR(MATCH(3,'Registro Refuerzo'!$L$2:$L$201,0),"")</f>
      </c>
    </row>
    <row r="96" spans="1:6">
      <c r="A96" s="6">
        <f>IF($G96="","",4)</f>
      </c>
      <c r="B96" s="6">
        <f>IF($G96="","",INDEX('Registro Refuerzo'!$D$2:$D$201,$G96))</f>
      </c>
      <c r="C96" s="6">
        <f>IF($G96="","",INDEX('Registro Refuerzo'!$F$2:$F$201,$G96))</f>
      </c>
      <c r="D96" s="6">
        <f>IF($G96="","",INDEX('Registro Refuerzo'!$G$2:$G$201,$G96))</f>
      </c>
      <c r="E96" s="6">
        <f>IF($G96="","",INDEX('Registro Refuerzo'!$E$2:$E$201,$G96))</f>
      </c>
      <c r="F96" s="6"/>
      <c r="G96" s="0">
        <f>IFERROR(MATCH(4,'Registro Refuerzo'!$L$2:$L$201,0),"")</f>
      </c>
    </row>
    <row r="97" spans="1:6">
      <c r="A97" s="6">
        <f>IF($G97="","",5)</f>
      </c>
      <c r="B97" s="6">
        <f>IF($G97="","",INDEX('Registro Refuerzo'!$D$2:$D$201,$G97))</f>
      </c>
      <c r="C97" s="6">
        <f>IF($G97="","",INDEX('Registro Refuerzo'!$F$2:$F$201,$G97))</f>
      </c>
      <c r="D97" s="6">
        <f>IF($G97="","",INDEX('Registro Refuerzo'!$G$2:$G$201,$G97))</f>
      </c>
      <c r="E97" s="6">
        <f>IF($G97="","",INDEX('Registro Refuerzo'!$E$2:$E$201,$G97))</f>
      </c>
      <c r="F97" s="6"/>
      <c r="G97" s="0">
        <f>IFERROR(MATCH(5,'Registro Refuerzo'!$L$2:$L$201,0),"")</f>
      </c>
    </row>
    <row r="98" spans="1:6">
      <c r="A98" s="6">
        <f>IF($G98="","",6)</f>
      </c>
      <c r="B98" s="6">
        <f>IF($G98="","",INDEX('Registro Refuerzo'!$D$2:$D$201,$G98))</f>
      </c>
      <c r="C98" s="6">
        <f>IF($G98="","",INDEX('Registro Refuerzo'!$F$2:$F$201,$G98))</f>
      </c>
      <c r="D98" s="6">
        <f>IF($G98="","",INDEX('Registro Refuerzo'!$G$2:$G$201,$G98))</f>
      </c>
      <c r="E98" s="6">
        <f>IF($G98="","",INDEX('Registro Refuerzo'!$E$2:$E$201,$G98))</f>
      </c>
      <c r="F98" s="6"/>
      <c r="G98" s="0">
        <f>IFERROR(MATCH(6,'Registro Refuerzo'!$L$2:$L$201,0),"")</f>
      </c>
    </row>
    <row r="99" spans="1:6">
      <c r="A99" s="6">
        <f>IF($G99="","",7)</f>
      </c>
      <c r="B99" s="6">
        <f>IF($G99="","",INDEX('Registro Refuerzo'!$D$2:$D$201,$G99))</f>
      </c>
      <c r="C99" s="6">
        <f>IF($G99="","",INDEX('Registro Refuerzo'!$F$2:$F$201,$G99))</f>
      </c>
      <c r="D99" s="6">
        <f>IF($G99="","",INDEX('Registro Refuerzo'!$G$2:$G$201,$G99))</f>
      </c>
      <c r="E99" s="6">
        <f>IF($G99="","",INDEX('Registro Refuerzo'!$E$2:$E$201,$G99))</f>
      </c>
      <c r="F99" s="6"/>
      <c r="G99" s="0">
        <f>IFERROR(MATCH(7,'Registro Refuerzo'!$L$2:$L$201,0),"")</f>
      </c>
    </row>
    <row r="100" spans="1:6">
      <c r="A100" s="6">
        <f>IF($G100="","",8)</f>
      </c>
      <c r="B100" s="6">
        <f>IF($G100="","",INDEX('Registro Refuerzo'!$D$2:$D$201,$G100))</f>
      </c>
      <c r="C100" s="6">
        <f>IF($G100="","",INDEX('Registro Refuerzo'!$F$2:$F$201,$G100))</f>
      </c>
      <c r="D100" s="6">
        <f>IF($G100="","",INDEX('Registro Refuerzo'!$G$2:$G$201,$G100))</f>
      </c>
      <c r="E100" s="6">
        <f>IF($G100="","",INDEX('Registro Refuerzo'!$E$2:$E$201,$G100))</f>
      </c>
      <c r="F100" s="6"/>
      <c r="G100" s="0">
        <f>IFERROR(MATCH(8,'Registro Refuerzo'!$L$2:$L$201,0),"")</f>
      </c>
    </row>
    <row r="101" spans="1:6">
      <c r="A101" s="6">
        <f>IF($G101="","",9)</f>
      </c>
      <c r="B101" s="6">
        <f>IF($G101="","",INDEX('Registro Refuerzo'!$D$2:$D$201,$G101))</f>
      </c>
      <c r="C101" s="6">
        <f>IF($G101="","",INDEX('Registro Refuerzo'!$F$2:$F$201,$G101))</f>
      </c>
      <c r="D101" s="6">
        <f>IF($G101="","",INDEX('Registro Refuerzo'!$G$2:$G$201,$G101))</f>
      </c>
      <c r="E101" s="6">
        <f>IF($G101="","",INDEX('Registro Refuerzo'!$E$2:$E$201,$G101))</f>
      </c>
      <c r="F101" s="6"/>
      <c r="G101" s="0">
        <f>IFERROR(MATCH(9,'Registro Refuerzo'!$L$2:$L$201,0),"")</f>
      </c>
    </row>
    <row r="102" spans="1:6">
      <c r="A102" s="6">
        <f>IF($G102="","",10)</f>
      </c>
      <c r="B102" s="6">
        <f>IF($G102="","",INDEX('Registro Refuerzo'!$D$2:$D$201,$G102))</f>
      </c>
      <c r="C102" s="6">
        <f>IF($G102="","",INDEX('Registro Refuerzo'!$F$2:$F$201,$G102))</f>
      </c>
      <c r="D102" s="6">
        <f>IF($G102="","",INDEX('Registro Refuerzo'!$G$2:$G$201,$G102))</f>
      </c>
      <c r="E102" s="6">
        <f>IF($G102="","",INDEX('Registro Refuerzo'!$E$2:$E$201,$G102))</f>
      </c>
      <c r="F102" s="6"/>
      <c r="G102" s="0">
        <f>IFERROR(MATCH(10,'Registro Refuerzo'!$L$2:$L$201,0),"")</f>
      </c>
    </row>
    <row r="103" spans="1:6">
      <c r="A103" s="6">
        <f>IF($G103="","",11)</f>
      </c>
      <c r="B103" s="6">
        <f>IF($G103="","",INDEX('Registro Refuerzo'!$D$2:$D$201,$G103))</f>
      </c>
      <c r="C103" s="6">
        <f>IF($G103="","",INDEX('Registro Refuerzo'!$F$2:$F$201,$G103))</f>
      </c>
      <c r="D103" s="6">
        <f>IF($G103="","",INDEX('Registro Refuerzo'!$G$2:$G$201,$G103))</f>
      </c>
      <c r="E103" s="6">
        <f>IF($G103="","",INDEX('Registro Refuerzo'!$E$2:$E$201,$G103))</f>
      </c>
      <c r="F103" s="6"/>
      <c r="G103" s="0">
        <f>IFERROR(MATCH(11,'Registro Refuerzo'!$L$2:$L$201,0),"")</f>
      </c>
    </row>
    <row r="104" spans="1:6">
      <c r="A104" s="6">
        <f>IF($G104="","",12)</f>
      </c>
      <c r="B104" s="6">
        <f>IF($G104="","",INDEX('Registro Refuerzo'!$D$2:$D$201,$G104))</f>
      </c>
      <c r="C104" s="6">
        <f>IF($G104="","",INDEX('Registro Refuerzo'!$F$2:$F$201,$G104))</f>
      </c>
      <c r="D104" s="6">
        <f>IF($G104="","",INDEX('Registro Refuerzo'!$G$2:$G$201,$G104))</f>
      </c>
      <c r="E104" s="6">
        <f>IF($G104="","",INDEX('Registro Refuerzo'!$E$2:$E$201,$G104))</f>
      </c>
      <c r="F104" s="6"/>
      <c r="G104" s="0">
        <f>IFERROR(MATCH(12,'Registro Refuerzo'!$L$2:$L$201,0),"")</f>
      </c>
    </row>
    <row r="105" spans="1:6">
      <c r="A105" s="6">
        <f>IF($G105="","",13)</f>
      </c>
      <c r="B105" s="6">
        <f>IF($G105="","",INDEX('Registro Refuerzo'!$D$2:$D$201,$G105))</f>
      </c>
      <c r="C105" s="6">
        <f>IF($G105="","",INDEX('Registro Refuerzo'!$F$2:$F$201,$G105))</f>
      </c>
      <c r="D105" s="6">
        <f>IF($G105="","",INDEX('Registro Refuerzo'!$G$2:$G$201,$G105))</f>
      </c>
      <c r="E105" s="6">
        <f>IF($G105="","",INDEX('Registro Refuerzo'!$E$2:$E$201,$G105))</f>
      </c>
      <c r="F105" s="6"/>
      <c r="G105" s="0">
        <f>IFERROR(MATCH(13,'Registro Refuerzo'!$L$2:$L$201,0),"")</f>
      </c>
    </row>
    <row r="106" spans="1:6">
      <c r="A106" s="6">
        <f>IF($G106="","",14)</f>
      </c>
      <c r="B106" s="6">
        <f>IF($G106="","",INDEX('Registro Refuerzo'!$D$2:$D$201,$G106))</f>
      </c>
      <c r="C106" s="6">
        <f>IF($G106="","",INDEX('Registro Refuerzo'!$F$2:$F$201,$G106))</f>
      </c>
      <c r="D106" s="6">
        <f>IF($G106="","",INDEX('Registro Refuerzo'!$G$2:$G$201,$G106))</f>
      </c>
      <c r="E106" s="6">
        <f>IF($G106="","",INDEX('Registro Refuerzo'!$E$2:$E$201,$G106))</f>
      </c>
      <c r="F106" s="6"/>
      <c r="G106" s="0">
        <f>IFERROR(MATCH(14,'Registro Refuerzo'!$L$2:$L$201,0),"")</f>
      </c>
    </row>
    <row r="107" spans="1:6">
      <c r="A107" s="6">
        <f>IF($G107="","",15)</f>
      </c>
      <c r="B107" s="6">
        <f>IF($G107="","",INDEX('Registro Refuerzo'!$D$2:$D$201,$G107))</f>
      </c>
      <c r="C107" s="6">
        <f>IF($G107="","",INDEX('Registro Refuerzo'!$F$2:$F$201,$G107))</f>
      </c>
      <c r="D107" s="6">
        <f>IF($G107="","",INDEX('Registro Refuerzo'!$G$2:$G$201,$G107))</f>
      </c>
      <c r="E107" s="6">
        <f>IF($G107="","",INDEX('Registro Refuerzo'!$E$2:$E$201,$G107))</f>
      </c>
      <c r="F107" s="6"/>
      <c r="G107" s="0">
        <f>IFERROR(MATCH(15,'Registro Refuerzo'!$L$2:$L$201,0),"")</f>
      </c>
    </row>
    <row r="108" spans="1:6">
      <c r="A108" s="6">
        <f>IF($G108="","",16)</f>
      </c>
      <c r="B108" s="6">
        <f>IF($G108="","",INDEX('Registro Refuerzo'!$D$2:$D$201,$G108))</f>
      </c>
      <c r="C108" s="6">
        <f>IF($G108="","",INDEX('Registro Refuerzo'!$F$2:$F$201,$G108))</f>
      </c>
      <c r="D108" s="6">
        <f>IF($G108="","",INDEX('Registro Refuerzo'!$G$2:$G$201,$G108))</f>
      </c>
      <c r="E108" s="6">
        <f>IF($G108="","",INDEX('Registro Refuerzo'!$E$2:$E$201,$G108))</f>
      </c>
      <c r="F108" s="6"/>
      <c r="G108" s="0">
        <f>IFERROR(MATCH(16,'Registro Refuerzo'!$L$2:$L$201,0),"")</f>
      </c>
    </row>
    <row r="109" spans="1:6">
      <c r="A109" s="6">
        <f>IF($G109="","",17)</f>
      </c>
      <c r="B109" s="6">
        <f>IF($G109="","",INDEX('Registro Refuerzo'!$D$2:$D$201,$G109))</f>
      </c>
      <c r="C109" s="6">
        <f>IF($G109="","",INDEX('Registro Refuerzo'!$F$2:$F$201,$G109))</f>
      </c>
      <c r="D109" s="6">
        <f>IF($G109="","",INDEX('Registro Refuerzo'!$G$2:$G$201,$G109))</f>
      </c>
      <c r="E109" s="6">
        <f>IF($G109="","",INDEX('Registro Refuerzo'!$E$2:$E$201,$G109))</f>
      </c>
      <c r="F109" s="6"/>
      <c r="G109" s="0">
        <f>IFERROR(MATCH(17,'Registro Refuerzo'!$L$2:$L$201,0),"")</f>
      </c>
    </row>
    <row r="110" spans="1:6">
      <c r="A110" s="6">
        <f>IF($G110="","",18)</f>
      </c>
      <c r="B110" s="6">
        <f>IF($G110="","",INDEX('Registro Refuerzo'!$D$2:$D$201,$G110))</f>
      </c>
      <c r="C110" s="6">
        <f>IF($G110="","",INDEX('Registro Refuerzo'!$F$2:$F$201,$G110))</f>
      </c>
      <c r="D110" s="6">
        <f>IF($G110="","",INDEX('Registro Refuerzo'!$G$2:$G$201,$G110))</f>
      </c>
      <c r="E110" s="6">
        <f>IF($G110="","",INDEX('Registro Refuerzo'!$E$2:$E$201,$G110))</f>
      </c>
      <c r="F110" s="6"/>
      <c r="G110" s="0">
        <f>IFERROR(MATCH(18,'Registro Refuerzo'!$L$2:$L$201,0),"")</f>
      </c>
    </row>
    <row r="111" spans="1:6">
      <c r="A111" s="6">
        <f>IF($G111="","",19)</f>
      </c>
      <c r="B111" s="6">
        <f>IF($G111="","",INDEX('Registro Refuerzo'!$D$2:$D$201,$G111))</f>
      </c>
      <c r="C111" s="6">
        <f>IF($G111="","",INDEX('Registro Refuerzo'!$F$2:$F$201,$G111))</f>
      </c>
      <c r="D111" s="6">
        <f>IF($G111="","",INDEX('Registro Refuerzo'!$G$2:$G$201,$G111))</f>
      </c>
      <c r="E111" s="6">
        <f>IF($G111="","",INDEX('Registro Refuerzo'!$E$2:$E$201,$G111))</f>
      </c>
      <c r="F111" s="6"/>
      <c r="G111" s="0">
        <f>IFERROR(MATCH(19,'Registro Refuerzo'!$L$2:$L$201,0),"")</f>
      </c>
    </row>
    <row r="112" spans="1:6">
      <c r="A112" s="6">
        <f>IF($G112="","",20)</f>
      </c>
      <c r="B112" s="6">
        <f>IF($G112="","",INDEX('Registro Refuerzo'!$D$2:$D$201,$G112))</f>
      </c>
      <c r="C112" s="6">
        <f>IF($G112="","",INDEX('Registro Refuerzo'!$F$2:$F$201,$G112))</f>
      </c>
      <c r="D112" s="6">
        <f>IF($G112="","",INDEX('Registro Refuerzo'!$G$2:$G$201,$G112))</f>
      </c>
      <c r="E112" s="6">
        <f>IF($G112="","",INDEX('Registro Refuerzo'!$E$2:$E$201,$G112))</f>
      </c>
      <c r="F112" s="6"/>
      <c r="G112" s="0">
        <f>IFERROR(MATCH(20,'Registro Refuerzo'!$L$2:$L$201,0),"")</f>
      </c>
    </row>
    <row r="113" spans="1:6">
      <c r="A113" s="6">
        <f>IF($G113="","",21)</f>
      </c>
      <c r="B113" s="6">
        <f>IF($G113="","",INDEX('Registro Refuerzo'!$D$2:$D$201,$G113))</f>
      </c>
      <c r="C113" s="6">
        <f>IF($G113="","",INDEX('Registro Refuerzo'!$F$2:$F$201,$G113))</f>
      </c>
      <c r="D113" s="6">
        <f>IF($G113="","",INDEX('Registro Refuerzo'!$G$2:$G$201,$G113))</f>
      </c>
      <c r="E113" s="6">
        <f>IF($G113="","",INDEX('Registro Refuerzo'!$E$2:$E$201,$G113))</f>
      </c>
      <c r="F113" s="6"/>
      <c r="G113" s="0">
        <f>IFERROR(MATCH(21,'Registro Refuerzo'!$L$2:$L$201,0),"")</f>
      </c>
    </row>
    <row r="114" spans="1:6">
      <c r="A114" s="6">
        <f>IF($G114="","",22)</f>
      </c>
      <c r="B114" s="6">
        <f>IF($G114="","",INDEX('Registro Refuerzo'!$D$2:$D$201,$G114))</f>
      </c>
      <c r="C114" s="6">
        <f>IF($G114="","",INDEX('Registro Refuerzo'!$F$2:$F$201,$G114))</f>
      </c>
      <c r="D114" s="6">
        <f>IF($G114="","",INDEX('Registro Refuerzo'!$G$2:$G$201,$G114))</f>
      </c>
      <c r="E114" s="6">
        <f>IF($G114="","",INDEX('Registro Refuerzo'!$E$2:$E$201,$G114))</f>
      </c>
      <c r="F114" s="6"/>
      <c r="G114" s="0">
        <f>IFERROR(MATCH(22,'Registro Refuerzo'!$L$2:$L$201,0),"")</f>
      </c>
    </row>
    <row r="115" spans="1:6">
      <c r="A115" s="6">
        <f>IF($G115="","",23)</f>
      </c>
      <c r="B115" s="6">
        <f>IF($G115="","",INDEX('Registro Refuerzo'!$D$2:$D$201,$G115))</f>
      </c>
      <c r="C115" s="6">
        <f>IF($G115="","",INDEX('Registro Refuerzo'!$F$2:$F$201,$G115))</f>
      </c>
      <c r="D115" s="6">
        <f>IF($G115="","",INDEX('Registro Refuerzo'!$G$2:$G$201,$G115))</f>
      </c>
      <c r="E115" s="6">
        <f>IF($G115="","",INDEX('Registro Refuerzo'!$E$2:$E$201,$G115))</f>
      </c>
      <c r="F115" s="6"/>
      <c r="G115" s="0">
        <f>IFERROR(MATCH(23,'Registro Refuerzo'!$L$2:$L$201,0),"")</f>
      </c>
    </row>
    <row r="116" spans="1:6">
      <c r="A116" s="6">
        <f>IF($G116="","",24)</f>
      </c>
      <c r="B116" s="6">
        <f>IF($G116="","",INDEX('Registro Refuerzo'!$D$2:$D$201,$G116))</f>
      </c>
      <c r="C116" s="6">
        <f>IF($G116="","",INDEX('Registro Refuerzo'!$F$2:$F$201,$G116))</f>
      </c>
      <c r="D116" s="6">
        <f>IF($G116="","",INDEX('Registro Refuerzo'!$G$2:$G$201,$G116))</f>
      </c>
      <c r="E116" s="6">
        <f>IF($G116="","",INDEX('Registro Refuerzo'!$E$2:$E$201,$G116))</f>
      </c>
      <c r="F116" s="6"/>
      <c r="G116" s="0">
        <f>IFERROR(MATCH(24,'Registro Refuerzo'!$L$2:$L$201,0),"")</f>
      </c>
    </row>
    <row r="117" spans="1:6">
      <c r="A117" s="6">
        <f>IF($G117="","",25)</f>
      </c>
      <c r="B117" s="6">
        <f>IF($G117="","",INDEX('Registro Refuerzo'!$D$2:$D$201,$G117))</f>
      </c>
      <c r="C117" s="6">
        <f>IF($G117="","",INDEX('Registro Refuerzo'!$F$2:$F$201,$G117))</f>
      </c>
      <c r="D117" s="6">
        <f>IF($G117="","",INDEX('Registro Refuerzo'!$G$2:$G$201,$G117))</f>
      </c>
      <c r="E117" s="6">
        <f>IF($G117="","",INDEX('Registro Refuerzo'!$E$2:$E$201,$G117))</f>
      </c>
      <c r="F117" s="6"/>
      <c r="G117" s="0">
        <f>IFERROR(MATCH(25,'Registro Refuerzo'!$L$2:$L$201,0),"")</f>
      </c>
    </row>
    <row r="118" spans="1:6">
      <c r="A118" s="6">
        <f>IF($G118="","",26)</f>
      </c>
      <c r="B118" s="6">
        <f>IF($G118="","",INDEX('Registro Refuerzo'!$D$2:$D$201,$G118))</f>
      </c>
      <c r="C118" s="6">
        <f>IF($G118="","",INDEX('Registro Refuerzo'!$F$2:$F$201,$G118))</f>
      </c>
      <c r="D118" s="6">
        <f>IF($G118="","",INDEX('Registro Refuerzo'!$G$2:$G$201,$G118))</f>
      </c>
      <c r="E118" s="6">
        <f>IF($G118="","",INDEX('Registro Refuerzo'!$E$2:$E$201,$G118))</f>
      </c>
      <c r="F118" s="6"/>
      <c r="G118" s="0">
        <f>IFERROR(MATCH(26,'Registro Refuerzo'!$L$2:$L$201,0),"")</f>
      </c>
    </row>
    <row r="119" spans="1:6">
      <c r="A119" s="6">
        <f>IF($G119="","",27)</f>
      </c>
      <c r="B119" s="6">
        <f>IF($G119="","",INDEX('Registro Refuerzo'!$D$2:$D$201,$G119))</f>
      </c>
      <c r="C119" s="6">
        <f>IF($G119="","",INDEX('Registro Refuerzo'!$F$2:$F$201,$G119))</f>
      </c>
      <c r="D119" s="6">
        <f>IF($G119="","",INDEX('Registro Refuerzo'!$G$2:$G$201,$G119))</f>
      </c>
      <c r="E119" s="6">
        <f>IF($G119="","",INDEX('Registro Refuerzo'!$E$2:$E$201,$G119))</f>
      </c>
      <c r="F119" s="6"/>
      <c r="G119" s="0">
        <f>IFERROR(MATCH(27,'Registro Refuerzo'!$L$2:$L$201,0),"")</f>
      </c>
    </row>
    <row r="120" spans="1:6">
      <c r="A120" s="6">
        <f>IF($G120="","",28)</f>
      </c>
      <c r="B120" s="6">
        <f>IF($G120="","",INDEX('Registro Refuerzo'!$D$2:$D$201,$G120))</f>
      </c>
      <c r="C120" s="6">
        <f>IF($G120="","",INDEX('Registro Refuerzo'!$F$2:$F$201,$G120))</f>
      </c>
      <c r="D120" s="6">
        <f>IF($G120="","",INDEX('Registro Refuerzo'!$G$2:$G$201,$G120))</f>
      </c>
      <c r="E120" s="6">
        <f>IF($G120="","",INDEX('Registro Refuerzo'!$E$2:$E$201,$G120))</f>
      </c>
      <c r="F120" s="6"/>
      <c r="G120" s="0">
        <f>IFERROR(MATCH(28,'Registro Refuerzo'!$L$2:$L$201,0),"")</f>
      </c>
    </row>
    <row r="121" spans="1:6">
      <c r="A121" s="6">
        <f>IF($G121="","",29)</f>
      </c>
      <c r="B121" s="6">
        <f>IF($G121="","",INDEX('Registro Refuerzo'!$D$2:$D$201,$G121))</f>
      </c>
      <c r="C121" s="6">
        <f>IF($G121="","",INDEX('Registro Refuerzo'!$F$2:$F$201,$G121))</f>
      </c>
      <c r="D121" s="6">
        <f>IF($G121="","",INDEX('Registro Refuerzo'!$G$2:$G$201,$G121))</f>
      </c>
      <c r="E121" s="6">
        <f>IF($G121="","",INDEX('Registro Refuerzo'!$E$2:$E$201,$G121))</f>
      </c>
      <c r="F121" s="6"/>
      <c r="G121" s="0">
        <f>IFERROR(MATCH(29,'Registro Refuerzo'!$L$2:$L$201,0),"")</f>
      </c>
    </row>
    <row r="122" spans="1:6">
      <c r="A122" s="6">
        <f>IF($G122="","",30)</f>
      </c>
      <c r="B122" s="6">
        <f>IF($G122="","",INDEX('Registro Refuerzo'!$D$2:$D$201,$G122))</f>
      </c>
      <c r="C122" s="6">
        <f>IF($G122="","",INDEX('Registro Refuerzo'!$F$2:$F$201,$G122))</f>
      </c>
      <c r="D122" s="6">
        <f>IF($G122="","",INDEX('Registro Refuerzo'!$G$2:$G$201,$G122))</f>
      </c>
      <c r="E122" s="6">
        <f>IF($G122="","",INDEX('Registro Refuerzo'!$E$2:$E$201,$G122))</f>
      </c>
      <c r="F122" s="6"/>
      <c r="G122" s="0">
        <f>IFERROR(MATCH(30,'Registro Refuerzo'!$L$2:$L$201,0),"")</f>
      </c>
    </row>
    <row r="123" spans="1:6">
      <c r="A123" s="6">
        <f>IF($G123="","",31)</f>
      </c>
      <c r="B123" s="6">
        <f>IF($G123="","",INDEX('Registro Refuerzo'!$D$2:$D$201,$G123))</f>
      </c>
      <c r="C123" s="6">
        <f>IF($G123="","",INDEX('Registro Refuerzo'!$F$2:$F$201,$G123))</f>
      </c>
      <c r="D123" s="6">
        <f>IF($G123="","",INDEX('Registro Refuerzo'!$G$2:$G$201,$G123))</f>
      </c>
      <c r="E123" s="6">
        <f>IF($G123="","",INDEX('Registro Refuerzo'!$E$2:$E$201,$G123))</f>
      </c>
      <c r="F123" s="6"/>
      <c r="G123" s="0">
        <f>IFERROR(MATCH(31,'Registro Refuerzo'!$L$2:$L$201,0),"")</f>
      </c>
    </row>
    <row r="124" spans="1:6">
      <c r="A124" s="6">
        <f>IF($G124="","",32)</f>
      </c>
      <c r="B124" s="6">
        <f>IF($G124="","",INDEX('Registro Refuerzo'!$D$2:$D$201,$G124))</f>
      </c>
      <c r="C124" s="6">
        <f>IF($G124="","",INDEX('Registro Refuerzo'!$F$2:$F$201,$G124))</f>
      </c>
      <c r="D124" s="6">
        <f>IF($G124="","",INDEX('Registro Refuerzo'!$G$2:$G$201,$G124))</f>
      </c>
      <c r="E124" s="6">
        <f>IF($G124="","",INDEX('Registro Refuerzo'!$E$2:$E$201,$G124))</f>
      </c>
      <c r="F124" s="6"/>
      <c r="G124" s="0">
        <f>IFERROR(MATCH(32,'Registro Refuerzo'!$L$2:$L$201,0),"")</f>
      </c>
    </row>
    <row r="125" spans="1:6">
      <c r="A125" s="6">
        <f>IF($G125="","",33)</f>
      </c>
      <c r="B125" s="6">
        <f>IF($G125="","",INDEX('Registro Refuerzo'!$D$2:$D$201,$G125))</f>
      </c>
      <c r="C125" s="6">
        <f>IF($G125="","",INDEX('Registro Refuerzo'!$F$2:$F$201,$G125))</f>
      </c>
      <c r="D125" s="6">
        <f>IF($G125="","",INDEX('Registro Refuerzo'!$G$2:$G$201,$G125))</f>
      </c>
      <c r="E125" s="6">
        <f>IF($G125="","",INDEX('Registro Refuerzo'!$E$2:$E$201,$G125))</f>
      </c>
      <c r="F125" s="6"/>
      <c r="G125" s="0">
        <f>IFERROR(MATCH(33,'Registro Refuerzo'!$L$2:$L$201,0),"")</f>
      </c>
    </row>
    <row r="126" spans="1:6">
      <c r="A126" s="6">
        <f>IF($G126="","",34)</f>
      </c>
      <c r="B126" s="6">
        <f>IF($G126="","",INDEX('Registro Refuerzo'!$D$2:$D$201,$G126))</f>
      </c>
      <c r="C126" s="6">
        <f>IF($G126="","",INDEX('Registro Refuerzo'!$F$2:$F$201,$G126))</f>
      </c>
      <c r="D126" s="6">
        <f>IF($G126="","",INDEX('Registro Refuerzo'!$G$2:$G$201,$G126))</f>
      </c>
      <c r="E126" s="6">
        <f>IF($G126="","",INDEX('Registro Refuerzo'!$E$2:$E$201,$G126))</f>
      </c>
      <c r="F126" s="6"/>
      <c r="G126" s="0">
        <f>IFERROR(MATCH(34,'Registro Refuerzo'!$L$2:$L$201,0),"")</f>
      </c>
    </row>
    <row r="127" spans="1:6">
      <c r="A127" s="6">
        <f>IF($G127="","",35)</f>
      </c>
      <c r="B127" s="6">
        <f>IF($G127="","",INDEX('Registro Refuerzo'!$D$2:$D$201,$G127))</f>
      </c>
      <c r="C127" s="6">
        <f>IF($G127="","",INDEX('Registro Refuerzo'!$F$2:$F$201,$G127))</f>
      </c>
      <c r="D127" s="6">
        <f>IF($G127="","",INDEX('Registro Refuerzo'!$G$2:$G$201,$G127))</f>
      </c>
      <c r="E127" s="6">
        <f>IF($G127="","",INDEX('Registro Refuerzo'!$E$2:$E$201,$G127))</f>
      </c>
      <c r="F127" s="6"/>
      <c r="G127" s="0">
        <f>IFERROR(MATCH(35,'Registro Refuerzo'!$L$2:$L$201,0),"")</f>
      </c>
    </row>
    <row r="128" spans="1:6">
      <c r="A128" s="6">
        <f>IF($G128="","",36)</f>
      </c>
      <c r="B128" s="6">
        <f>IF($G128="","",INDEX('Registro Refuerzo'!$D$2:$D$201,$G128))</f>
      </c>
      <c r="C128" s="6">
        <f>IF($G128="","",INDEX('Registro Refuerzo'!$F$2:$F$201,$G128))</f>
      </c>
      <c r="D128" s="6">
        <f>IF($G128="","",INDEX('Registro Refuerzo'!$G$2:$G$201,$G128))</f>
      </c>
      <c r="E128" s="6">
        <f>IF($G128="","",INDEX('Registro Refuerzo'!$E$2:$E$201,$G128))</f>
      </c>
      <c r="F128" s="6"/>
      <c r="G128" s="0">
        <f>IFERROR(MATCH(36,'Registro Refuerzo'!$L$2:$L$201,0),"")</f>
      </c>
    </row>
    <row r="129" spans="1:6">
      <c r="A129" s="6">
        <f>IF($G129="","",37)</f>
      </c>
      <c r="B129" s="6">
        <f>IF($G129="","",INDEX('Registro Refuerzo'!$D$2:$D$201,$G129))</f>
      </c>
      <c r="C129" s="6">
        <f>IF($G129="","",INDEX('Registro Refuerzo'!$F$2:$F$201,$G129))</f>
      </c>
      <c r="D129" s="6">
        <f>IF($G129="","",INDEX('Registro Refuerzo'!$G$2:$G$201,$G129))</f>
      </c>
      <c r="E129" s="6">
        <f>IF($G129="","",INDEX('Registro Refuerzo'!$E$2:$E$201,$G129))</f>
      </c>
      <c r="F129" s="6"/>
      <c r="G129" s="0">
        <f>IFERROR(MATCH(37,'Registro Refuerzo'!$L$2:$L$201,0),"")</f>
      </c>
    </row>
    <row r="130" spans="1:6">
      <c r="A130" s="6">
        <f>IF($G130="","",38)</f>
      </c>
      <c r="B130" s="6">
        <f>IF($G130="","",INDEX('Registro Refuerzo'!$D$2:$D$201,$G130))</f>
      </c>
      <c r="C130" s="6">
        <f>IF($G130="","",INDEX('Registro Refuerzo'!$F$2:$F$201,$G130))</f>
      </c>
      <c r="D130" s="6">
        <f>IF($G130="","",INDEX('Registro Refuerzo'!$G$2:$G$201,$G130))</f>
      </c>
      <c r="E130" s="6">
        <f>IF($G130="","",INDEX('Registro Refuerzo'!$E$2:$E$201,$G130))</f>
      </c>
      <c r="F130" s="6"/>
      <c r="G130" s="0">
        <f>IFERROR(MATCH(38,'Registro Refuerzo'!$L$2:$L$201,0),"")</f>
      </c>
    </row>
    <row r="131" spans="1:6">
      <c r="A131" s="6">
        <f>IF($G131="","",39)</f>
      </c>
      <c r="B131" s="6">
        <f>IF($G131="","",INDEX('Registro Refuerzo'!$D$2:$D$201,$G131))</f>
      </c>
      <c r="C131" s="6">
        <f>IF($G131="","",INDEX('Registro Refuerzo'!$F$2:$F$201,$G131))</f>
      </c>
      <c r="D131" s="6">
        <f>IF($G131="","",INDEX('Registro Refuerzo'!$G$2:$G$201,$G131))</f>
      </c>
      <c r="E131" s="6">
        <f>IF($G131="","",INDEX('Registro Refuerzo'!$E$2:$E$201,$G131))</f>
      </c>
      <c r="F131" s="6"/>
      <c r="G131" s="0">
        <f>IFERROR(MATCH(39,'Registro Refuerzo'!$L$2:$L$201,0),"")</f>
      </c>
    </row>
    <row r="132" spans="1:6">
      <c r="A132" s="6">
        <f>IF($G132="","",40)</f>
      </c>
      <c r="B132" s="6">
        <f>IF($G132="","",INDEX('Registro Refuerzo'!$D$2:$D$201,$G132))</f>
      </c>
      <c r="C132" s="6">
        <f>IF($G132="","",INDEX('Registro Refuerzo'!$F$2:$F$201,$G132))</f>
      </c>
      <c r="D132" s="6">
        <f>IF($G132="","",INDEX('Registro Refuerzo'!$G$2:$G$201,$G132))</f>
      </c>
      <c r="E132" s="6">
        <f>IF($G132="","",INDEX('Registro Refuerzo'!$E$2:$E$201,$G132))</f>
      </c>
      <c r="F132" s="6"/>
      <c r="G132" s="0">
        <f>IFERROR(MATCH(40,'Registro Refuerzo'!$L$2:$L$201,0),"")</f>
      </c>
    </row>
    <row r="133" spans="1:6">
      <c r="A133" s="6">
        <f>IF($G133="","",41)</f>
      </c>
      <c r="B133" s="6">
        <f>IF($G133="","",INDEX('Registro Refuerzo'!$D$2:$D$201,$G133))</f>
      </c>
      <c r="C133" s="6">
        <f>IF($G133="","",INDEX('Registro Refuerzo'!$F$2:$F$201,$G133))</f>
      </c>
      <c r="D133" s="6">
        <f>IF($G133="","",INDEX('Registro Refuerzo'!$G$2:$G$201,$G133))</f>
      </c>
      <c r="E133" s="6">
        <f>IF($G133="","",INDEX('Registro Refuerzo'!$E$2:$E$201,$G133))</f>
      </c>
      <c r="F133" s="6"/>
      <c r="G133" s="0">
        <f>IFERROR(MATCH(41,'Registro Refuerzo'!$L$2:$L$201,0),"")</f>
      </c>
    </row>
    <row r="134" spans="1:6">
      <c r="A134" s="6">
        <f>IF($G134="","",42)</f>
      </c>
      <c r="B134" s="6">
        <f>IF($G134="","",INDEX('Registro Refuerzo'!$D$2:$D$201,$G134))</f>
      </c>
      <c r="C134" s="6">
        <f>IF($G134="","",INDEX('Registro Refuerzo'!$F$2:$F$201,$G134))</f>
      </c>
      <c r="D134" s="6">
        <f>IF($G134="","",INDEX('Registro Refuerzo'!$G$2:$G$201,$G134))</f>
      </c>
      <c r="E134" s="6">
        <f>IF($G134="","",INDEX('Registro Refuerzo'!$E$2:$E$201,$G134))</f>
      </c>
      <c r="F134" s="6"/>
      <c r="G134" s="0">
        <f>IFERROR(MATCH(42,'Registro Refuerzo'!$L$2:$L$201,0),"")</f>
      </c>
    </row>
    <row r="135" spans="1:6">
      <c r="A135" s="6">
        <f>IF($G135="","",43)</f>
      </c>
      <c r="B135" s="6">
        <f>IF($G135="","",INDEX('Registro Refuerzo'!$D$2:$D$201,$G135))</f>
      </c>
      <c r="C135" s="6">
        <f>IF($G135="","",INDEX('Registro Refuerzo'!$F$2:$F$201,$G135))</f>
      </c>
      <c r="D135" s="6">
        <f>IF($G135="","",INDEX('Registro Refuerzo'!$G$2:$G$201,$G135))</f>
      </c>
      <c r="E135" s="6">
        <f>IF($G135="","",INDEX('Registro Refuerzo'!$E$2:$E$201,$G135))</f>
      </c>
      <c r="F135" s="6"/>
      <c r="G135" s="0">
        <f>IFERROR(MATCH(43,'Registro Refuerzo'!$L$2:$L$201,0),"")</f>
      </c>
    </row>
    <row r="136" spans="1:6">
      <c r="A136" s="6">
        <f>IF($G136="","",44)</f>
      </c>
      <c r="B136" s="6">
        <f>IF($G136="","",INDEX('Registro Refuerzo'!$D$2:$D$201,$G136))</f>
      </c>
      <c r="C136" s="6">
        <f>IF($G136="","",INDEX('Registro Refuerzo'!$F$2:$F$201,$G136))</f>
      </c>
      <c r="D136" s="6">
        <f>IF($G136="","",INDEX('Registro Refuerzo'!$G$2:$G$201,$G136))</f>
      </c>
      <c r="E136" s="6">
        <f>IF($G136="","",INDEX('Registro Refuerzo'!$E$2:$E$201,$G136))</f>
      </c>
      <c r="F136" s="6"/>
      <c r="G136" s="0">
        <f>IFERROR(MATCH(44,'Registro Refuerzo'!$L$2:$L$201,0),"")</f>
      </c>
    </row>
    <row r="137" spans="1:6">
      <c r="A137" s="6">
        <f>IF($G137="","",45)</f>
      </c>
      <c r="B137" s="6">
        <f>IF($G137="","",INDEX('Registro Refuerzo'!$D$2:$D$201,$G137))</f>
      </c>
      <c r="C137" s="6">
        <f>IF($G137="","",INDEX('Registro Refuerzo'!$F$2:$F$201,$G137))</f>
      </c>
      <c r="D137" s="6">
        <f>IF($G137="","",INDEX('Registro Refuerzo'!$G$2:$G$201,$G137))</f>
      </c>
      <c r="E137" s="6">
        <f>IF($G137="","",INDEX('Registro Refuerzo'!$E$2:$E$201,$G137))</f>
      </c>
      <c r="F137" s="6"/>
      <c r="G137" s="0">
        <f>IFERROR(MATCH(45,'Registro Refuerzo'!$L$2:$L$201,0),"")</f>
      </c>
    </row>
    <row r="138" spans="1:6">
      <c r="A138" s="6">
        <f>IF($G138="","",46)</f>
      </c>
      <c r="B138" s="6">
        <f>IF($G138="","",INDEX('Registro Refuerzo'!$D$2:$D$201,$G138))</f>
      </c>
      <c r="C138" s="6">
        <f>IF($G138="","",INDEX('Registro Refuerzo'!$F$2:$F$201,$G138))</f>
      </c>
      <c r="D138" s="6">
        <f>IF($G138="","",INDEX('Registro Refuerzo'!$G$2:$G$201,$G138))</f>
      </c>
      <c r="E138" s="6">
        <f>IF($G138="","",INDEX('Registro Refuerzo'!$E$2:$E$201,$G138))</f>
      </c>
      <c r="F138" s="6"/>
      <c r="G138" s="0">
        <f>IFERROR(MATCH(46,'Registro Refuerzo'!$L$2:$L$201,0),"")</f>
      </c>
    </row>
    <row r="139" spans="1:6">
      <c r="A139" s="6">
        <f>IF($G139="","",47)</f>
      </c>
      <c r="B139" s="6">
        <f>IF($G139="","",INDEX('Registro Refuerzo'!$D$2:$D$201,$G139))</f>
      </c>
      <c r="C139" s="6">
        <f>IF($G139="","",INDEX('Registro Refuerzo'!$F$2:$F$201,$G139))</f>
      </c>
      <c r="D139" s="6">
        <f>IF($G139="","",INDEX('Registro Refuerzo'!$G$2:$G$201,$G139))</f>
      </c>
      <c r="E139" s="6">
        <f>IF($G139="","",INDEX('Registro Refuerzo'!$E$2:$E$201,$G139))</f>
      </c>
      <c r="F139" s="6"/>
      <c r="G139" s="0">
        <f>IFERROR(MATCH(47,'Registro Refuerzo'!$L$2:$L$201,0),"")</f>
      </c>
    </row>
    <row r="140" spans="1:6">
      <c r="A140" s="6">
        <f>IF($G140="","",48)</f>
      </c>
      <c r="B140" s="6">
        <f>IF($G140="","",INDEX('Registro Refuerzo'!$D$2:$D$201,$G140))</f>
      </c>
      <c r="C140" s="6">
        <f>IF($G140="","",INDEX('Registro Refuerzo'!$F$2:$F$201,$G140))</f>
      </c>
      <c r="D140" s="6">
        <f>IF($G140="","",INDEX('Registro Refuerzo'!$G$2:$G$201,$G140))</f>
      </c>
      <c r="E140" s="6">
        <f>IF($G140="","",INDEX('Registro Refuerzo'!$E$2:$E$201,$G140))</f>
      </c>
      <c r="F140" s="6"/>
      <c r="G140" s="0">
        <f>IFERROR(MATCH(48,'Registro Refuerzo'!$L$2:$L$201,0),"")</f>
      </c>
    </row>
    <row r="141" spans="1:6">
      <c r="A141" s="6">
        <f>IF($G141="","",49)</f>
      </c>
      <c r="B141" s="6">
        <f>IF($G141="","",INDEX('Registro Refuerzo'!$D$2:$D$201,$G141))</f>
      </c>
      <c r="C141" s="6">
        <f>IF($G141="","",INDEX('Registro Refuerzo'!$F$2:$F$201,$G141))</f>
      </c>
      <c r="D141" s="6">
        <f>IF($G141="","",INDEX('Registro Refuerzo'!$G$2:$G$201,$G141))</f>
      </c>
      <c r="E141" s="6">
        <f>IF($G141="","",INDEX('Registro Refuerzo'!$E$2:$E$201,$G141))</f>
      </c>
      <c r="F141" s="6"/>
      <c r="G141" s="0">
        <f>IFERROR(MATCH(49,'Registro Refuerzo'!$L$2:$L$201,0),"")</f>
      </c>
    </row>
    <row r="142" spans="1:6">
      <c r="A142" s="6">
        <f>IF($G142="","",50)</f>
      </c>
      <c r="B142" s="6">
        <f>IF($G142="","",INDEX('Registro Refuerzo'!$D$2:$D$201,$G142))</f>
      </c>
      <c r="C142" s="6">
        <f>IF($G142="","",INDEX('Registro Refuerzo'!$F$2:$F$201,$G142))</f>
      </c>
      <c r="D142" s="6">
        <f>IF($G142="","",INDEX('Registro Refuerzo'!$G$2:$G$201,$G142))</f>
      </c>
      <c r="E142" s="6">
        <f>IF($G142="","",INDEX('Registro Refuerzo'!$E$2:$E$201,$G142))</f>
      </c>
      <c r="F142" s="6"/>
      <c r="G142" s="0">
        <f>IFERROR(MATCH(50,'Registro Refuerzo'!$L$2:$L$201,0),"")</f>
      </c>
    </row>
    <row r="143" spans="1:6">
      <c r="A143" s="6">
        <f>IF($G143="","",51)</f>
      </c>
      <c r="B143" s="6">
        <f>IF($G143="","",INDEX('Registro Refuerzo'!$D$2:$D$201,$G143))</f>
      </c>
      <c r="C143" s="6">
        <f>IF($G143="","",INDEX('Registro Refuerzo'!$F$2:$F$201,$G143))</f>
      </c>
      <c r="D143" s="6">
        <f>IF($G143="","",INDEX('Registro Refuerzo'!$G$2:$G$201,$G143))</f>
      </c>
      <c r="E143" s="6">
        <f>IF($G143="","",INDEX('Registro Refuerzo'!$E$2:$E$201,$G143))</f>
      </c>
      <c r="F143" s="6"/>
      <c r="G143" s="0">
        <f>IFERROR(MATCH(51,'Registro Refuerzo'!$L$2:$L$201,0),"")</f>
      </c>
    </row>
    <row r="144" spans="1:6">
      <c r="A144" s="6">
        <f>IF($G144="","",52)</f>
      </c>
      <c r="B144" s="6">
        <f>IF($G144="","",INDEX('Registro Refuerzo'!$D$2:$D$201,$G144))</f>
      </c>
      <c r="C144" s="6">
        <f>IF($G144="","",INDEX('Registro Refuerzo'!$F$2:$F$201,$G144))</f>
      </c>
      <c r="D144" s="6">
        <f>IF($G144="","",INDEX('Registro Refuerzo'!$G$2:$G$201,$G144))</f>
      </c>
      <c r="E144" s="6">
        <f>IF($G144="","",INDEX('Registro Refuerzo'!$E$2:$E$201,$G144))</f>
      </c>
      <c r="F144" s="6"/>
      <c r="G144" s="0">
        <f>IFERROR(MATCH(52,'Registro Refuerzo'!$L$2:$L$201,0),"")</f>
      </c>
    </row>
    <row r="145" spans="1:6">
      <c r="A145" s="6">
        <f>IF($G145="","",53)</f>
      </c>
      <c r="B145" s="6">
        <f>IF($G145="","",INDEX('Registro Refuerzo'!$D$2:$D$201,$G145))</f>
      </c>
      <c r="C145" s="6">
        <f>IF($G145="","",INDEX('Registro Refuerzo'!$F$2:$F$201,$G145))</f>
      </c>
      <c r="D145" s="6">
        <f>IF($G145="","",INDEX('Registro Refuerzo'!$G$2:$G$201,$G145))</f>
      </c>
      <c r="E145" s="6">
        <f>IF($G145="","",INDEX('Registro Refuerzo'!$E$2:$E$201,$G145))</f>
      </c>
      <c r="F145" s="6"/>
      <c r="G145" s="0">
        <f>IFERROR(MATCH(53,'Registro Refuerzo'!$L$2:$L$201,0),"")</f>
      </c>
    </row>
    <row r="146" spans="1:6">
      <c r="A146" s="6">
        <f>IF($G146="","",54)</f>
      </c>
      <c r="B146" s="6">
        <f>IF($G146="","",INDEX('Registro Refuerzo'!$D$2:$D$201,$G146))</f>
      </c>
      <c r="C146" s="6">
        <f>IF($G146="","",INDEX('Registro Refuerzo'!$F$2:$F$201,$G146))</f>
      </c>
      <c r="D146" s="6">
        <f>IF($G146="","",INDEX('Registro Refuerzo'!$G$2:$G$201,$G146))</f>
      </c>
      <c r="E146" s="6">
        <f>IF($G146="","",INDEX('Registro Refuerzo'!$E$2:$E$201,$G146))</f>
      </c>
      <c r="F146" s="6"/>
      <c r="G146" s="0">
        <f>IFERROR(MATCH(54,'Registro Refuerzo'!$L$2:$L$201,0),"")</f>
      </c>
    </row>
    <row r="147" spans="1:6">
      <c r="A147" s="6">
        <f>IF($G147="","",55)</f>
      </c>
      <c r="B147" s="6">
        <f>IF($G147="","",INDEX('Registro Refuerzo'!$D$2:$D$201,$G147))</f>
      </c>
      <c r="C147" s="6">
        <f>IF($G147="","",INDEX('Registro Refuerzo'!$F$2:$F$201,$G147))</f>
      </c>
      <c r="D147" s="6">
        <f>IF($G147="","",INDEX('Registro Refuerzo'!$G$2:$G$201,$G147))</f>
      </c>
      <c r="E147" s="6">
        <f>IF($G147="","",INDEX('Registro Refuerzo'!$E$2:$E$201,$G147))</f>
      </c>
      <c r="F147" s="6"/>
      <c r="G147" s="0">
        <f>IFERROR(MATCH(55,'Registro Refuerzo'!$L$2:$L$201,0),"")</f>
      </c>
    </row>
    <row r="148" spans="1:6">
      <c r="A148" s="6">
        <f>IF($G148="","",56)</f>
      </c>
      <c r="B148" s="6">
        <f>IF($G148="","",INDEX('Registro Refuerzo'!$D$2:$D$201,$G148))</f>
      </c>
      <c r="C148" s="6">
        <f>IF($G148="","",INDEX('Registro Refuerzo'!$F$2:$F$201,$G148))</f>
      </c>
      <c r="D148" s="6">
        <f>IF($G148="","",INDEX('Registro Refuerzo'!$G$2:$G$201,$G148))</f>
      </c>
      <c r="E148" s="6">
        <f>IF($G148="","",INDEX('Registro Refuerzo'!$E$2:$E$201,$G148))</f>
      </c>
      <c r="F148" s="6"/>
      <c r="G148" s="0">
        <f>IFERROR(MATCH(56,'Registro Refuerzo'!$L$2:$L$201,0),"")</f>
      </c>
    </row>
    <row r="149" spans="1:6">
      <c r="A149" s="6">
        <f>IF($G149="","",57)</f>
      </c>
      <c r="B149" s="6">
        <f>IF($G149="","",INDEX('Registro Refuerzo'!$D$2:$D$201,$G149))</f>
      </c>
      <c r="C149" s="6">
        <f>IF($G149="","",INDEX('Registro Refuerzo'!$F$2:$F$201,$G149))</f>
      </c>
      <c r="D149" s="6">
        <f>IF($G149="","",INDEX('Registro Refuerzo'!$G$2:$G$201,$G149))</f>
      </c>
      <c r="E149" s="6">
        <f>IF($G149="","",INDEX('Registro Refuerzo'!$E$2:$E$201,$G149))</f>
      </c>
      <c r="F149" s="6"/>
      <c r="G149" s="0">
        <f>IFERROR(MATCH(57,'Registro Refuerzo'!$L$2:$L$201,0),"")</f>
      </c>
    </row>
    <row r="150" spans="1:6">
      <c r="A150" s="6">
        <f>IF($G150="","",58)</f>
      </c>
      <c r="B150" s="6">
        <f>IF($G150="","",INDEX('Registro Refuerzo'!$D$2:$D$201,$G150))</f>
      </c>
      <c r="C150" s="6">
        <f>IF($G150="","",INDEX('Registro Refuerzo'!$F$2:$F$201,$G150))</f>
      </c>
      <c r="D150" s="6">
        <f>IF($G150="","",INDEX('Registro Refuerzo'!$G$2:$G$201,$G150))</f>
      </c>
      <c r="E150" s="6">
        <f>IF($G150="","",INDEX('Registro Refuerzo'!$E$2:$E$201,$G150))</f>
      </c>
      <c r="F150" s="6"/>
      <c r="G150" s="0">
        <f>IFERROR(MATCH(58,'Registro Refuerzo'!$L$2:$L$201,0),"")</f>
      </c>
    </row>
    <row r="151" spans="1:6">
      <c r="A151" s="6">
        <f>IF($G151="","",59)</f>
      </c>
      <c r="B151" s="6">
        <f>IF($G151="","",INDEX('Registro Refuerzo'!$D$2:$D$201,$G151))</f>
      </c>
      <c r="C151" s="6">
        <f>IF($G151="","",INDEX('Registro Refuerzo'!$F$2:$F$201,$G151))</f>
      </c>
      <c r="D151" s="6">
        <f>IF($G151="","",INDEX('Registro Refuerzo'!$G$2:$G$201,$G151))</f>
      </c>
      <c r="E151" s="6">
        <f>IF($G151="","",INDEX('Registro Refuerzo'!$E$2:$E$201,$G151))</f>
      </c>
      <c r="F151" s="6"/>
      <c r="G151" s="0">
        <f>IFERROR(MATCH(59,'Registro Refuerzo'!$L$2:$L$201,0),"")</f>
      </c>
    </row>
    <row r="152" spans="1:6">
      <c r="A152" s="6">
        <f>IF($G152="","",60)</f>
      </c>
      <c r="B152" s="6">
        <f>IF($G152="","",INDEX('Registro Refuerzo'!$D$2:$D$201,$G152))</f>
      </c>
      <c r="C152" s="6">
        <f>IF($G152="","",INDEX('Registro Refuerzo'!$F$2:$F$201,$G152))</f>
      </c>
      <c r="D152" s="6">
        <f>IF($G152="","",INDEX('Registro Refuerzo'!$G$2:$G$201,$G152))</f>
      </c>
      <c r="E152" s="6">
        <f>IF($G152="","",INDEX('Registro Refuerzo'!$E$2:$E$201,$G152))</f>
      </c>
      <c r="F152" s="6"/>
      <c r="G152" s="0">
        <f>IFERROR(MATCH(60,'Registro Refuerzo'!$L$2:$L$201,0),"")</f>
      </c>
    </row>
    <row r="153" spans="1:6">
      <c r="A153" s="6">
        <f>IF($G153="","",61)</f>
      </c>
      <c r="B153" s="6">
        <f>IF($G153="","",INDEX('Registro Refuerzo'!$D$2:$D$201,$G153))</f>
      </c>
      <c r="C153" s="6">
        <f>IF($G153="","",INDEX('Registro Refuerzo'!$F$2:$F$201,$G153))</f>
      </c>
      <c r="D153" s="6">
        <f>IF($G153="","",INDEX('Registro Refuerzo'!$G$2:$G$201,$G153))</f>
      </c>
      <c r="E153" s="6">
        <f>IF($G153="","",INDEX('Registro Refuerzo'!$E$2:$E$201,$G153))</f>
      </c>
      <c r="F153" s="6"/>
      <c r="G153" s="0">
        <f>IFERROR(MATCH(61,'Registro Refuerzo'!$L$2:$L$201,0),"")</f>
      </c>
    </row>
    <row r="154" spans="1:6">
      <c r="A154" s="6">
        <f>IF($G154="","",62)</f>
      </c>
      <c r="B154" s="6">
        <f>IF($G154="","",INDEX('Registro Refuerzo'!$D$2:$D$201,$G154))</f>
      </c>
      <c r="C154" s="6">
        <f>IF($G154="","",INDEX('Registro Refuerzo'!$F$2:$F$201,$G154))</f>
      </c>
      <c r="D154" s="6">
        <f>IF($G154="","",INDEX('Registro Refuerzo'!$G$2:$G$201,$G154))</f>
      </c>
      <c r="E154" s="6">
        <f>IF($G154="","",INDEX('Registro Refuerzo'!$E$2:$E$201,$G154))</f>
      </c>
      <c r="F154" s="6"/>
      <c r="G154" s="0">
        <f>IFERROR(MATCH(62,'Registro Refuerzo'!$L$2:$L$201,0),"")</f>
      </c>
    </row>
    <row r="155" spans="1:6">
      <c r="A155" s="6">
        <f>IF($G155="","",63)</f>
      </c>
      <c r="B155" s="6">
        <f>IF($G155="","",INDEX('Registro Refuerzo'!$D$2:$D$201,$G155))</f>
      </c>
      <c r="C155" s="6">
        <f>IF($G155="","",INDEX('Registro Refuerzo'!$F$2:$F$201,$G155))</f>
      </c>
      <c r="D155" s="6">
        <f>IF($G155="","",INDEX('Registro Refuerzo'!$G$2:$G$201,$G155))</f>
      </c>
      <c r="E155" s="6">
        <f>IF($G155="","",INDEX('Registro Refuerzo'!$E$2:$E$201,$G155))</f>
      </c>
      <c r="F155" s="6"/>
      <c r="G155" s="0">
        <f>IFERROR(MATCH(63,'Registro Refuerzo'!$L$2:$L$201,0),"")</f>
      </c>
    </row>
    <row r="156" spans="1:6">
      <c r="A156" s="6">
        <f>IF($G156="","",64)</f>
      </c>
      <c r="B156" s="6">
        <f>IF($G156="","",INDEX('Registro Refuerzo'!$D$2:$D$201,$G156))</f>
      </c>
      <c r="C156" s="6">
        <f>IF($G156="","",INDEX('Registro Refuerzo'!$F$2:$F$201,$G156))</f>
      </c>
      <c r="D156" s="6">
        <f>IF($G156="","",INDEX('Registro Refuerzo'!$G$2:$G$201,$G156))</f>
      </c>
      <c r="E156" s="6">
        <f>IF($G156="","",INDEX('Registro Refuerzo'!$E$2:$E$201,$G156))</f>
      </c>
      <c r="F156" s="6"/>
      <c r="G156" s="0">
        <f>IFERROR(MATCH(64,'Registro Refuerzo'!$L$2:$L$201,0),"")</f>
      </c>
    </row>
    <row r="157" spans="1:6">
      <c r="A157" s="6">
        <f>IF($G157="","",65)</f>
      </c>
      <c r="B157" s="6">
        <f>IF($G157="","",INDEX('Registro Refuerzo'!$D$2:$D$201,$G157))</f>
      </c>
      <c r="C157" s="6">
        <f>IF($G157="","",INDEX('Registro Refuerzo'!$F$2:$F$201,$G157))</f>
      </c>
      <c r="D157" s="6">
        <f>IF($G157="","",INDEX('Registro Refuerzo'!$G$2:$G$201,$G157))</f>
      </c>
      <c r="E157" s="6">
        <f>IF($G157="","",INDEX('Registro Refuerzo'!$E$2:$E$201,$G157))</f>
      </c>
      <c r="F157" s="6"/>
      <c r="G157" s="0">
        <f>IFERROR(MATCH(65,'Registro Refuerzo'!$L$2:$L$201,0),"")</f>
      </c>
    </row>
    <row r="158" spans="1:6">
      <c r="A158" s="6">
        <f>IF($G158="","",66)</f>
      </c>
      <c r="B158" s="6">
        <f>IF($G158="","",INDEX('Registro Refuerzo'!$D$2:$D$201,$G158))</f>
      </c>
      <c r="C158" s="6">
        <f>IF($G158="","",INDEX('Registro Refuerzo'!$F$2:$F$201,$G158))</f>
      </c>
      <c r="D158" s="6">
        <f>IF($G158="","",INDEX('Registro Refuerzo'!$G$2:$G$201,$G158))</f>
      </c>
      <c r="E158" s="6">
        <f>IF($G158="","",INDEX('Registro Refuerzo'!$E$2:$E$201,$G158))</f>
      </c>
      <c r="F158" s="6"/>
      <c r="G158" s="0">
        <f>IFERROR(MATCH(66,'Registro Refuerzo'!$L$2:$L$201,0),"")</f>
      </c>
    </row>
    <row r="159" spans="1:6">
      <c r="A159" s="6">
        <f>IF($G159="","",67)</f>
      </c>
      <c r="B159" s="6">
        <f>IF($G159="","",INDEX('Registro Refuerzo'!$D$2:$D$201,$G159))</f>
      </c>
      <c r="C159" s="6">
        <f>IF($G159="","",INDEX('Registro Refuerzo'!$F$2:$F$201,$G159))</f>
      </c>
      <c r="D159" s="6">
        <f>IF($G159="","",INDEX('Registro Refuerzo'!$G$2:$G$201,$G159))</f>
      </c>
      <c r="E159" s="6">
        <f>IF($G159="","",INDEX('Registro Refuerzo'!$E$2:$E$201,$G159))</f>
      </c>
      <c r="F159" s="6"/>
      <c r="G159" s="0">
        <f>IFERROR(MATCH(67,'Registro Refuerzo'!$L$2:$L$201,0),"")</f>
      </c>
    </row>
    <row r="160" spans="1:6">
      <c r="A160" s="6">
        <f>IF($G160="","",68)</f>
      </c>
      <c r="B160" s="6">
        <f>IF($G160="","",INDEX('Registro Refuerzo'!$D$2:$D$201,$G160))</f>
      </c>
      <c r="C160" s="6">
        <f>IF($G160="","",INDEX('Registro Refuerzo'!$F$2:$F$201,$G160))</f>
      </c>
      <c r="D160" s="6">
        <f>IF($G160="","",INDEX('Registro Refuerzo'!$G$2:$G$201,$G160))</f>
      </c>
      <c r="E160" s="6">
        <f>IF($G160="","",INDEX('Registro Refuerzo'!$E$2:$E$201,$G160))</f>
      </c>
      <c r="F160" s="6"/>
      <c r="G160" s="0">
        <f>IFERROR(MATCH(68,'Registro Refuerzo'!$L$2:$L$201,0),"")</f>
      </c>
    </row>
    <row r="161" spans="1:6">
      <c r="A161" s="6">
        <f>IF($G161="","",69)</f>
      </c>
      <c r="B161" s="6">
        <f>IF($G161="","",INDEX('Registro Refuerzo'!$D$2:$D$201,$G161))</f>
      </c>
      <c r="C161" s="6">
        <f>IF($G161="","",INDEX('Registro Refuerzo'!$F$2:$F$201,$G161))</f>
      </c>
      <c r="D161" s="6">
        <f>IF($G161="","",INDEX('Registro Refuerzo'!$G$2:$G$201,$G161))</f>
      </c>
      <c r="E161" s="6">
        <f>IF($G161="","",INDEX('Registro Refuerzo'!$E$2:$E$201,$G161))</f>
      </c>
      <c r="F161" s="6"/>
      <c r="G161" s="0">
        <f>IFERROR(MATCH(69,'Registro Refuerzo'!$L$2:$L$201,0),"")</f>
      </c>
    </row>
    <row r="162" spans="1:6">
      <c r="A162" s="6">
        <f>IF($G162="","",70)</f>
      </c>
      <c r="B162" s="6">
        <f>IF($G162="","",INDEX('Registro Refuerzo'!$D$2:$D$201,$G162))</f>
      </c>
      <c r="C162" s="6">
        <f>IF($G162="","",INDEX('Registro Refuerzo'!$F$2:$F$201,$G162))</f>
      </c>
      <c r="D162" s="6">
        <f>IF($G162="","",INDEX('Registro Refuerzo'!$G$2:$G$201,$G162))</f>
      </c>
      <c r="E162" s="6">
        <f>IF($G162="","",INDEX('Registro Refuerzo'!$E$2:$E$201,$G162))</f>
      </c>
      <c r="F162" s="6"/>
      <c r="G162" s="0">
        <f>IFERROR(MATCH(70,'Registro Refuerzo'!$L$2:$L$201,0),"")</f>
      </c>
    </row>
    <row r="163" spans="1:6">
      <c r="A163" s="6">
        <f>IF($G163="","",71)</f>
      </c>
      <c r="B163" s="6">
        <f>IF($G163="","",INDEX('Registro Refuerzo'!$D$2:$D$201,$G163))</f>
      </c>
      <c r="C163" s="6">
        <f>IF($G163="","",INDEX('Registro Refuerzo'!$F$2:$F$201,$G163))</f>
      </c>
      <c r="D163" s="6">
        <f>IF($G163="","",INDEX('Registro Refuerzo'!$G$2:$G$201,$G163))</f>
      </c>
      <c r="E163" s="6">
        <f>IF($G163="","",INDEX('Registro Refuerzo'!$E$2:$E$201,$G163))</f>
      </c>
      <c r="F163" s="6"/>
      <c r="G163" s="0">
        <f>IFERROR(MATCH(71,'Registro Refuerzo'!$L$2:$L$201,0),"")</f>
      </c>
    </row>
    <row r="164" spans="1:6">
      <c r="A164" s="6">
        <f>IF($G164="","",72)</f>
      </c>
      <c r="B164" s="6">
        <f>IF($G164="","",INDEX('Registro Refuerzo'!$D$2:$D$201,$G164))</f>
      </c>
      <c r="C164" s="6">
        <f>IF($G164="","",INDEX('Registro Refuerzo'!$F$2:$F$201,$G164))</f>
      </c>
      <c r="D164" s="6">
        <f>IF($G164="","",INDEX('Registro Refuerzo'!$G$2:$G$201,$G164))</f>
      </c>
      <c r="E164" s="6">
        <f>IF($G164="","",INDEX('Registro Refuerzo'!$E$2:$E$201,$G164))</f>
      </c>
      <c r="F164" s="6"/>
      <c r="G164" s="0">
        <f>IFERROR(MATCH(72,'Registro Refuerzo'!$L$2:$L$201,0),"")</f>
      </c>
    </row>
    <row r="165" spans="1:6">
      <c r="A165" s="6">
        <f>IF($G165="","",73)</f>
      </c>
      <c r="B165" s="6">
        <f>IF($G165="","",INDEX('Registro Refuerzo'!$D$2:$D$201,$G165))</f>
      </c>
      <c r="C165" s="6">
        <f>IF($G165="","",INDEX('Registro Refuerzo'!$F$2:$F$201,$G165))</f>
      </c>
      <c r="D165" s="6">
        <f>IF($G165="","",INDEX('Registro Refuerzo'!$G$2:$G$201,$G165))</f>
      </c>
      <c r="E165" s="6">
        <f>IF($G165="","",INDEX('Registro Refuerzo'!$E$2:$E$201,$G165))</f>
      </c>
      <c r="F165" s="6"/>
      <c r="G165" s="0">
        <f>IFERROR(MATCH(73,'Registro Refuerzo'!$L$2:$L$201,0),"")</f>
      </c>
    </row>
    <row r="166" spans="1:6">
      <c r="A166" s="6">
        <f>IF($G166="","",74)</f>
      </c>
      <c r="B166" s="6">
        <f>IF($G166="","",INDEX('Registro Refuerzo'!$D$2:$D$201,$G166))</f>
      </c>
      <c r="C166" s="6">
        <f>IF($G166="","",INDEX('Registro Refuerzo'!$F$2:$F$201,$G166))</f>
      </c>
      <c r="D166" s="6">
        <f>IF($G166="","",INDEX('Registro Refuerzo'!$G$2:$G$201,$G166))</f>
      </c>
      <c r="E166" s="6">
        <f>IF($G166="","",INDEX('Registro Refuerzo'!$E$2:$E$201,$G166))</f>
      </c>
      <c r="F166" s="6"/>
      <c r="G166" s="0">
        <f>IFERROR(MATCH(74,'Registro Refuerzo'!$L$2:$L$201,0),"")</f>
      </c>
    </row>
    <row r="167" spans="1:6">
      <c r="A167" s="6">
        <f>IF($G167="","",75)</f>
      </c>
      <c r="B167" s="6">
        <f>IF($G167="","",INDEX('Registro Refuerzo'!$D$2:$D$201,$G167))</f>
      </c>
      <c r="C167" s="6">
        <f>IF($G167="","",INDEX('Registro Refuerzo'!$F$2:$F$201,$G167))</f>
      </c>
      <c r="D167" s="6">
        <f>IF($G167="","",INDEX('Registro Refuerzo'!$G$2:$G$201,$G167))</f>
      </c>
      <c r="E167" s="6">
        <f>IF($G167="","",INDEX('Registro Refuerzo'!$E$2:$E$201,$G167))</f>
      </c>
      <c r="F167" s="6"/>
      <c r="G167" s="0">
        <f>IFERROR(MATCH(75,'Registro Refuerzo'!$L$2:$L$201,0),"")</f>
      </c>
    </row>
    <row r="168" spans="1:6">
      <c r="A168" s="6">
        <f>IF($G168="","",76)</f>
      </c>
      <c r="B168" s="6">
        <f>IF($G168="","",INDEX('Registro Refuerzo'!$D$2:$D$201,$G168))</f>
      </c>
      <c r="C168" s="6">
        <f>IF($G168="","",INDEX('Registro Refuerzo'!$F$2:$F$201,$G168))</f>
      </c>
      <c r="D168" s="6">
        <f>IF($G168="","",INDEX('Registro Refuerzo'!$G$2:$G$201,$G168))</f>
      </c>
      <c r="E168" s="6">
        <f>IF($G168="","",INDEX('Registro Refuerzo'!$E$2:$E$201,$G168))</f>
      </c>
      <c r="F168" s="6"/>
      <c r="G168" s="0">
        <f>IFERROR(MATCH(76,'Registro Refuerzo'!$L$2:$L$201,0),"")</f>
      </c>
    </row>
    <row r="169" spans="1:6">
      <c r="A169" s="6">
        <f>IF($G169="","",77)</f>
      </c>
      <c r="B169" s="6">
        <f>IF($G169="","",INDEX('Registro Refuerzo'!$D$2:$D$201,$G169))</f>
      </c>
      <c r="C169" s="6">
        <f>IF($G169="","",INDEX('Registro Refuerzo'!$F$2:$F$201,$G169))</f>
      </c>
      <c r="D169" s="6">
        <f>IF($G169="","",INDEX('Registro Refuerzo'!$G$2:$G$201,$G169))</f>
      </c>
      <c r="E169" s="6">
        <f>IF($G169="","",INDEX('Registro Refuerzo'!$E$2:$E$201,$G169))</f>
      </c>
      <c r="F169" s="6"/>
      <c r="G169" s="0">
        <f>IFERROR(MATCH(77,'Registro Refuerzo'!$L$2:$L$201,0),"")</f>
      </c>
    </row>
    <row r="170" spans="1:6">
      <c r="A170" s="6">
        <f>IF($G170="","",78)</f>
      </c>
      <c r="B170" s="6">
        <f>IF($G170="","",INDEX('Registro Refuerzo'!$D$2:$D$201,$G170))</f>
      </c>
      <c r="C170" s="6">
        <f>IF($G170="","",INDEX('Registro Refuerzo'!$F$2:$F$201,$G170))</f>
      </c>
      <c r="D170" s="6">
        <f>IF($G170="","",INDEX('Registro Refuerzo'!$G$2:$G$201,$G170))</f>
      </c>
      <c r="E170" s="6">
        <f>IF($G170="","",INDEX('Registro Refuerzo'!$E$2:$E$201,$G170))</f>
      </c>
      <c r="F170" s="6"/>
      <c r="G170" s="0">
        <f>IFERROR(MATCH(78,'Registro Refuerzo'!$L$2:$L$201,0),"")</f>
      </c>
    </row>
    <row r="171" spans="1:6">
      <c r="A171" s="6">
        <f>IF($G171="","",79)</f>
      </c>
      <c r="B171" s="6">
        <f>IF($G171="","",INDEX('Registro Refuerzo'!$D$2:$D$201,$G171))</f>
      </c>
      <c r="C171" s="6">
        <f>IF($G171="","",INDEX('Registro Refuerzo'!$F$2:$F$201,$G171))</f>
      </c>
      <c r="D171" s="6">
        <f>IF($G171="","",INDEX('Registro Refuerzo'!$G$2:$G$201,$G171))</f>
      </c>
      <c r="E171" s="6">
        <f>IF($G171="","",INDEX('Registro Refuerzo'!$E$2:$E$201,$G171))</f>
      </c>
      <c r="F171" s="6"/>
      <c r="G171" s="0">
        <f>IFERROR(MATCH(79,'Registro Refuerzo'!$L$2:$L$201,0),"")</f>
      </c>
    </row>
    <row r="172" spans="1:6">
      <c r="A172" s="6">
        <f>IF($G172="","",80)</f>
      </c>
      <c r="B172" s="6">
        <f>IF($G172="","",INDEX('Registro Refuerzo'!$D$2:$D$201,$G172))</f>
      </c>
      <c r="C172" s="6">
        <f>IF($G172="","",INDEX('Registro Refuerzo'!$F$2:$F$201,$G172))</f>
      </c>
      <c r="D172" s="6">
        <f>IF($G172="","",INDEX('Registro Refuerzo'!$G$2:$G$201,$G172))</f>
      </c>
      <c r="E172" s="6">
        <f>IF($G172="","",INDEX('Registro Refuerzo'!$E$2:$E$201,$G172))</f>
      </c>
      <c r="F172" s="6"/>
      <c r="G172" s="0">
        <f>IFERROR(MATCH(80,'Registro Refuerzo'!$L$2:$L$201,0),"")</f>
      </c>
    </row>
  </sheetData>
  <sheetProtection sheet="1" objects="1" scenarios="1" formatCells="1" formatColumns="1" formatRows="1" insertColumns="1" insertRows="1" insertHyperlinks="1" deleteColumns="1" deleteRows="1" sort="1" autoFilter="0" pivotTables="1" selectLockedCells="0" selectUnlockedCells="0"/>
  <mergeCells count="7">
    <mergeCell ref="A4:C4"/>
    <mergeCell ref="A5:C5"/>
    <mergeCell ref="A6:C6"/>
    <mergeCell ref="A1:F1"/>
    <mergeCell ref="A2:F2"/>
    <mergeCell ref="A8:F8"/>
    <mergeCell ref="A91:F91"/>
  </mergeCells>
  <printOptions horizontalCentered="1"/>
  <pageMargins left="0.4" right="0.4" top="0.6" bottom="0.6" header="0.3" footer="0.3"/>
  <pageSetup paperSize="9" orientation="landscape" fitToWidth="1" fitToHeight="0" horizontalDpi="300" verticalDpi="300"/>
  <headerFooter>
    <oddFooter>&amp;L&amp;"Arial,Regular"&amp;8Informe · Refuerzos del centro&amp;C&amp;"Arial,Regular"&amp;8&amp;D&amp;R&amp;"Arial,Regular"&amp;8Página &amp;P de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P126"/>
  <sheetViews>
    <sheetView showGridLines="0" workbookViewId="0">
      <pane ySplit="6" topLeftCell="A7" activePane="bottomLeft" state="frozen"/>
    </sheetView>
  </sheetViews>
  <sheetFormatPr baseColWidth="10" defaultRowHeight="16"/>
  <cols>
    <col min="1" max="1" width="30" customWidth="1"/>
    <col min="2" max="2" width="14" customWidth="1"/>
    <col min="3" max="3" width="14" customWidth="1"/>
    <col min="4" max="4" width="16" customWidth="1"/>
    <col min="5" max="5" width="86" customWidth="1"/>
    <col min="6" max="16" width="9" hidden="1" customWidth="1"/>
  </cols>
  <sheetData>
    <row r="1" spans="1:5" ht="30" customHeight="1">
      <c r="A1" s="46" t="inlineStr">
        <is>
          <t xml:space="preserve">HORAS LIBRES POR DOCENTE</t>
        </is>
      </c>
      <c r="B1" s="46"/>
      <c r="C1" s="46"/>
      <c r="D1" s="46"/>
      <c r="E1" s="46"/>
    </row>
    <row r="2" spans="1:5" ht="20" customHeight="1">
      <c r="A2" s="7">
        <f>"Centro: "&amp;IF(Portada!$B$4="","(sin indicar)",Portada!$B$4)&amp;"      ·      Código: "&amp;IF(Portada!$B$5="","(sin indicar)",Portada!$B$5)&amp;"      ·      Curso "&amp;Portada!$B$6</f>
      </c>
      <c r="B2" s="7"/>
      <c r="C2" s="7"/>
      <c r="D2" s="7"/>
      <c r="E2" s="7"/>
    </row>
    <row r="4" spans="1:5" ht="18" customHeight="1">
      <c r="A4" s="10" t="inlineStr">
        <is>
          <t xml:space="preserve">Docentes con alguna hora libre:</t>
        </is>
      </c>
      <c r="C4" s="11">
        <f>COUNTIF(D7:D126,"&gt;0")</f>
      </c>
    </row>
    <row r="6" spans="1:5" ht="30" customHeight="1">
      <c r="A6" s="3" t="inlineStr">
        <is>
          <t xml:space="preserve">Docente</t>
        </is>
      </c>
      <c r="B6" s="3" t="inlineStr">
        <is>
          <t xml:space="preserve">Horas libres</t>
        </is>
      </c>
      <c r="C6" s="3" t="inlineStr">
        <is>
          <t xml:space="preserve">En refuerzo</t>
        </is>
      </c>
      <c r="D6" s="3" t="inlineStr">
        <is>
          <t xml:space="preserve">Total de horas</t>
        </is>
      </c>
      <c r="E6" s="3" t="inlineStr">
        <is>
          <t xml:space="preserve">Horarios libres</t>
        </is>
      </c>
    </row>
    <row r="7" spans="1:16">
      <c r="A7" s="6">
        <f>IF(Docentes!$A$2="","",Docentes!$A$2)</f>
      </c>
      <c r="B7" s="5">
        <f>IF($A7="","",COUNTIFS(Registro!$K$2:$K$501,$A7,Registro!$Q$2:$Q$501,"Disponible"))</f>
      </c>
      <c r="C7" s="5">
        <f>IF($A7="","",COUNTIFS(Registro!$K$2:$K$501,$A7,Registro!$O$2:$O$501,"Sí"))</f>
      </c>
      <c r="D7" s="5">
        <f>IF($A7="","",$B7+$C7)</f>
      </c>
      <c r="E7" s="6">
        <f>IF($A7="","",IF($B7=0,"—",$G7&amp;IF($H7&lt;&gt;""," | "&amp;$H7,"")&amp;IF($I7&lt;&gt;""," | "&amp;$I7,"")&amp;IF($J7&lt;&gt;""," | "&amp;$J7,"")&amp;IF($K7&lt;&gt;""," | "&amp;$K7,"")&amp;IF($L7&lt;&gt;""," | "&amp;$L7,"")&amp;IF($M7&lt;&gt;""," | "&amp;$M7,"")&amp;IF($N7&lt;&gt;""," | "&amp;$N7,"")&amp;IF($O7&lt;&gt;""," | "&amp;$O7,"")&amp;IF($P7&lt;&gt;""," | "&amp;$P7,"")&amp;IF($B7&gt;10," | (+"&amp;($B7-10)&amp;" más)","")))</f>
      </c>
      <c r="G7" s="0">
        <f>IFERROR(INDEX(Registro!$M$2:$M$501,MATCH($A7&amp;"|"&amp;1,Registro!$AJ$2:$AJ$501,0)),"")</f>
      </c>
      <c r="H7" s="0">
        <f>IFERROR(INDEX(Registro!$M$2:$M$501,MATCH($A7&amp;"|"&amp;2,Registro!$AJ$2:$AJ$501,0)),"")</f>
      </c>
      <c r="I7" s="0">
        <f>IFERROR(INDEX(Registro!$M$2:$M$501,MATCH($A7&amp;"|"&amp;3,Registro!$AJ$2:$AJ$501,0)),"")</f>
      </c>
      <c r="J7" s="0">
        <f>IFERROR(INDEX(Registro!$M$2:$M$501,MATCH($A7&amp;"|"&amp;4,Registro!$AJ$2:$AJ$501,0)),"")</f>
      </c>
      <c r="K7" s="0">
        <f>IFERROR(INDEX(Registro!$M$2:$M$501,MATCH($A7&amp;"|"&amp;5,Registro!$AJ$2:$AJ$501,0)),"")</f>
      </c>
      <c r="L7" s="0">
        <f>IFERROR(INDEX(Registro!$M$2:$M$501,MATCH($A7&amp;"|"&amp;6,Registro!$AJ$2:$AJ$501,0)),"")</f>
      </c>
      <c r="M7" s="0">
        <f>IFERROR(INDEX(Registro!$M$2:$M$501,MATCH($A7&amp;"|"&amp;7,Registro!$AJ$2:$AJ$501,0)),"")</f>
      </c>
      <c r="N7" s="0">
        <f>IFERROR(INDEX(Registro!$M$2:$M$501,MATCH($A7&amp;"|"&amp;8,Registro!$AJ$2:$AJ$501,0)),"")</f>
      </c>
      <c r="O7" s="0">
        <f>IFERROR(INDEX(Registro!$M$2:$M$501,MATCH($A7&amp;"|"&amp;9,Registro!$AJ$2:$AJ$501,0)),"")</f>
      </c>
      <c r="P7" s="0">
        <f>IFERROR(INDEX(Registro!$M$2:$M$501,MATCH($A7&amp;"|"&amp;10,Registro!$AJ$2:$AJ$501,0)),"")</f>
      </c>
    </row>
    <row r="8" spans="1:16">
      <c r="A8" s="6">
        <f>IF(Docentes!$A$3="","",Docentes!$A$3)</f>
      </c>
      <c r="B8" s="5">
        <f>IF($A8="","",COUNTIFS(Registro!$K$2:$K$501,$A8,Registro!$Q$2:$Q$501,"Disponible"))</f>
      </c>
      <c r="C8" s="5">
        <f>IF($A8="","",COUNTIFS(Registro!$K$2:$K$501,$A8,Registro!$O$2:$O$501,"Sí"))</f>
      </c>
      <c r="D8" s="5">
        <f>IF($A8="","",$B8+$C8)</f>
      </c>
      <c r="E8" s="6">
        <f>IF($A8="","",IF($B8=0,"—",$G8&amp;IF($H8&lt;&gt;""," | "&amp;$H8,"")&amp;IF($I8&lt;&gt;""," | "&amp;$I8,"")&amp;IF($J8&lt;&gt;""," | "&amp;$J8,"")&amp;IF($K8&lt;&gt;""," | "&amp;$K8,"")&amp;IF($L8&lt;&gt;""," | "&amp;$L8,"")&amp;IF($M8&lt;&gt;""," | "&amp;$M8,"")&amp;IF($N8&lt;&gt;""," | "&amp;$N8,"")&amp;IF($O8&lt;&gt;""," | "&amp;$O8,"")&amp;IF($P8&lt;&gt;""," | "&amp;$P8,"")&amp;IF($B8&gt;10," | (+"&amp;($B8-10)&amp;" más)","")))</f>
      </c>
      <c r="G8" s="0">
        <f>IFERROR(INDEX(Registro!$M$2:$M$501,MATCH($A8&amp;"|"&amp;1,Registro!$AJ$2:$AJ$501,0)),"")</f>
      </c>
      <c r="H8" s="0">
        <f>IFERROR(INDEX(Registro!$M$2:$M$501,MATCH($A8&amp;"|"&amp;2,Registro!$AJ$2:$AJ$501,0)),"")</f>
      </c>
      <c r="I8" s="0">
        <f>IFERROR(INDEX(Registro!$M$2:$M$501,MATCH($A8&amp;"|"&amp;3,Registro!$AJ$2:$AJ$501,0)),"")</f>
      </c>
      <c r="J8" s="0">
        <f>IFERROR(INDEX(Registro!$M$2:$M$501,MATCH($A8&amp;"|"&amp;4,Registro!$AJ$2:$AJ$501,0)),"")</f>
      </c>
      <c r="K8" s="0">
        <f>IFERROR(INDEX(Registro!$M$2:$M$501,MATCH($A8&amp;"|"&amp;5,Registro!$AJ$2:$AJ$501,0)),"")</f>
      </c>
      <c r="L8" s="0">
        <f>IFERROR(INDEX(Registro!$M$2:$M$501,MATCH($A8&amp;"|"&amp;6,Registro!$AJ$2:$AJ$501,0)),"")</f>
      </c>
      <c r="M8" s="0">
        <f>IFERROR(INDEX(Registro!$M$2:$M$501,MATCH($A8&amp;"|"&amp;7,Registro!$AJ$2:$AJ$501,0)),"")</f>
      </c>
      <c r="N8" s="0">
        <f>IFERROR(INDEX(Registro!$M$2:$M$501,MATCH($A8&amp;"|"&amp;8,Registro!$AJ$2:$AJ$501,0)),"")</f>
      </c>
      <c r="O8" s="0">
        <f>IFERROR(INDEX(Registro!$M$2:$M$501,MATCH($A8&amp;"|"&amp;9,Registro!$AJ$2:$AJ$501,0)),"")</f>
      </c>
      <c r="P8" s="0">
        <f>IFERROR(INDEX(Registro!$M$2:$M$501,MATCH($A8&amp;"|"&amp;10,Registro!$AJ$2:$AJ$501,0)),"")</f>
      </c>
    </row>
    <row r="9" spans="1:16">
      <c r="A9" s="6">
        <f>IF(Docentes!$A$4="","",Docentes!$A$4)</f>
      </c>
      <c r="B9" s="5">
        <f>IF($A9="","",COUNTIFS(Registro!$K$2:$K$501,$A9,Registro!$Q$2:$Q$501,"Disponible"))</f>
      </c>
      <c r="C9" s="5">
        <f>IF($A9="","",COUNTIFS(Registro!$K$2:$K$501,$A9,Registro!$O$2:$O$501,"Sí"))</f>
      </c>
      <c r="D9" s="5">
        <f>IF($A9="","",$B9+$C9)</f>
      </c>
      <c r="E9" s="6">
        <f>IF($A9="","",IF($B9=0,"—",$G9&amp;IF($H9&lt;&gt;""," | "&amp;$H9,"")&amp;IF($I9&lt;&gt;""," | "&amp;$I9,"")&amp;IF($J9&lt;&gt;""," | "&amp;$J9,"")&amp;IF($K9&lt;&gt;""," | "&amp;$K9,"")&amp;IF($L9&lt;&gt;""," | "&amp;$L9,"")&amp;IF($M9&lt;&gt;""," | "&amp;$M9,"")&amp;IF($N9&lt;&gt;""," | "&amp;$N9,"")&amp;IF($O9&lt;&gt;""," | "&amp;$O9,"")&amp;IF($P9&lt;&gt;""," | "&amp;$P9,"")&amp;IF($B9&gt;10," | (+"&amp;($B9-10)&amp;" más)","")))</f>
      </c>
      <c r="G9" s="0">
        <f>IFERROR(INDEX(Registro!$M$2:$M$501,MATCH($A9&amp;"|"&amp;1,Registro!$AJ$2:$AJ$501,0)),"")</f>
      </c>
      <c r="H9" s="0">
        <f>IFERROR(INDEX(Registro!$M$2:$M$501,MATCH($A9&amp;"|"&amp;2,Registro!$AJ$2:$AJ$501,0)),"")</f>
      </c>
      <c r="I9" s="0">
        <f>IFERROR(INDEX(Registro!$M$2:$M$501,MATCH($A9&amp;"|"&amp;3,Registro!$AJ$2:$AJ$501,0)),"")</f>
      </c>
      <c r="J9" s="0">
        <f>IFERROR(INDEX(Registro!$M$2:$M$501,MATCH($A9&amp;"|"&amp;4,Registro!$AJ$2:$AJ$501,0)),"")</f>
      </c>
      <c r="K9" s="0">
        <f>IFERROR(INDEX(Registro!$M$2:$M$501,MATCH($A9&amp;"|"&amp;5,Registro!$AJ$2:$AJ$501,0)),"")</f>
      </c>
      <c r="L9" s="0">
        <f>IFERROR(INDEX(Registro!$M$2:$M$501,MATCH($A9&amp;"|"&amp;6,Registro!$AJ$2:$AJ$501,0)),"")</f>
      </c>
      <c r="M9" s="0">
        <f>IFERROR(INDEX(Registro!$M$2:$M$501,MATCH($A9&amp;"|"&amp;7,Registro!$AJ$2:$AJ$501,0)),"")</f>
      </c>
      <c r="N9" s="0">
        <f>IFERROR(INDEX(Registro!$M$2:$M$501,MATCH($A9&amp;"|"&amp;8,Registro!$AJ$2:$AJ$501,0)),"")</f>
      </c>
      <c r="O9" s="0">
        <f>IFERROR(INDEX(Registro!$M$2:$M$501,MATCH($A9&amp;"|"&amp;9,Registro!$AJ$2:$AJ$501,0)),"")</f>
      </c>
      <c r="P9" s="0">
        <f>IFERROR(INDEX(Registro!$M$2:$M$501,MATCH($A9&amp;"|"&amp;10,Registro!$AJ$2:$AJ$501,0)),"")</f>
      </c>
    </row>
    <row r="10" spans="1:16">
      <c r="A10" s="6">
        <f>IF(Docentes!$A$5="","",Docentes!$A$5)</f>
      </c>
      <c r="B10" s="5">
        <f>IF($A10="","",COUNTIFS(Registro!$K$2:$K$501,$A10,Registro!$Q$2:$Q$501,"Disponible"))</f>
      </c>
      <c r="C10" s="5">
        <f>IF($A10="","",COUNTIFS(Registro!$K$2:$K$501,$A10,Registro!$O$2:$O$501,"Sí"))</f>
      </c>
      <c r="D10" s="5">
        <f>IF($A10="","",$B10+$C10)</f>
      </c>
      <c r="E10" s="6">
        <f>IF($A10="","",IF($B10=0,"—",$G10&amp;IF($H10&lt;&gt;""," | "&amp;$H10,"")&amp;IF($I10&lt;&gt;""," | "&amp;$I10,"")&amp;IF($J10&lt;&gt;""," | "&amp;$J10,"")&amp;IF($K10&lt;&gt;""," | "&amp;$K10,"")&amp;IF($L10&lt;&gt;""," | "&amp;$L10,"")&amp;IF($M10&lt;&gt;""," | "&amp;$M10,"")&amp;IF($N10&lt;&gt;""," | "&amp;$N10,"")&amp;IF($O10&lt;&gt;""," | "&amp;$O10,"")&amp;IF($P10&lt;&gt;""," | "&amp;$P10,"")&amp;IF($B10&gt;10," | (+"&amp;($B10-10)&amp;" más)","")))</f>
      </c>
      <c r="G10" s="0">
        <f>IFERROR(INDEX(Registro!$M$2:$M$501,MATCH($A10&amp;"|"&amp;1,Registro!$AJ$2:$AJ$501,0)),"")</f>
      </c>
      <c r="H10" s="0">
        <f>IFERROR(INDEX(Registro!$M$2:$M$501,MATCH($A10&amp;"|"&amp;2,Registro!$AJ$2:$AJ$501,0)),"")</f>
      </c>
      <c r="I10" s="0">
        <f>IFERROR(INDEX(Registro!$M$2:$M$501,MATCH($A10&amp;"|"&amp;3,Registro!$AJ$2:$AJ$501,0)),"")</f>
      </c>
      <c r="J10" s="0">
        <f>IFERROR(INDEX(Registro!$M$2:$M$501,MATCH($A10&amp;"|"&amp;4,Registro!$AJ$2:$AJ$501,0)),"")</f>
      </c>
      <c r="K10" s="0">
        <f>IFERROR(INDEX(Registro!$M$2:$M$501,MATCH($A10&amp;"|"&amp;5,Registro!$AJ$2:$AJ$501,0)),"")</f>
      </c>
      <c r="L10" s="0">
        <f>IFERROR(INDEX(Registro!$M$2:$M$501,MATCH($A10&amp;"|"&amp;6,Registro!$AJ$2:$AJ$501,0)),"")</f>
      </c>
      <c r="M10" s="0">
        <f>IFERROR(INDEX(Registro!$M$2:$M$501,MATCH($A10&amp;"|"&amp;7,Registro!$AJ$2:$AJ$501,0)),"")</f>
      </c>
      <c r="N10" s="0">
        <f>IFERROR(INDEX(Registro!$M$2:$M$501,MATCH($A10&amp;"|"&amp;8,Registro!$AJ$2:$AJ$501,0)),"")</f>
      </c>
      <c r="O10" s="0">
        <f>IFERROR(INDEX(Registro!$M$2:$M$501,MATCH($A10&amp;"|"&amp;9,Registro!$AJ$2:$AJ$501,0)),"")</f>
      </c>
      <c r="P10" s="0">
        <f>IFERROR(INDEX(Registro!$M$2:$M$501,MATCH($A10&amp;"|"&amp;10,Registro!$AJ$2:$AJ$501,0)),"")</f>
      </c>
    </row>
    <row r="11" spans="1:16">
      <c r="A11" s="6">
        <f>IF(Docentes!$A$6="","",Docentes!$A$6)</f>
      </c>
      <c r="B11" s="5">
        <f>IF($A11="","",COUNTIFS(Registro!$K$2:$K$501,$A11,Registro!$Q$2:$Q$501,"Disponible"))</f>
      </c>
      <c r="C11" s="5">
        <f>IF($A11="","",COUNTIFS(Registro!$K$2:$K$501,$A11,Registro!$O$2:$O$501,"Sí"))</f>
      </c>
      <c r="D11" s="5">
        <f>IF($A11="","",$B11+$C11)</f>
      </c>
      <c r="E11" s="6">
        <f>IF($A11="","",IF($B11=0,"—",$G11&amp;IF($H11&lt;&gt;""," | "&amp;$H11,"")&amp;IF($I11&lt;&gt;""," | "&amp;$I11,"")&amp;IF($J11&lt;&gt;""," | "&amp;$J11,"")&amp;IF($K11&lt;&gt;""," | "&amp;$K11,"")&amp;IF($L11&lt;&gt;""," | "&amp;$L11,"")&amp;IF($M11&lt;&gt;""," | "&amp;$M11,"")&amp;IF($N11&lt;&gt;""," | "&amp;$N11,"")&amp;IF($O11&lt;&gt;""," | "&amp;$O11,"")&amp;IF($P11&lt;&gt;""," | "&amp;$P11,"")&amp;IF($B11&gt;10," | (+"&amp;($B11-10)&amp;" más)","")))</f>
      </c>
      <c r="G11" s="0">
        <f>IFERROR(INDEX(Registro!$M$2:$M$501,MATCH($A11&amp;"|"&amp;1,Registro!$AJ$2:$AJ$501,0)),"")</f>
      </c>
      <c r="H11" s="0">
        <f>IFERROR(INDEX(Registro!$M$2:$M$501,MATCH($A11&amp;"|"&amp;2,Registro!$AJ$2:$AJ$501,0)),"")</f>
      </c>
      <c r="I11" s="0">
        <f>IFERROR(INDEX(Registro!$M$2:$M$501,MATCH($A11&amp;"|"&amp;3,Registro!$AJ$2:$AJ$501,0)),"")</f>
      </c>
      <c r="J11" s="0">
        <f>IFERROR(INDEX(Registro!$M$2:$M$501,MATCH($A11&amp;"|"&amp;4,Registro!$AJ$2:$AJ$501,0)),"")</f>
      </c>
      <c r="K11" s="0">
        <f>IFERROR(INDEX(Registro!$M$2:$M$501,MATCH($A11&amp;"|"&amp;5,Registro!$AJ$2:$AJ$501,0)),"")</f>
      </c>
      <c r="L11" s="0">
        <f>IFERROR(INDEX(Registro!$M$2:$M$501,MATCH($A11&amp;"|"&amp;6,Registro!$AJ$2:$AJ$501,0)),"")</f>
      </c>
      <c r="M11" s="0">
        <f>IFERROR(INDEX(Registro!$M$2:$M$501,MATCH($A11&amp;"|"&amp;7,Registro!$AJ$2:$AJ$501,0)),"")</f>
      </c>
      <c r="N11" s="0">
        <f>IFERROR(INDEX(Registro!$M$2:$M$501,MATCH($A11&amp;"|"&amp;8,Registro!$AJ$2:$AJ$501,0)),"")</f>
      </c>
      <c r="O11" s="0">
        <f>IFERROR(INDEX(Registro!$M$2:$M$501,MATCH($A11&amp;"|"&amp;9,Registro!$AJ$2:$AJ$501,0)),"")</f>
      </c>
      <c r="P11" s="0">
        <f>IFERROR(INDEX(Registro!$M$2:$M$501,MATCH($A11&amp;"|"&amp;10,Registro!$AJ$2:$AJ$501,0)),"")</f>
      </c>
    </row>
    <row r="12" spans="1:16">
      <c r="A12" s="6">
        <f>IF(Docentes!$A$7="","",Docentes!$A$7)</f>
      </c>
      <c r="B12" s="5">
        <f>IF($A12="","",COUNTIFS(Registro!$K$2:$K$501,$A12,Registro!$Q$2:$Q$501,"Disponible"))</f>
      </c>
      <c r="C12" s="5">
        <f>IF($A12="","",COUNTIFS(Registro!$K$2:$K$501,$A12,Registro!$O$2:$O$501,"Sí"))</f>
      </c>
      <c r="D12" s="5">
        <f>IF($A12="","",$B12+$C12)</f>
      </c>
      <c r="E12" s="6">
        <f>IF($A12="","",IF($B12=0,"—",$G12&amp;IF($H12&lt;&gt;""," | "&amp;$H12,"")&amp;IF($I12&lt;&gt;""," | "&amp;$I12,"")&amp;IF($J12&lt;&gt;""," | "&amp;$J12,"")&amp;IF($K12&lt;&gt;""," | "&amp;$K12,"")&amp;IF($L12&lt;&gt;""," | "&amp;$L12,"")&amp;IF($M12&lt;&gt;""," | "&amp;$M12,"")&amp;IF($N12&lt;&gt;""," | "&amp;$N12,"")&amp;IF($O12&lt;&gt;""," | "&amp;$O12,"")&amp;IF($P12&lt;&gt;""," | "&amp;$P12,"")&amp;IF($B12&gt;10," | (+"&amp;($B12-10)&amp;" más)","")))</f>
      </c>
      <c r="G12" s="0">
        <f>IFERROR(INDEX(Registro!$M$2:$M$501,MATCH($A12&amp;"|"&amp;1,Registro!$AJ$2:$AJ$501,0)),"")</f>
      </c>
      <c r="H12" s="0">
        <f>IFERROR(INDEX(Registro!$M$2:$M$501,MATCH($A12&amp;"|"&amp;2,Registro!$AJ$2:$AJ$501,0)),"")</f>
      </c>
      <c r="I12" s="0">
        <f>IFERROR(INDEX(Registro!$M$2:$M$501,MATCH($A12&amp;"|"&amp;3,Registro!$AJ$2:$AJ$501,0)),"")</f>
      </c>
      <c r="J12" s="0">
        <f>IFERROR(INDEX(Registro!$M$2:$M$501,MATCH($A12&amp;"|"&amp;4,Registro!$AJ$2:$AJ$501,0)),"")</f>
      </c>
      <c r="K12" s="0">
        <f>IFERROR(INDEX(Registro!$M$2:$M$501,MATCH($A12&amp;"|"&amp;5,Registro!$AJ$2:$AJ$501,0)),"")</f>
      </c>
      <c r="L12" s="0">
        <f>IFERROR(INDEX(Registro!$M$2:$M$501,MATCH($A12&amp;"|"&amp;6,Registro!$AJ$2:$AJ$501,0)),"")</f>
      </c>
      <c r="M12" s="0">
        <f>IFERROR(INDEX(Registro!$M$2:$M$501,MATCH($A12&amp;"|"&amp;7,Registro!$AJ$2:$AJ$501,0)),"")</f>
      </c>
      <c r="N12" s="0">
        <f>IFERROR(INDEX(Registro!$M$2:$M$501,MATCH($A12&amp;"|"&amp;8,Registro!$AJ$2:$AJ$501,0)),"")</f>
      </c>
      <c r="O12" s="0">
        <f>IFERROR(INDEX(Registro!$M$2:$M$501,MATCH($A12&amp;"|"&amp;9,Registro!$AJ$2:$AJ$501,0)),"")</f>
      </c>
      <c r="P12" s="0">
        <f>IFERROR(INDEX(Registro!$M$2:$M$501,MATCH($A12&amp;"|"&amp;10,Registro!$AJ$2:$AJ$501,0)),"")</f>
      </c>
    </row>
    <row r="13" spans="1:16">
      <c r="A13" s="6">
        <f>IF(Docentes!$A$8="","",Docentes!$A$8)</f>
      </c>
      <c r="B13" s="5">
        <f>IF($A13="","",COUNTIFS(Registro!$K$2:$K$501,$A13,Registro!$Q$2:$Q$501,"Disponible"))</f>
      </c>
      <c r="C13" s="5">
        <f>IF($A13="","",COUNTIFS(Registro!$K$2:$K$501,$A13,Registro!$O$2:$O$501,"Sí"))</f>
      </c>
      <c r="D13" s="5">
        <f>IF($A13="","",$B13+$C13)</f>
      </c>
      <c r="E13" s="6">
        <f>IF($A13="","",IF($B13=0,"—",$G13&amp;IF($H13&lt;&gt;""," | "&amp;$H13,"")&amp;IF($I13&lt;&gt;""," | "&amp;$I13,"")&amp;IF($J13&lt;&gt;""," | "&amp;$J13,"")&amp;IF($K13&lt;&gt;""," | "&amp;$K13,"")&amp;IF($L13&lt;&gt;""," | "&amp;$L13,"")&amp;IF($M13&lt;&gt;""," | "&amp;$M13,"")&amp;IF($N13&lt;&gt;""," | "&amp;$N13,"")&amp;IF($O13&lt;&gt;""," | "&amp;$O13,"")&amp;IF($P13&lt;&gt;""," | "&amp;$P13,"")&amp;IF($B13&gt;10," | (+"&amp;($B13-10)&amp;" más)","")))</f>
      </c>
      <c r="G13" s="0">
        <f>IFERROR(INDEX(Registro!$M$2:$M$501,MATCH($A13&amp;"|"&amp;1,Registro!$AJ$2:$AJ$501,0)),"")</f>
      </c>
      <c r="H13" s="0">
        <f>IFERROR(INDEX(Registro!$M$2:$M$501,MATCH($A13&amp;"|"&amp;2,Registro!$AJ$2:$AJ$501,0)),"")</f>
      </c>
      <c r="I13" s="0">
        <f>IFERROR(INDEX(Registro!$M$2:$M$501,MATCH($A13&amp;"|"&amp;3,Registro!$AJ$2:$AJ$501,0)),"")</f>
      </c>
      <c r="J13" s="0">
        <f>IFERROR(INDEX(Registro!$M$2:$M$501,MATCH($A13&amp;"|"&amp;4,Registro!$AJ$2:$AJ$501,0)),"")</f>
      </c>
      <c r="K13" s="0">
        <f>IFERROR(INDEX(Registro!$M$2:$M$501,MATCH($A13&amp;"|"&amp;5,Registro!$AJ$2:$AJ$501,0)),"")</f>
      </c>
      <c r="L13" s="0">
        <f>IFERROR(INDEX(Registro!$M$2:$M$501,MATCH($A13&amp;"|"&amp;6,Registro!$AJ$2:$AJ$501,0)),"")</f>
      </c>
      <c r="M13" s="0">
        <f>IFERROR(INDEX(Registro!$M$2:$M$501,MATCH($A13&amp;"|"&amp;7,Registro!$AJ$2:$AJ$501,0)),"")</f>
      </c>
      <c r="N13" s="0">
        <f>IFERROR(INDEX(Registro!$M$2:$M$501,MATCH($A13&amp;"|"&amp;8,Registro!$AJ$2:$AJ$501,0)),"")</f>
      </c>
      <c r="O13" s="0">
        <f>IFERROR(INDEX(Registro!$M$2:$M$501,MATCH($A13&amp;"|"&amp;9,Registro!$AJ$2:$AJ$501,0)),"")</f>
      </c>
      <c r="P13" s="0">
        <f>IFERROR(INDEX(Registro!$M$2:$M$501,MATCH($A13&amp;"|"&amp;10,Registro!$AJ$2:$AJ$501,0)),"")</f>
      </c>
    </row>
    <row r="14" spans="1:16">
      <c r="A14" s="6">
        <f>IF(Docentes!$A$9="","",Docentes!$A$9)</f>
      </c>
      <c r="B14" s="5">
        <f>IF($A14="","",COUNTIFS(Registro!$K$2:$K$501,$A14,Registro!$Q$2:$Q$501,"Disponible"))</f>
      </c>
      <c r="C14" s="5">
        <f>IF($A14="","",COUNTIFS(Registro!$K$2:$K$501,$A14,Registro!$O$2:$O$501,"Sí"))</f>
      </c>
      <c r="D14" s="5">
        <f>IF($A14="","",$B14+$C14)</f>
      </c>
      <c r="E14" s="6">
        <f>IF($A14="","",IF($B14=0,"—",$G14&amp;IF($H14&lt;&gt;""," | "&amp;$H14,"")&amp;IF($I14&lt;&gt;""," | "&amp;$I14,"")&amp;IF($J14&lt;&gt;""," | "&amp;$J14,"")&amp;IF($K14&lt;&gt;""," | "&amp;$K14,"")&amp;IF($L14&lt;&gt;""," | "&amp;$L14,"")&amp;IF($M14&lt;&gt;""," | "&amp;$M14,"")&amp;IF($N14&lt;&gt;""," | "&amp;$N14,"")&amp;IF($O14&lt;&gt;""," | "&amp;$O14,"")&amp;IF($P14&lt;&gt;""," | "&amp;$P14,"")&amp;IF($B14&gt;10," | (+"&amp;($B14-10)&amp;" más)","")))</f>
      </c>
      <c r="G14" s="0">
        <f>IFERROR(INDEX(Registro!$M$2:$M$501,MATCH($A14&amp;"|"&amp;1,Registro!$AJ$2:$AJ$501,0)),"")</f>
      </c>
      <c r="H14" s="0">
        <f>IFERROR(INDEX(Registro!$M$2:$M$501,MATCH($A14&amp;"|"&amp;2,Registro!$AJ$2:$AJ$501,0)),"")</f>
      </c>
      <c r="I14" s="0">
        <f>IFERROR(INDEX(Registro!$M$2:$M$501,MATCH($A14&amp;"|"&amp;3,Registro!$AJ$2:$AJ$501,0)),"")</f>
      </c>
      <c r="J14" s="0">
        <f>IFERROR(INDEX(Registro!$M$2:$M$501,MATCH($A14&amp;"|"&amp;4,Registro!$AJ$2:$AJ$501,0)),"")</f>
      </c>
      <c r="K14" s="0">
        <f>IFERROR(INDEX(Registro!$M$2:$M$501,MATCH($A14&amp;"|"&amp;5,Registro!$AJ$2:$AJ$501,0)),"")</f>
      </c>
      <c r="L14" s="0">
        <f>IFERROR(INDEX(Registro!$M$2:$M$501,MATCH($A14&amp;"|"&amp;6,Registro!$AJ$2:$AJ$501,0)),"")</f>
      </c>
      <c r="M14" s="0">
        <f>IFERROR(INDEX(Registro!$M$2:$M$501,MATCH($A14&amp;"|"&amp;7,Registro!$AJ$2:$AJ$501,0)),"")</f>
      </c>
      <c r="N14" s="0">
        <f>IFERROR(INDEX(Registro!$M$2:$M$501,MATCH($A14&amp;"|"&amp;8,Registro!$AJ$2:$AJ$501,0)),"")</f>
      </c>
      <c r="O14" s="0">
        <f>IFERROR(INDEX(Registro!$M$2:$M$501,MATCH($A14&amp;"|"&amp;9,Registro!$AJ$2:$AJ$501,0)),"")</f>
      </c>
      <c r="P14" s="0">
        <f>IFERROR(INDEX(Registro!$M$2:$M$501,MATCH($A14&amp;"|"&amp;10,Registro!$AJ$2:$AJ$501,0)),"")</f>
      </c>
    </row>
    <row r="15" spans="1:16">
      <c r="A15" s="6">
        <f>IF(Docentes!$A$10="","",Docentes!$A$10)</f>
      </c>
      <c r="B15" s="5">
        <f>IF($A15="","",COUNTIFS(Registro!$K$2:$K$501,$A15,Registro!$Q$2:$Q$501,"Disponible"))</f>
      </c>
      <c r="C15" s="5">
        <f>IF($A15="","",COUNTIFS(Registro!$K$2:$K$501,$A15,Registro!$O$2:$O$501,"Sí"))</f>
      </c>
      <c r="D15" s="5">
        <f>IF($A15="","",$B15+$C15)</f>
      </c>
      <c r="E15" s="6">
        <f>IF($A15="","",IF($B15=0,"—",$G15&amp;IF($H15&lt;&gt;""," | "&amp;$H15,"")&amp;IF($I15&lt;&gt;""," | "&amp;$I15,"")&amp;IF($J15&lt;&gt;""," | "&amp;$J15,"")&amp;IF($K15&lt;&gt;""," | "&amp;$K15,"")&amp;IF($L15&lt;&gt;""," | "&amp;$L15,"")&amp;IF($M15&lt;&gt;""," | "&amp;$M15,"")&amp;IF($N15&lt;&gt;""," | "&amp;$N15,"")&amp;IF($O15&lt;&gt;""," | "&amp;$O15,"")&amp;IF($P15&lt;&gt;""," | "&amp;$P15,"")&amp;IF($B15&gt;10," | (+"&amp;($B15-10)&amp;" más)","")))</f>
      </c>
      <c r="G15" s="0">
        <f>IFERROR(INDEX(Registro!$M$2:$M$501,MATCH($A15&amp;"|"&amp;1,Registro!$AJ$2:$AJ$501,0)),"")</f>
      </c>
      <c r="H15" s="0">
        <f>IFERROR(INDEX(Registro!$M$2:$M$501,MATCH($A15&amp;"|"&amp;2,Registro!$AJ$2:$AJ$501,0)),"")</f>
      </c>
      <c r="I15" s="0">
        <f>IFERROR(INDEX(Registro!$M$2:$M$501,MATCH($A15&amp;"|"&amp;3,Registro!$AJ$2:$AJ$501,0)),"")</f>
      </c>
      <c r="J15" s="0">
        <f>IFERROR(INDEX(Registro!$M$2:$M$501,MATCH($A15&amp;"|"&amp;4,Registro!$AJ$2:$AJ$501,0)),"")</f>
      </c>
      <c r="K15" s="0">
        <f>IFERROR(INDEX(Registro!$M$2:$M$501,MATCH($A15&amp;"|"&amp;5,Registro!$AJ$2:$AJ$501,0)),"")</f>
      </c>
      <c r="L15" s="0">
        <f>IFERROR(INDEX(Registro!$M$2:$M$501,MATCH($A15&amp;"|"&amp;6,Registro!$AJ$2:$AJ$501,0)),"")</f>
      </c>
      <c r="M15" s="0">
        <f>IFERROR(INDEX(Registro!$M$2:$M$501,MATCH($A15&amp;"|"&amp;7,Registro!$AJ$2:$AJ$501,0)),"")</f>
      </c>
      <c r="N15" s="0">
        <f>IFERROR(INDEX(Registro!$M$2:$M$501,MATCH($A15&amp;"|"&amp;8,Registro!$AJ$2:$AJ$501,0)),"")</f>
      </c>
      <c r="O15" s="0">
        <f>IFERROR(INDEX(Registro!$M$2:$M$501,MATCH($A15&amp;"|"&amp;9,Registro!$AJ$2:$AJ$501,0)),"")</f>
      </c>
      <c r="P15" s="0">
        <f>IFERROR(INDEX(Registro!$M$2:$M$501,MATCH($A15&amp;"|"&amp;10,Registro!$AJ$2:$AJ$501,0)),"")</f>
      </c>
    </row>
    <row r="16" spans="1:16">
      <c r="A16" s="6">
        <f>IF(Docentes!$A$11="","",Docentes!$A$11)</f>
      </c>
      <c r="B16" s="5">
        <f>IF($A16="","",COUNTIFS(Registro!$K$2:$K$501,$A16,Registro!$Q$2:$Q$501,"Disponible"))</f>
      </c>
      <c r="C16" s="5">
        <f>IF($A16="","",COUNTIFS(Registro!$K$2:$K$501,$A16,Registro!$O$2:$O$501,"Sí"))</f>
      </c>
      <c r="D16" s="5">
        <f>IF($A16="","",$B16+$C16)</f>
      </c>
      <c r="E16" s="6">
        <f>IF($A16="","",IF($B16=0,"—",$G16&amp;IF($H16&lt;&gt;""," | "&amp;$H16,"")&amp;IF($I16&lt;&gt;""," | "&amp;$I16,"")&amp;IF($J16&lt;&gt;""," | "&amp;$J16,"")&amp;IF($K16&lt;&gt;""," | "&amp;$K16,"")&amp;IF($L16&lt;&gt;""," | "&amp;$L16,"")&amp;IF($M16&lt;&gt;""," | "&amp;$M16,"")&amp;IF($N16&lt;&gt;""," | "&amp;$N16,"")&amp;IF($O16&lt;&gt;""," | "&amp;$O16,"")&amp;IF($P16&lt;&gt;""," | "&amp;$P16,"")&amp;IF($B16&gt;10," | (+"&amp;($B16-10)&amp;" más)","")))</f>
      </c>
      <c r="G16" s="0">
        <f>IFERROR(INDEX(Registro!$M$2:$M$501,MATCH($A16&amp;"|"&amp;1,Registro!$AJ$2:$AJ$501,0)),"")</f>
      </c>
      <c r="H16" s="0">
        <f>IFERROR(INDEX(Registro!$M$2:$M$501,MATCH($A16&amp;"|"&amp;2,Registro!$AJ$2:$AJ$501,0)),"")</f>
      </c>
      <c r="I16" s="0">
        <f>IFERROR(INDEX(Registro!$M$2:$M$501,MATCH($A16&amp;"|"&amp;3,Registro!$AJ$2:$AJ$501,0)),"")</f>
      </c>
      <c r="J16" s="0">
        <f>IFERROR(INDEX(Registro!$M$2:$M$501,MATCH($A16&amp;"|"&amp;4,Registro!$AJ$2:$AJ$501,0)),"")</f>
      </c>
      <c r="K16" s="0">
        <f>IFERROR(INDEX(Registro!$M$2:$M$501,MATCH($A16&amp;"|"&amp;5,Registro!$AJ$2:$AJ$501,0)),"")</f>
      </c>
      <c r="L16" s="0">
        <f>IFERROR(INDEX(Registro!$M$2:$M$501,MATCH($A16&amp;"|"&amp;6,Registro!$AJ$2:$AJ$501,0)),"")</f>
      </c>
      <c r="M16" s="0">
        <f>IFERROR(INDEX(Registro!$M$2:$M$501,MATCH($A16&amp;"|"&amp;7,Registro!$AJ$2:$AJ$501,0)),"")</f>
      </c>
      <c r="N16" s="0">
        <f>IFERROR(INDEX(Registro!$M$2:$M$501,MATCH($A16&amp;"|"&amp;8,Registro!$AJ$2:$AJ$501,0)),"")</f>
      </c>
      <c r="O16" s="0">
        <f>IFERROR(INDEX(Registro!$M$2:$M$501,MATCH($A16&amp;"|"&amp;9,Registro!$AJ$2:$AJ$501,0)),"")</f>
      </c>
      <c r="P16" s="0">
        <f>IFERROR(INDEX(Registro!$M$2:$M$501,MATCH($A16&amp;"|"&amp;10,Registro!$AJ$2:$AJ$501,0)),"")</f>
      </c>
    </row>
    <row r="17" spans="1:16">
      <c r="A17" s="6">
        <f>IF(Docentes!$A$12="","",Docentes!$A$12)</f>
      </c>
      <c r="B17" s="5">
        <f>IF($A17="","",COUNTIFS(Registro!$K$2:$K$501,$A17,Registro!$Q$2:$Q$501,"Disponible"))</f>
      </c>
      <c r="C17" s="5">
        <f>IF($A17="","",COUNTIFS(Registro!$K$2:$K$501,$A17,Registro!$O$2:$O$501,"Sí"))</f>
      </c>
      <c r="D17" s="5">
        <f>IF($A17="","",$B17+$C17)</f>
      </c>
      <c r="E17" s="6">
        <f>IF($A17="","",IF($B17=0,"—",$G17&amp;IF($H17&lt;&gt;""," | "&amp;$H17,"")&amp;IF($I17&lt;&gt;""," | "&amp;$I17,"")&amp;IF($J17&lt;&gt;""," | "&amp;$J17,"")&amp;IF($K17&lt;&gt;""," | "&amp;$K17,"")&amp;IF($L17&lt;&gt;""," | "&amp;$L17,"")&amp;IF($M17&lt;&gt;""," | "&amp;$M17,"")&amp;IF($N17&lt;&gt;""," | "&amp;$N17,"")&amp;IF($O17&lt;&gt;""," | "&amp;$O17,"")&amp;IF($P17&lt;&gt;""," | "&amp;$P17,"")&amp;IF($B17&gt;10," | (+"&amp;($B17-10)&amp;" más)","")))</f>
      </c>
      <c r="G17" s="0">
        <f>IFERROR(INDEX(Registro!$M$2:$M$501,MATCH($A17&amp;"|"&amp;1,Registro!$AJ$2:$AJ$501,0)),"")</f>
      </c>
      <c r="H17" s="0">
        <f>IFERROR(INDEX(Registro!$M$2:$M$501,MATCH($A17&amp;"|"&amp;2,Registro!$AJ$2:$AJ$501,0)),"")</f>
      </c>
      <c r="I17" s="0">
        <f>IFERROR(INDEX(Registro!$M$2:$M$501,MATCH($A17&amp;"|"&amp;3,Registro!$AJ$2:$AJ$501,0)),"")</f>
      </c>
      <c r="J17" s="0">
        <f>IFERROR(INDEX(Registro!$M$2:$M$501,MATCH($A17&amp;"|"&amp;4,Registro!$AJ$2:$AJ$501,0)),"")</f>
      </c>
      <c r="K17" s="0">
        <f>IFERROR(INDEX(Registro!$M$2:$M$501,MATCH($A17&amp;"|"&amp;5,Registro!$AJ$2:$AJ$501,0)),"")</f>
      </c>
      <c r="L17" s="0">
        <f>IFERROR(INDEX(Registro!$M$2:$M$501,MATCH($A17&amp;"|"&amp;6,Registro!$AJ$2:$AJ$501,0)),"")</f>
      </c>
      <c r="M17" s="0">
        <f>IFERROR(INDEX(Registro!$M$2:$M$501,MATCH($A17&amp;"|"&amp;7,Registro!$AJ$2:$AJ$501,0)),"")</f>
      </c>
      <c r="N17" s="0">
        <f>IFERROR(INDEX(Registro!$M$2:$M$501,MATCH($A17&amp;"|"&amp;8,Registro!$AJ$2:$AJ$501,0)),"")</f>
      </c>
      <c r="O17" s="0">
        <f>IFERROR(INDEX(Registro!$M$2:$M$501,MATCH($A17&amp;"|"&amp;9,Registro!$AJ$2:$AJ$501,0)),"")</f>
      </c>
      <c r="P17" s="0">
        <f>IFERROR(INDEX(Registro!$M$2:$M$501,MATCH($A17&amp;"|"&amp;10,Registro!$AJ$2:$AJ$501,0)),"")</f>
      </c>
    </row>
    <row r="18" spans="1:16">
      <c r="A18" s="6">
        <f>IF(Docentes!$A$13="","",Docentes!$A$13)</f>
      </c>
      <c r="B18" s="5">
        <f>IF($A18="","",COUNTIFS(Registro!$K$2:$K$501,$A18,Registro!$Q$2:$Q$501,"Disponible"))</f>
      </c>
      <c r="C18" s="5">
        <f>IF($A18="","",COUNTIFS(Registro!$K$2:$K$501,$A18,Registro!$O$2:$O$501,"Sí"))</f>
      </c>
      <c r="D18" s="5">
        <f>IF($A18="","",$B18+$C18)</f>
      </c>
      <c r="E18" s="6">
        <f>IF($A18="","",IF($B18=0,"—",$G18&amp;IF($H18&lt;&gt;""," | "&amp;$H18,"")&amp;IF($I18&lt;&gt;""," | "&amp;$I18,"")&amp;IF($J18&lt;&gt;""," | "&amp;$J18,"")&amp;IF($K18&lt;&gt;""," | "&amp;$K18,"")&amp;IF($L18&lt;&gt;""," | "&amp;$L18,"")&amp;IF($M18&lt;&gt;""," | "&amp;$M18,"")&amp;IF($N18&lt;&gt;""," | "&amp;$N18,"")&amp;IF($O18&lt;&gt;""," | "&amp;$O18,"")&amp;IF($P18&lt;&gt;""," | "&amp;$P18,"")&amp;IF($B18&gt;10," | (+"&amp;($B18-10)&amp;" más)","")))</f>
      </c>
      <c r="G18" s="0">
        <f>IFERROR(INDEX(Registro!$M$2:$M$501,MATCH($A18&amp;"|"&amp;1,Registro!$AJ$2:$AJ$501,0)),"")</f>
      </c>
      <c r="H18" s="0">
        <f>IFERROR(INDEX(Registro!$M$2:$M$501,MATCH($A18&amp;"|"&amp;2,Registro!$AJ$2:$AJ$501,0)),"")</f>
      </c>
      <c r="I18" s="0">
        <f>IFERROR(INDEX(Registro!$M$2:$M$501,MATCH($A18&amp;"|"&amp;3,Registro!$AJ$2:$AJ$501,0)),"")</f>
      </c>
      <c r="J18" s="0">
        <f>IFERROR(INDEX(Registro!$M$2:$M$501,MATCH($A18&amp;"|"&amp;4,Registro!$AJ$2:$AJ$501,0)),"")</f>
      </c>
      <c r="K18" s="0">
        <f>IFERROR(INDEX(Registro!$M$2:$M$501,MATCH($A18&amp;"|"&amp;5,Registro!$AJ$2:$AJ$501,0)),"")</f>
      </c>
      <c r="L18" s="0">
        <f>IFERROR(INDEX(Registro!$M$2:$M$501,MATCH($A18&amp;"|"&amp;6,Registro!$AJ$2:$AJ$501,0)),"")</f>
      </c>
      <c r="M18" s="0">
        <f>IFERROR(INDEX(Registro!$M$2:$M$501,MATCH($A18&amp;"|"&amp;7,Registro!$AJ$2:$AJ$501,0)),"")</f>
      </c>
      <c r="N18" s="0">
        <f>IFERROR(INDEX(Registro!$M$2:$M$501,MATCH($A18&amp;"|"&amp;8,Registro!$AJ$2:$AJ$501,0)),"")</f>
      </c>
      <c r="O18" s="0">
        <f>IFERROR(INDEX(Registro!$M$2:$M$501,MATCH($A18&amp;"|"&amp;9,Registro!$AJ$2:$AJ$501,0)),"")</f>
      </c>
      <c r="P18" s="0">
        <f>IFERROR(INDEX(Registro!$M$2:$M$501,MATCH($A18&amp;"|"&amp;10,Registro!$AJ$2:$AJ$501,0)),"")</f>
      </c>
    </row>
    <row r="19" spans="1:16">
      <c r="A19" s="6">
        <f>IF(Docentes!$A$14="","",Docentes!$A$14)</f>
      </c>
      <c r="B19" s="5">
        <f>IF($A19="","",COUNTIFS(Registro!$K$2:$K$501,$A19,Registro!$Q$2:$Q$501,"Disponible"))</f>
      </c>
      <c r="C19" s="5">
        <f>IF($A19="","",COUNTIFS(Registro!$K$2:$K$501,$A19,Registro!$O$2:$O$501,"Sí"))</f>
      </c>
      <c r="D19" s="5">
        <f>IF($A19="","",$B19+$C19)</f>
      </c>
      <c r="E19" s="6">
        <f>IF($A19="","",IF($B19=0,"—",$G19&amp;IF($H19&lt;&gt;""," | "&amp;$H19,"")&amp;IF($I19&lt;&gt;""," | "&amp;$I19,"")&amp;IF($J19&lt;&gt;""," | "&amp;$J19,"")&amp;IF($K19&lt;&gt;""," | "&amp;$K19,"")&amp;IF($L19&lt;&gt;""," | "&amp;$L19,"")&amp;IF($M19&lt;&gt;""," | "&amp;$M19,"")&amp;IF($N19&lt;&gt;""," | "&amp;$N19,"")&amp;IF($O19&lt;&gt;""," | "&amp;$O19,"")&amp;IF($P19&lt;&gt;""," | "&amp;$P19,"")&amp;IF($B19&gt;10," | (+"&amp;($B19-10)&amp;" más)","")))</f>
      </c>
      <c r="G19" s="0">
        <f>IFERROR(INDEX(Registro!$M$2:$M$501,MATCH($A19&amp;"|"&amp;1,Registro!$AJ$2:$AJ$501,0)),"")</f>
      </c>
      <c r="H19" s="0">
        <f>IFERROR(INDEX(Registro!$M$2:$M$501,MATCH($A19&amp;"|"&amp;2,Registro!$AJ$2:$AJ$501,0)),"")</f>
      </c>
      <c r="I19" s="0">
        <f>IFERROR(INDEX(Registro!$M$2:$M$501,MATCH($A19&amp;"|"&amp;3,Registro!$AJ$2:$AJ$501,0)),"")</f>
      </c>
      <c r="J19" s="0">
        <f>IFERROR(INDEX(Registro!$M$2:$M$501,MATCH($A19&amp;"|"&amp;4,Registro!$AJ$2:$AJ$501,0)),"")</f>
      </c>
      <c r="K19" s="0">
        <f>IFERROR(INDEX(Registro!$M$2:$M$501,MATCH($A19&amp;"|"&amp;5,Registro!$AJ$2:$AJ$501,0)),"")</f>
      </c>
      <c r="L19" s="0">
        <f>IFERROR(INDEX(Registro!$M$2:$M$501,MATCH($A19&amp;"|"&amp;6,Registro!$AJ$2:$AJ$501,0)),"")</f>
      </c>
      <c r="M19" s="0">
        <f>IFERROR(INDEX(Registro!$M$2:$M$501,MATCH($A19&amp;"|"&amp;7,Registro!$AJ$2:$AJ$501,0)),"")</f>
      </c>
      <c r="N19" s="0">
        <f>IFERROR(INDEX(Registro!$M$2:$M$501,MATCH($A19&amp;"|"&amp;8,Registro!$AJ$2:$AJ$501,0)),"")</f>
      </c>
      <c r="O19" s="0">
        <f>IFERROR(INDEX(Registro!$M$2:$M$501,MATCH($A19&amp;"|"&amp;9,Registro!$AJ$2:$AJ$501,0)),"")</f>
      </c>
      <c r="P19" s="0">
        <f>IFERROR(INDEX(Registro!$M$2:$M$501,MATCH($A19&amp;"|"&amp;10,Registro!$AJ$2:$AJ$501,0)),"")</f>
      </c>
    </row>
    <row r="20" spans="1:16">
      <c r="A20" s="6">
        <f>IF(Docentes!$A$15="","",Docentes!$A$15)</f>
      </c>
      <c r="B20" s="5">
        <f>IF($A20="","",COUNTIFS(Registro!$K$2:$K$501,$A20,Registro!$Q$2:$Q$501,"Disponible"))</f>
      </c>
      <c r="C20" s="5">
        <f>IF($A20="","",COUNTIFS(Registro!$K$2:$K$501,$A20,Registro!$O$2:$O$501,"Sí"))</f>
      </c>
      <c r="D20" s="5">
        <f>IF($A20="","",$B20+$C20)</f>
      </c>
      <c r="E20" s="6">
        <f>IF($A20="","",IF($B20=0,"—",$G20&amp;IF($H20&lt;&gt;""," | "&amp;$H20,"")&amp;IF($I20&lt;&gt;""," | "&amp;$I20,"")&amp;IF($J20&lt;&gt;""," | "&amp;$J20,"")&amp;IF($K20&lt;&gt;""," | "&amp;$K20,"")&amp;IF($L20&lt;&gt;""," | "&amp;$L20,"")&amp;IF($M20&lt;&gt;""," | "&amp;$M20,"")&amp;IF($N20&lt;&gt;""," | "&amp;$N20,"")&amp;IF($O20&lt;&gt;""," | "&amp;$O20,"")&amp;IF($P20&lt;&gt;""," | "&amp;$P20,"")&amp;IF($B20&gt;10," | (+"&amp;($B20-10)&amp;" más)","")))</f>
      </c>
      <c r="G20" s="0">
        <f>IFERROR(INDEX(Registro!$M$2:$M$501,MATCH($A20&amp;"|"&amp;1,Registro!$AJ$2:$AJ$501,0)),"")</f>
      </c>
      <c r="H20" s="0">
        <f>IFERROR(INDEX(Registro!$M$2:$M$501,MATCH($A20&amp;"|"&amp;2,Registro!$AJ$2:$AJ$501,0)),"")</f>
      </c>
      <c r="I20" s="0">
        <f>IFERROR(INDEX(Registro!$M$2:$M$501,MATCH($A20&amp;"|"&amp;3,Registro!$AJ$2:$AJ$501,0)),"")</f>
      </c>
      <c r="J20" s="0">
        <f>IFERROR(INDEX(Registro!$M$2:$M$501,MATCH($A20&amp;"|"&amp;4,Registro!$AJ$2:$AJ$501,0)),"")</f>
      </c>
      <c r="K20" s="0">
        <f>IFERROR(INDEX(Registro!$M$2:$M$501,MATCH($A20&amp;"|"&amp;5,Registro!$AJ$2:$AJ$501,0)),"")</f>
      </c>
      <c r="L20" s="0">
        <f>IFERROR(INDEX(Registro!$M$2:$M$501,MATCH($A20&amp;"|"&amp;6,Registro!$AJ$2:$AJ$501,0)),"")</f>
      </c>
      <c r="M20" s="0">
        <f>IFERROR(INDEX(Registro!$M$2:$M$501,MATCH($A20&amp;"|"&amp;7,Registro!$AJ$2:$AJ$501,0)),"")</f>
      </c>
      <c r="N20" s="0">
        <f>IFERROR(INDEX(Registro!$M$2:$M$501,MATCH($A20&amp;"|"&amp;8,Registro!$AJ$2:$AJ$501,0)),"")</f>
      </c>
      <c r="O20" s="0">
        <f>IFERROR(INDEX(Registro!$M$2:$M$501,MATCH($A20&amp;"|"&amp;9,Registro!$AJ$2:$AJ$501,0)),"")</f>
      </c>
      <c r="P20" s="0">
        <f>IFERROR(INDEX(Registro!$M$2:$M$501,MATCH($A20&amp;"|"&amp;10,Registro!$AJ$2:$AJ$501,0)),"")</f>
      </c>
    </row>
    <row r="21" spans="1:16">
      <c r="A21" s="6">
        <f>IF(Docentes!$A$16="","",Docentes!$A$16)</f>
      </c>
      <c r="B21" s="5">
        <f>IF($A21="","",COUNTIFS(Registro!$K$2:$K$501,$A21,Registro!$Q$2:$Q$501,"Disponible"))</f>
      </c>
      <c r="C21" s="5">
        <f>IF($A21="","",COUNTIFS(Registro!$K$2:$K$501,$A21,Registro!$O$2:$O$501,"Sí"))</f>
      </c>
      <c r="D21" s="5">
        <f>IF($A21="","",$B21+$C21)</f>
      </c>
      <c r="E21" s="6">
        <f>IF($A21="","",IF($B21=0,"—",$G21&amp;IF($H21&lt;&gt;""," | "&amp;$H21,"")&amp;IF($I21&lt;&gt;""," | "&amp;$I21,"")&amp;IF($J21&lt;&gt;""," | "&amp;$J21,"")&amp;IF($K21&lt;&gt;""," | "&amp;$K21,"")&amp;IF($L21&lt;&gt;""," | "&amp;$L21,"")&amp;IF($M21&lt;&gt;""," | "&amp;$M21,"")&amp;IF($N21&lt;&gt;""," | "&amp;$N21,"")&amp;IF($O21&lt;&gt;""," | "&amp;$O21,"")&amp;IF($P21&lt;&gt;""," | "&amp;$P21,"")&amp;IF($B21&gt;10," | (+"&amp;($B21-10)&amp;" más)","")))</f>
      </c>
      <c r="G21" s="0">
        <f>IFERROR(INDEX(Registro!$M$2:$M$501,MATCH($A21&amp;"|"&amp;1,Registro!$AJ$2:$AJ$501,0)),"")</f>
      </c>
      <c r="H21" s="0">
        <f>IFERROR(INDEX(Registro!$M$2:$M$501,MATCH($A21&amp;"|"&amp;2,Registro!$AJ$2:$AJ$501,0)),"")</f>
      </c>
      <c r="I21" s="0">
        <f>IFERROR(INDEX(Registro!$M$2:$M$501,MATCH($A21&amp;"|"&amp;3,Registro!$AJ$2:$AJ$501,0)),"")</f>
      </c>
      <c r="J21" s="0">
        <f>IFERROR(INDEX(Registro!$M$2:$M$501,MATCH($A21&amp;"|"&amp;4,Registro!$AJ$2:$AJ$501,0)),"")</f>
      </c>
      <c r="K21" s="0">
        <f>IFERROR(INDEX(Registro!$M$2:$M$501,MATCH($A21&amp;"|"&amp;5,Registro!$AJ$2:$AJ$501,0)),"")</f>
      </c>
      <c r="L21" s="0">
        <f>IFERROR(INDEX(Registro!$M$2:$M$501,MATCH($A21&amp;"|"&amp;6,Registro!$AJ$2:$AJ$501,0)),"")</f>
      </c>
      <c r="M21" s="0">
        <f>IFERROR(INDEX(Registro!$M$2:$M$501,MATCH($A21&amp;"|"&amp;7,Registro!$AJ$2:$AJ$501,0)),"")</f>
      </c>
      <c r="N21" s="0">
        <f>IFERROR(INDEX(Registro!$M$2:$M$501,MATCH($A21&amp;"|"&amp;8,Registro!$AJ$2:$AJ$501,0)),"")</f>
      </c>
      <c r="O21" s="0">
        <f>IFERROR(INDEX(Registro!$M$2:$M$501,MATCH($A21&amp;"|"&amp;9,Registro!$AJ$2:$AJ$501,0)),"")</f>
      </c>
      <c r="P21" s="0">
        <f>IFERROR(INDEX(Registro!$M$2:$M$501,MATCH($A21&amp;"|"&amp;10,Registro!$AJ$2:$AJ$501,0)),"")</f>
      </c>
    </row>
    <row r="22" spans="1:16">
      <c r="A22" s="6">
        <f>IF(Docentes!$A$17="","",Docentes!$A$17)</f>
      </c>
      <c r="B22" s="5">
        <f>IF($A22="","",COUNTIFS(Registro!$K$2:$K$501,$A22,Registro!$Q$2:$Q$501,"Disponible"))</f>
      </c>
      <c r="C22" s="5">
        <f>IF($A22="","",COUNTIFS(Registro!$K$2:$K$501,$A22,Registro!$O$2:$O$501,"Sí"))</f>
      </c>
      <c r="D22" s="5">
        <f>IF($A22="","",$B22+$C22)</f>
      </c>
      <c r="E22" s="6">
        <f>IF($A22="","",IF($B22=0,"—",$G22&amp;IF($H22&lt;&gt;""," | "&amp;$H22,"")&amp;IF($I22&lt;&gt;""," | "&amp;$I22,"")&amp;IF($J22&lt;&gt;""," | "&amp;$J22,"")&amp;IF($K22&lt;&gt;""," | "&amp;$K22,"")&amp;IF($L22&lt;&gt;""," | "&amp;$L22,"")&amp;IF($M22&lt;&gt;""," | "&amp;$M22,"")&amp;IF($N22&lt;&gt;""," | "&amp;$N22,"")&amp;IF($O22&lt;&gt;""," | "&amp;$O22,"")&amp;IF($P22&lt;&gt;""," | "&amp;$P22,"")&amp;IF($B22&gt;10," | (+"&amp;($B22-10)&amp;" más)","")))</f>
      </c>
      <c r="G22" s="0">
        <f>IFERROR(INDEX(Registro!$M$2:$M$501,MATCH($A22&amp;"|"&amp;1,Registro!$AJ$2:$AJ$501,0)),"")</f>
      </c>
      <c r="H22" s="0">
        <f>IFERROR(INDEX(Registro!$M$2:$M$501,MATCH($A22&amp;"|"&amp;2,Registro!$AJ$2:$AJ$501,0)),"")</f>
      </c>
      <c r="I22" s="0">
        <f>IFERROR(INDEX(Registro!$M$2:$M$501,MATCH($A22&amp;"|"&amp;3,Registro!$AJ$2:$AJ$501,0)),"")</f>
      </c>
      <c r="J22" s="0">
        <f>IFERROR(INDEX(Registro!$M$2:$M$501,MATCH($A22&amp;"|"&amp;4,Registro!$AJ$2:$AJ$501,0)),"")</f>
      </c>
      <c r="K22" s="0">
        <f>IFERROR(INDEX(Registro!$M$2:$M$501,MATCH($A22&amp;"|"&amp;5,Registro!$AJ$2:$AJ$501,0)),"")</f>
      </c>
      <c r="L22" s="0">
        <f>IFERROR(INDEX(Registro!$M$2:$M$501,MATCH($A22&amp;"|"&amp;6,Registro!$AJ$2:$AJ$501,0)),"")</f>
      </c>
      <c r="M22" s="0">
        <f>IFERROR(INDEX(Registro!$M$2:$M$501,MATCH($A22&amp;"|"&amp;7,Registro!$AJ$2:$AJ$501,0)),"")</f>
      </c>
      <c r="N22" s="0">
        <f>IFERROR(INDEX(Registro!$M$2:$M$501,MATCH($A22&amp;"|"&amp;8,Registro!$AJ$2:$AJ$501,0)),"")</f>
      </c>
      <c r="O22" s="0">
        <f>IFERROR(INDEX(Registro!$M$2:$M$501,MATCH($A22&amp;"|"&amp;9,Registro!$AJ$2:$AJ$501,0)),"")</f>
      </c>
      <c r="P22" s="0">
        <f>IFERROR(INDEX(Registro!$M$2:$M$501,MATCH($A22&amp;"|"&amp;10,Registro!$AJ$2:$AJ$501,0)),"")</f>
      </c>
    </row>
    <row r="23" spans="1:16">
      <c r="A23" s="6">
        <f>IF(Docentes!$A$18="","",Docentes!$A$18)</f>
      </c>
      <c r="B23" s="5">
        <f>IF($A23="","",COUNTIFS(Registro!$K$2:$K$501,$A23,Registro!$Q$2:$Q$501,"Disponible"))</f>
      </c>
      <c r="C23" s="5">
        <f>IF($A23="","",COUNTIFS(Registro!$K$2:$K$501,$A23,Registro!$O$2:$O$501,"Sí"))</f>
      </c>
      <c r="D23" s="5">
        <f>IF($A23="","",$B23+$C23)</f>
      </c>
      <c r="E23" s="6">
        <f>IF($A23="","",IF($B23=0,"—",$G23&amp;IF($H23&lt;&gt;""," | "&amp;$H23,"")&amp;IF($I23&lt;&gt;""," | "&amp;$I23,"")&amp;IF($J23&lt;&gt;""," | "&amp;$J23,"")&amp;IF($K23&lt;&gt;""," | "&amp;$K23,"")&amp;IF($L23&lt;&gt;""," | "&amp;$L23,"")&amp;IF($M23&lt;&gt;""," | "&amp;$M23,"")&amp;IF($N23&lt;&gt;""," | "&amp;$N23,"")&amp;IF($O23&lt;&gt;""," | "&amp;$O23,"")&amp;IF($P23&lt;&gt;""," | "&amp;$P23,"")&amp;IF($B23&gt;10," | (+"&amp;($B23-10)&amp;" más)","")))</f>
      </c>
      <c r="G23" s="0">
        <f>IFERROR(INDEX(Registro!$M$2:$M$501,MATCH($A23&amp;"|"&amp;1,Registro!$AJ$2:$AJ$501,0)),"")</f>
      </c>
      <c r="H23" s="0">
        <f>IFERROR(INDEX(Registro!$M$2:$M$501,MATCH($A23&amp;"|"&amp;2,Registro!$AJ$2:$AJ$501,0)),"")</f>
      </c>
      <c r="I23" s="0">
        <f>IFERROR(INDEX(Registro!$M$2:$M$501,MATCH($A23&amp;"|"&amp;3,Registro!$AJ$2:$AJ$501,0)),"")</f>
      </c>
      <c r="J23" s="0">
        <f>IFERROR(INDEX(Registro!$M$2:$M$501,MATCH($A23&amp;"|"&amp;4,Registro!$AJ$2:$AJ$501,0)),"")</f>
      </c>
      <c r="K23" s="0">
        <f>IFERROR(INDEX(Registro!$M$2:$M$501,MATCH($A23&amp;"|"&amp;5,Registro!$AJ$2:$AJ$501,0)),"")</f>
      </c>
      <c r="L23" s="0">
        <f>IFERROR(INDEX(Registro!$M$2:$M$501,MATCH($A23&amp;"|"&amp;6,Registro!$AJ$2:$AJ$501,0)),"")</f>
      </c>
      <c r="M23" s="0">
        <f>IFERROR(INDEX(Registro!$M$2:$M$501,MATCH($A23&amp;"|"&amp;7,Registro!$AJ$2:$AJ$501,0)),"")</f>
      </c>
      <c r="N23" s="0">
        <f>IFERROR(INDEX(Registro!$M$2:$M$501,MATCH($A23&amp;"|"&amp;8,Registro!$AJ$2:$AJ$501,0)),"")</f>
      </c>
      <c r="O23" s="0">
        <f>IFERROR(INDEX(Registro!$M$2:$M$501,MATCH($A23&amp;"|"&amp;9,Registro!$AJ$2:$AJ$501,0)),"")</f>
      </c>
      <c r="P23" s="0">
        <f>IFERROR(INDEX(Registro!$M$2:$M$501,MATCH($A23&amp;"|"&amp;10,Registro!$AJ$2:$AJ$501,0)),"")</f>
      </c>
    </row>
    <row r="24" spans="1:16">
      <c r="A24" s="6">
        <f>IF(Docentes!$A$19="","",Docentes!$A$19)</f>
      </c>
      <c r="B24" s="5">
        <f>IF($A24="","",COUNTIFS(Registro!$K$2:$K$501,$A24,Registro!$Q$2:$Q$501,"Disponible"))</f>
      </c>
      <c r="C24" s="5">
        <f>IF($A24="","",COUNTIFS(Registro!$K$2:$K$501,$A24,Registro!$O$2:$O$501,"Sí"))</f>
      </c>
      <c r="D24" s="5">
        <f>IF($A24="","",$B24+$C24)</f>
      </c>
      <c r="E24" s="6">
        <f>IF($A24="","",IF($B24=0,"—",$G24&amp;IF($H24&lt;&gt;""," | "&amp;$H24,"")&amp;IF($I24&lt;&gt;""," | "&amp;$I24,"")&amp;IF($J24&lt;&gt;""," | "&amp;$J24,"")&amp;IF($K24&lt;&gt;""," | "&amp;$K24,"")&amp;IF($L24&lt;&gt;""," | "&amp;$L24,"")&amp;IF($M24&lt;&gt;""," | "&amp;$M24,"")&amp;IF($N24&lt;&gt;""," | "&amp;$N24,"")&amp;IF($O24&lt;&gt;""," | "&amp;$O24,"")&amp;IF($P24&lt;&gt;""," | "&amp;$P24,"")&amp;IF($B24&gt;10," | (+"&amp;($B24-10)&amp;" más)","")))</f>
      </c>
      <c r="G24" s="0">
        <f>IFERROR(INDEX(Registro!$M$2:$M$501,MATCH($A24&amp;"|"&amp;1,Registro!$AJ$2:$AJ$501,0)),"")</f>
      </c>
      <c r="H24" s="0">
        <f>IFERROR(INDEX(Registro!$M$2:$M$501,MATCH($A24&amp;"|"&amp;2,Registro!$AJ$2:$AJ$501,0)),"")</f>
      </c>
      <c r="I24" s="0">
        <f>IFERROR(INDEX(Registro!$M$2:$M$501,MATCH($A24&amp;"|"&amp;3,Registro!$AJ$2:$AJ$501,0)),"")</f>
      </c>
      <c r="J24" s="0">
        <f>IFERROR(INDEX(Registro!$M$2:$M$501,MATCH($A24&amp;"|"&amp;4,Registro!$AJ$2:$AJ$501,0)),"")</f>
      </c>
      <c r="K24" s="0">
        <f>IFERROR(INDEX(Registro!$M$2:$M$501,MATCH($A24&amp;"|"&amp;5,Registro!$AJ$2:$AJ$501,0)),"")</f>
      </c>
      <c r="L24" s="0">
        <f>IFERROR(INDEX(Registro!$M$2:$M$501,MATCH($A24&amp;"|"&amp;6,Registro!$AJ$2:$AJ$501,0)),"")</f>
      </c>
      <c r="M24" s="0">
        <f>IFERROR(INDEX(Registro!$M$2:$M$501,MATCH($A24&amp;"|"&amp;7,Registro!$AJ$2:$AJ$501,0)),"")</f>
      </c>
      <c r="N24" s="0">
        <f>IFERROR(INDEX(Registro!$M$2:$M$501,MATCH($A24&amp;"|"&amp;8,Registro!$AJ$2:$AJ$501,0)),"")</f>
      </c>
      <c r="O24" s="0">
        <f>IFERROR(INDEX(Registro!$M$2:$M$501,MATCH($A24&amp;"|"&amp;9,Registro!$AJ$2:$AJ$501,0)),"")</f>
      </c>
      <c r="P24" s="0">
        <f>IFERROR(INDEX(Registro!$M$2:$M$501,MATCH($A24&amp;"|"&amp;10,Registro!$AJ$2:$AJ$501,0)),"")</f>
      </c>
    </row>
    <row r="25" spans="1:16">
      <c r="A25" s="6">
        <f>IF(Docentes!$A$20="","",Docentes!$A$20)</f>
      </c>
      <c r="B25" s="5">
        <f>IF($A25="","",COUNTIFS(Registro!$K$2:$K$501,$A25,Registro!$Q$2:$Q$501,"Disponible"))</f>
      </c>
      <c r="C25" s="5">
        <f>IF($A25="","",COUNTIFS(Registro!$K$2:$K$501,$A25,Registro!$O$2:$O$501,"Sí"))</f>
      </c>
      <c r="D25" s="5">
        <f>IF($A25="","",$B25+$C25)</f>
      </c>
      <c r="E25" s="6">
        <f>IF($A25="","",IF($B25=0,"—",$G25&amp;IF($H25&lt;&gt;""," | "&amp;$H25,"")&amp;IF($I25&lt;&gt;""," | "&amp;$I25,"")&amp;IF($J25&lt;&gt;""," | "&amp;$J25,"")&amp;IF($K25&lt;&gt;""," | "&amp;$K25,"")&amp;IF($L25&lt;&gt;""," | "&amp;$L25,"")&amp;IF($M25&lt;&gt;""," | "&amp;$M25,"")&amp;IF($N25&lt;&gt;""," | "&amp;$N25,"")&amp;IF($O25&lt;&gt;""," | "&amp;$O25,"")&amp;IF($P25&lt;&gt;""," | "&amp;$P25,"")&amp;IF($B25&gt;10," | (+"&amp;($B25-10)&amp;" más)","")))</f>
      </c>
      <c r="G25" s="0">
        <f>IFERROR(INDEX(Registro!$M$2:$M$501,MATCH($A25&amp;"|"&amp;1,Registro!$AJ$2:$AJ$501,0)),"")</f>
      </c>
      <c r="H25" s="0">
        <f>IFERROR(INDEX(Registro!$M$2:$M$501,MATCH($A25&amp;"|"&amp;2,Registro!$AJ$2:$AJ$501,0)),"")</f>
      </c>
      <c r="I25" s="0">
        <f>IFERROR(INDEX(Registro!$M$2:$M$501,MATCH($A25&amp;"|"&amp;3,Registro!$AJ$2:$AJ$501,0)),"")</f>
      </c>
      <c r="J25" s="0">
        <f>IFERROR(INDEX(Registro!$M$2:$M$501,MATCH($A25&amp;"|"&amp;4,Registro!$AJ$2:$AJ$501,0)),"")</f>
      </c>
      <c r="K25" s="0">
        <f>IFERROR(INDEX(Registro!$M$2:$M$501,MATCH($A25&amp;"|"&amp;5,Registro!$AJ$2:$AJ$501,0)),"")</f>
      </c>
      <c r="L25" s="0">
        <f>IFERROR(INDEX(Registro!$M$2:$M$501,MATCH($A25&amp;"|"&amp;6,Registro!$AJ$2:$AJ$501,0)),"")</f>
      </c>
      <c r="M25" s="0">
        <f>IFERROR(INDEX(Registro!$M$2:$M$501,MATCH($A25&amp;"|"&amp;7,Registro!$AJ$2:$AJ$501,0)),"")</f>
      </c>
      <c r="N25" s="0">
        <f>IFERROR(INDEX(Registro!$M$2:$M$501,MATCH($A25&amp;"|"&amp;8,Registro!$AJ$2:$AJ$501,0)),"")</f>
      </c>
      <c r="O25" s="0">
        <f>IFERROR(INDEX(Registro!$M$2:$M$501,MATCH($A25&amp;"|"&amp;9,Registro!$AJ$2:$AJ$501,0)),"")</f>
      </c>
      <c r="P25" s="0">
        <f>IFERROR(INDEX(Registro!$M$2:$M$501,MATCH($A25&amp;"|"&amp;10,Registro!$AJ$2:$AJ$501,0)),"")</f>
      </c>
    </row>
    <row r="26" spans="1:16">
      <c r="A26" s="6">
        <f>IF(Docentes!$A$21="","",Docentes!$A$21)</f>
      </c>
      <c r="B26" s="5">
        <f>IF($A26="","",COUNTIFS(Registro!$K$2:$K$501,$A26,Registro!$Q$2:$Q$501,"Disponible"))</f>
      </c>
      <c r="C26" s="5">
        <f>IF($A26="","",COUNTIFS(Registro!$K$2:$K$501,$A26,Registro!$O$2:$O$501,"Sí"))</f>
      </c>
      <c r="D26" s="5">
        <f>IF($A26="","",$B26+$C26)</f>
      </c>
      <c r="E26" s="6">
        <f>IF($A26="","",IF($B26=0,"—",$G26&amp;IF($H26&lt;&gt;""," | "&amp;$H26,"")&amp;IF($I26&lt;&gt;""," | "&amp;$I26,"")&amp;IF($J26&lt;&gt;""," | "&amp;$J26,"")&amp;IF($K26&lt;&gt;""," | "&amp;$K26,"")&amp;IF($L26&lt;&gt;""," | "&amp;$L26,"")&amp;IF($M26&lt;&gt;""," | "&amp;$M26,"")&amp;IF($N26&lt;&gt;""," | "&amp;$N26,"")&amp;IF($O26&lt;&gt;""," | "&amp;$O26,"")&amp;IF($P26&lt;&gt;""," | "&amp;$P26,"")&amp;IF($B26&gt;10," | (+"&amp;($B26-10)&amp;" más)","")))</f>
      </c>
      <c r="G26" s="0">
        <f>IFERROR(INDEX(Registro!$M$2:$M$501,MATCH($A26&amp;"|"&amp;1,Registro!$AJ$2:$AJ$501,0)),"")</f>
      </c>
      <c r="H26" s="0">
        <f>IFERROR(INDEX(Registro!$M$2:$M$501,MATCH($A26&amp;"|"&amp;2,Registro!$AJ$2:$AJ$501,0)),"")</f>
      </c>
      <c r="I26" s="0">
        <f>IFERROR(INDEX(Registro!$M$2:$M$501,MATCH($A26&amp;"|"&amp;3,Registro!$AJ$2:$AJ$501,0)),"")</f>
      </c>
      <c r="J26" s="0">
        <f>IFERROR(INDEX(Registro!$M$2:$M$501,MATCH($A26&amp;"|"&amp;4,Registro!$AJ$2:$AJ$501,0)),"")</f>
      </c>
      <c r="K26" s="0">
        <f>IFERROR(INDEX(Registro!$M$2:$M$501,MATCH($A26&amp;"|"&amp;5,Registro!$AJ$2:$AJ$501,0)),"")</f>
      </c>
      <c r="L26" s="0">
        <f>IFERROR(INDEX(Registro!$M$2:$M$501,MATCH($A26&amp;"|"&amp;6,Registro!$AJ$2:$AJ$501,0)),"")</f>
      </c>
      <c r="M26" s="0">
        <f>IFERROR(INDEX(Registro!$M$2:$M$501,MATCH($A26&amp;"|"&amp;7,Registro!$AJ$2:$AJ$501,0)),"")</f>
      </c>
      <c r="N26" s="0">
        <f>IFERROR(INDEX(Registro!$M$2:$M$501,MATCH($A26&amp;"|"&amp;8,Registro!$AJ$2:$AJ$501,0)),"")</f>
      </c>
      <c r="O26" s="0">
        <f>IFERROR(INDEX(Registro!$M$2:$M$501,MATCH($A26&amp;"|"&amp;9,Registro!$AJ$2:$AJ$501,0)),"")</f>
      </c>
      <c r="P26" s="0">
        <f>IFERROR(INDEX(Registro!$M$2:$M$501,MATCH($A26&amp;"|"&amp;10,Registro!$AJ$2:$AJ$501,0)),"")</f>
      </c>
    </row>
    <row r="27" spans="1:16">
      <c r="A27" s="6">
        <f>IF(Docentes!$A$22="","",Docentes!$A$22)</f>
      </c>
      <c r="B27" s="5">
        <f>IF($A27="","",COUNTIFS(Registro!$K$2:$K$501,$A27,Registro!$Q$2:$Q$501,"Disponible"))</f>
      </c>
      <c r="C27" s="5">
        <f>IF($A27="","",COUNTIFS(Registro!$K$2:$K$501,$A27,Registro!$O$2:$O$501,"Sí"))</f>
      </c>
      <c r="D27" s="5">
        <f>IF($A27="","",$B27+$C27)</f>
      </c>
      <c r="E27" s="6">
        <f>IF($A27="","",IF($B27=0,"—",$G27&amp;IF($H27&lt;&gt;""," | "&amp;$H27,"")&amp;IF($I27&lt;&gt;""," | "&amp;$I27,"")&amp;IF($J27&lt;&gt;""," | "&amp;$J27,"")&amp;IF($K27&lt;&gt;""," | "&amp;$K27,"")&amp;IF($L27&lt;&gt;""," | "&amp;$L27,"")&amp;IF($M27&lt;&gt;""," | "&amp;$M27,"")&amp;IF($N27&lt;&gt;""," | "&amp;$N27,"")&amp;IF($O27&lt;&gt;""," | "&amp;$O27,"")&amp;IF($P27&lt;&gt;""," | "&amp;$P27,"")&amp;IF($B27&gt;10," | (+"&amp;($B27-10)&amp;" más)","")))</f>
      </c>
      <c r="G27" s="0">
        <f>IFERROR(INDEX(Registro!$M$2:$M$501,MATCH($A27&amp;"|"&amp;1,Registro!$AJ$2:$AJ$501,0)),"")</f>
      </c>
      <c r="H27" s="0">
        <f>IFERROR(INDEX(Registro!$M$2:$M$501,MATCH($A27&amp;"|"&amp;2,Registro!$AJ$2:$AJ$501,0)),"")</f>
      </c>
      <c r="I27" s="0">
        <f>IFERROR(INDEX(Registro!$M$2:$M$501,MATCH($A27&amp;"|"&amp;3,Registro!$AJ$2:$AJ$501,0)),"")</f>
      </c>
      <c r="J27" s="0">
        <f>IFERROR(INDEX(Registro!$M$2:$M$501,MATCH($A27&amp;"|"&amp;4,Registro!$AJ$2:$AJ$501,0)),"")</f>
      </c>
      <c r="K27" s="0">
        <f>IFERROR(INDEX(Registro!$M$2:$M$501,MATCH($A27&amp;"|"&amp;5,Registro!$AJ$2:$AJ$501,0)),"")</f>
      </c>
      <c r="L27" s="0">
        <f>IFERROR(INDEX(Registro!$M$2:$M$501,MATCH($A27&amp;"|"&amp;6,Registro!$AJ$2:$AJ$501,0)),"")</f>
      </c>
      <c r="M27" s="0">
        <f>IFERROR(INDEX(Registro!$M$2:$M$501,MATCH($A27&amp;"|"&amp;7,Registro!$AJ$2:$AJ$501,0)),"")</f>
      </c>
      <c r="N27" s="0">
        <f>IFERROR(INDEX(Registro!$M$2:$M$501,MATCH($A27&amp;"|"&amp;8,Registro!$AJ$2:$AJ$501,0)),"")</f>
      </c>
      <c r="O27" s="0">
        <f>IFERROR(INDEX(Registro!$M$2:$M$501,MATCH($A27&amp;"|"&amp;9,Registro!$AJ$2:$AJ$501,0)),"")</f>
      </c>
      <c r="P27" s="0">
        <f>IFERROR(INDEX(Registro!$M$2:$M$501,MATCH($A27&amp;"|"&amp;10,Registro!$AJ$2:$AJ$501,0)),"")</f>
      </c>
    </row>
    <row r="28" spans="1:16">
      <c r="A28" s="6">
        <f>IF(Docentes!$A$23="","",Docentes!$A$23)</f>
      </c>
      <c r="B28" s="5">
        <f>IF($A28="","",COUNTIFS(Registro!$K$2:$K$501,$A28,Registro!$Q$2:$Q$501,"Disponible"))</f>
      </c>
      <c r="C28" s="5">
        <f>IF($A28="","",COUNTIFS(Registro!$K$2:$K$501,$A28,Registro!$O$2:$O$501,"Sí"))</f>
      </c>
      <c r="D28" s="5">
        <f>IF($A28="","",$B28+$C28)</f>
      </c>
      <c r="E28" s="6">
        <f>IF($A28="","",IF($B28=0,"—",$G28&amp;IF($H28&lt;&gt;""," | "&amp;$H28,"")&amp;IF($I28&lt;&gt;""," | "&amp;$I28,"")&amp;IF($J28&lt;&gt;""," | "&amp;$J28,"")&amp;IF($K28&lt;&gt;""," | "&amp;$K28,"")&amp;IF($L28&lt;&gt;""," | "&amp;$L28,"")&amp;IF($M28&lt;&gt;""," | "&amp;$M28,"")&amp;IF($N28&lt;&gt;""," | "&amp;$N28,"")&amp;IF($O28&lt;&gt;""," | "&amp;$O28,"")&amp;IF($P28&lt;&gt;""," | "&amp;$P28,"")&amp;IF($B28&gt;10," | (+"&amp;($B28-10)&amp;" más)","")))</f>
      </c>
      <c r="G28" s="0">
        <f>IFERROR(INDEX(Registro!$M$2:$M$501,MATCH($A28&amp;"|"&amp;1,Registro!$AJ$2:$AJ$501,0)),"")</f>
      </c>
      <c r="H28" s="0">
        <f>IFERROR(INDEX(Registro!$M$2:$M$501,MATCH($A28&amp;"|"&amp;2,Registro!$AJ$2:$AJ$501,0)),"")</f>
      </c>
      <c r="I28" s="0">
        <f>IFERROR(INDEX(Registro!$M$2:$M$501,MATCH($A28&amp;"|"&amp;3,Registro!$AJ$2:$AJ$501,0)),"")</f>
      </c>
      <c r="J28" s="0">
        <f>IFERROR(INDEX(Registro!$M$2:$M$501,MATCH($A28&amp;"|"&amp;4,Registro!$AJ$2:$AJ$501,0)),"")</f>
      </c>
      <c r="K28" s="0">
        <f>IFERROR(INDEX(Registro!$M$2:$M$501,MATCH($A28&amp;"|"&amp;5,Registro!$AJ$2:$AJ$501,0)),"")</f>
      </c>
      <c r="L28" s="0">
        <f>IFERROR(INDEX(Registro!$M$2:$M$501,MATCH($A28&amp;"|"&amp;6,Registro!$AJ$2:$AJ$501,0)),"")</f>
      </c>
      <c r="M28" s="0">
        <f>IFERROR(INDEX(Registro!$M$2:$M$501,MATCH($A28&amp;"|"&amp;7,Registro!$AJ$2:$AJ$501,0)),"")</f>
      </c>
      <c r="N28" s="0">
        <f>IFERROR(INDEX(Registro!$M$2:$M$501,MATCH($A28&amp;"|"&amp;8,Registro!$AJ$2:$AJ$501,0)),"")</f>
      </c>
      <c r="O28" s="0">
        <f>IFERROR(INDEX(Registro!$M$2:$M$501,MATCH($A28&amp;"|"&amp;9,Registro!$AJ$2:$AJ$501,0)),"")</f>
      </c>
      <c r="P28" s="0">
        <f>IFERROR(INDEX(Registro!$M$2:$M$501,MATCH($A28&amp;"|"&amp;10,Registro!$AJ$2:$AJ$501,0)),"")</f>
      </c>
    </row>
    <row r="29" spans="1:16">
      <c r="A29" s="6">
        <f>IF(Docentes!$A$24="","",Docentes!$A$24)</f>
      </c>
      <c r="B29" s="5">
        <f>IF($A29="","",COUNTIFS(Registro!$K$2:$K$501,$A29,Registro!$Q$2:$Q$501,"Disponible"))</f>
      </c>
      <c r="C29" s="5">
        <f>IF($A29="","",COUNTIFS(Registro!$K$2:$K$501,$A29,Registro!$O$2:$O$501,"Sí"))</f>
      </c>
      <c r="D29" s="5">
        <f>IF($A29="","",$B29+$C29)</f>
      </c>
      <c r="E29" s="6">
        <f>IF($A29="","",IF($B29=0,"—",$G29&amp;IF($H29&lt;&gt;""," | "&amp;$H29,"")&amp;IF($I29&lt;&gt;""," | "&amp;$I29,"")&amp;IF($J29&lt;&gt;""," | "&amp;$J29,"")&amp;IF($K29&lt;&gt;""," | "&amp;$K29,"")&amp;IF($L29&lt;&gt;""," | "&amp;$L29,"")&amp;IF($M29&lt;&gt;""," | "&amp;$M29,"")&amp;IF($N29&lt;&gt;""," | "&amp;$N29,"")&amp;IF($O29&lt;&gt;""," | "&amp;$O29,"")&amp;IF($P29&lt;&gt;""," | "&amp;$P29,"")&amp;IF($B29&gt;10," | (+"&amp;($B29-10)&amp;" más)","")))</f>
      </c>
      <c r="G29" s="0">
        <f>IFERROR(INDEX(Registro!$M$2:$M$501,MATCH($A29&amp;"|"&amp;1,Registro!$AJ$2:$AJ$501,0)),"")</f>
      </c>
      <c r="H29" s="0">
        <f>IFERROR(INDEX(Registro!$M$2:$M$501,MATCH($A29&amp;"|"&amp;2,Registro!$AJ$2:$AJ$501,0)),"")</f>
      </c>
      <c r="I29" s="0">
        <f>IFERROR(INDEX(Registro!$M$2:$M$501,MATCH($A29&amp;"|"&amp;3,Registro!$AJ$2:$AJ$501,0)),"")</f>
      </c>
      <c r="J29" s="0">
        <f>IFERROR(INDEX(Registro!$M$2:$M$501,MATCH($A29&amp;"|"&amp;4,Registro!$AJ$2:$AJ$501,0)),"")</f>
      </c>
      <c r="K29" s="0">
        <f>IFERROR(INDEX(Registro!$M$2:$M$501,MATCH($A29&amp;"|"&amp;5,Registro!$AJ$2:$AJ$501,0)),"")</f>
      </c>
      <c r="L29" s="0">
        <f>IFERROR(INDEX(Registro!$M$2:$M$501,MATCH($A29&amp;"|"&amp;6,Registro!$AJ$2:$AJ$501,0)),"")</f>
      </c>
      <c r="M29" s="0">
        <f>IFERROR(INDEX(Registro!$M$2:$M$501,MATCH($A29&amp;"|"&amp;7,Registro!$AJ$2:$AJ$501,0)),"")</f>
      </c>
      <c r="N29" s="0">
        <f>IFERROR(INDEX(Registro!$M$2:$M$501,MATCH($A29&amp;"|"&amp;8,Registro!$AJ$2:$AJ$501,0)),"")</f>
      </c>
      <c r="O29" s="0">
        <f>IFERROR(INDEX(Registro!$M$2:$M$501,MATCH($A29&amp;"|"&amp;9,Registro!$AJ$2:$AJ$501,0)),"")</f>
      </c>
      <c r="P29" s="0">
        <f>IFERROR(INDEX(Registro!$M$2:$M$501,MATCH($A29&amp;"|"&amp;10,Registro!$AJ$2:$AJ$501,0)),"")</f>
      </c>
    </row>
    <row r="30" spans="1:16">
      <c r="A30" s="6">
        <f>IF(Docentes!$A$25="","",Docentes!$A$25)</f>
      </c>
      <c r="B30" s="5">
        <f>IF($A30="","",COUNTIFS(Registro!$K$2:$K$501,$A30,Registro!$Q$2:$Q$501,"Disponible"))</f>
      </c>
      <c r="C30" s="5">
        <f>IF($A30="","",COUNTIFS(Registro!$K$2:$K$501,$A30,Registro!$O$2:$O$501,"Sí"))</f>
      </c>
      <c r="D30" s="5">
        <f>IF($A30="","",$B30+$C30)</f>
      </c>
      <c r="E30" s="6">
        <f>IF($A30="","",IF($B30=0,"—",$G30&amp;IF($H30&lt;&gt;""," | "&amp;$H30,"")&amp;IF($I30&lt;&gt;""," | "&amp;$I30,"")&amp;IF($J30&lt;&gt;""," | "&amp;$J30,"")&amp;IF($K30&lt;&gt;""," | "&amp;$K30,"")&amp;IF($L30&lt;&gt;""," | "&amp;$L30,"")&amp;IF($M30&lt;&gt;""," | "&amp;$M30,"")&amp;IF($N30&lt;&gt;""," | "&amp;$N30,"")&amp;IF($O30&lt;&gt;""," | "&amp;$O30,"")&amp;IF($P30&lt;&gt;""," | "&amp;$P30,"")&amp;IF($B30&gt;10," | (+"&amp;($B30-10)&amp;" más)","")))</f>
      </c>
      <c r="G30" s="0">
        <f>IFERROR(INDEX(Registro!$M$2:$M$501,MATCH($A30&amp;"|"&amp;1,Registro!$AJ$2:$AJ$501,0)),"")</f>
      </c>
      <c r="H30" s="0">
        <f>IFERROR(INDEX(Registro!$M$2:$M$501,MATCH($A30&amp;"|"&amp;2,Registro!$AJ$2:$AJ$501,0)),"")</f>
      </c>
      <c r="I30" s="0">
        <f>IFERROR(INDEX(Registro!$M$2:$M$501,MATCH($A30&amp;"|"&amp;3,Registro!$AJ$2:$AJ$501,0)),"")</f>
      </c>
      <c r="J30" s="0">
        <f>IFERROR(INDEX(Registro!$M$2:$M$501,MATCH($A30&amp;"|"&amp;4,Registro!$AJ$2:$AJ$501,0)),"")</f>
      </c>
      <c r="K30" s="0">
        <f>IFERROR(INDEX(Registro!$M$2:$M$501,MATCH($A30&amp;"|"&amp;5,Registro!$AJ$2:$AJ$501,0)),"")</f>
      </c>
      <c r="L30" s="0">
        <f>IFERROR(INDEX(Registro!$M$2:$M$501,MATCH($A30&amp;"|"&amp;6,Registro!$AJ$2:$AJ$501,0)),"")</f>
      </c>
      <c r="M30" s="0">
        <f>IFERROR(INDEX(Registro!$M$2:$M$501,MATCH($A30&amp;"|"&amp;7,Registro!$AJ$2:$AJ$501,0)),"")</f>
      </c>
      <c r="N30" s="0">
        <f>IFERROR(INDEX(Registro!$M$2:$M$501,MATCH($A30&amp;"|"&amp;8,Registro!$AJ$2:$AJ$501,0)),"")</f>
      </c>
      <c r="O30" s="0">
        <f>IFERROR(INDEX(Registro!$M$2:$M$501,MATCH($A30&amp;"|"&amp;9,Registro!$AJ$2:$AJ$501,0)),"")</f>
      </c>
      <c r="P30" s="0">
        <f>IFERROR(INDEX(Registro!$M$2:$M$501,MATCH($A30&amp;"|"&amp;10,Registro!$AJ$2:$AJ$501,0)),"")</f>
      </c>
    </row>
    <row r="31" spans="1:16">
      <c r="A31" s="6">
        <f>IF(Docentes!$A$26="","",Docentes!$A$26)</f>
      </c>
      <c r="B31" s="5">
        <f>IF($A31="","",COUNTIFS(Registro!$K$2:$K$501,$A31,Registro!$Q$2:$Q$501,"Disponible"))</f>
      </c>
      <c r="C31" s="5">
        <f>IF($A31="","",COUNTIFS(Registro!$K$2:$K$501,$A31,Registro!$O$2:$O$501,"Sí"))</f>
      </c>
      <c r="D31" s="5">
        <f>IF($A31="","",$B31+$C31)</f>
      </c>
      <c r="E31" s="6">
        <f>IF($A31="","",IF($B31=0,"—",$G31&amp;IF($H31&lt;&gt;""," | "&amp;$H31,"")&amp;IF($I31&lt;&gt;""," | "&amp;$I31,"")&amp;IF($J31&lt;&gt;""," | "&amp;$J31,"")&amp;IF($K31&lt;&gt;""," | "&amp;$K31,"")&amp;IF($L31&lt;&gt;""," | "&amp;$L31,"")&amp;IF($M31&lt;&gt;""," | "&amp;$M31,"")&amp;IF($N31&lt;&gt;""," | "&amp;$N31,"")&amp;IF($O31&lt;&gt;""," | "&amp;$O31,"")&amp;IF($P31&lt;&gt;""," | "&amp;$P31,"")&amp;IF($B31&gt;10," | (+"&amp;($B31-10)&amp;" más)","")))</f>
      </c>
      <c r="G31" s="0">
        <f>IFERROR(INDEX(Registro!$M$2:$M$501,MATCH($A31&amp;"|"&amp;1,Registro!$AJ$2:$AJ$501,0)),"")</f>
      </c>
      <c r="H31" s="0">
        <f>IFERROR(INDEX(Registro!$M$2:$M$501,MATCH($A31&amp;"|"&amp;2,Registro!$AJ$2:$AJ$501,0)),"")</f>
      </c>
      <c r="I31" s="0">
        <f>IFERROR(INDEX(Registro!$M$2:$M$501,MATCH($A31&amp;"|"&amp;3,Registro!$AJ$2:$AJ$501,0)),"")</f>
      </c>
      <c r="J31" s="0">
        <f>IFERROR(INDEX(Registro!$M$2:$M$501,MATCH($A31&amp;"|"&amp;4,Registro!$AJ$2:$AJ$501,0)),"")</f>
      </c>
      <c r="K31" s="0">
        <f>IFERROR(INDEX(Registro!$M$2:$M$501,MATCH($A31&amp;"|"&amp;5,Registro!$AJ$2:$AJ$501,0)),"")</f>
      </c>
      <c r="L31" s="0">
        <f>IFERROR(INDEX(Registro!$M$2:$M$501,MATCH($A31&amp;"|"&amp;6,Registro!$AJ$2:$AJ$501,0)),"")</f>
      </c>
      <c r="M31" s="0">
        <f>IFERROR(INDEX(Registro!$M$2:$M$501,MATCH($A31&amp;"|"&amp;7,Registro!$AJ$2:$AJ$501,0)),"")</f>
      </c>
      <c r="N31" s="0">
        <f>IFERROR(INDEX(Registro!$M$2:$M$501,MATCH($A31&amp;"|"&amp;8,Registro!$AJ$2:$AJ$501,0)),"")</f>
      </c>
      <c r="O31" s="0">
        <f>IFERROR(INDEX(Registro!$M$2:$M$501,MATCH($A31&amp;"|"&amp;9,Registro!$AJ$2:$AJ$501,0)),"")</f>
      </c>
      <c r="P31" s="0">
        <f>IFERROR(INDEX(Registro!$M$2:$M$501,MATCH($A31&amp;"|"&amp;10,Registro!$AJ$2:$AJ$501,0)),"")</f>
      </c>
    </row>
    <row r="32" spans="1:16">
      <c r="A32" s="6">
        <f>IF(Docentes!$A$27="","",Docentes!$A$27)</f>
      </c>
      <c r="B32" s="5">
        <f>IF($A32="","",COUNTIFS(Registro!$K$2:$K$501,$A32,Registro!$Q$2:$Q$501,"Disponible"))</f>
      </c>
      <c r="C32" s="5">
        <f>IF($A32="","",COUNTIFS(Registro!$K$2:$K$501,$A32,Registro!$O$2:$O$501,"Sí"))</f>
      </c>
      <c r="D32" s="5">
        <f>IF($A32="","",$B32+$C32)</f>
      </c>
      <c r="E32" s="6">
        <f>IF($A32="","",IF($B32=0,"—",$G32&amp;IF($H32&lt;&gt;""," | "&amp;$H32,"")&amp;IF($I32&lt;&gt;""," | "&amp;$I32,"")&amp;IF($J32&lt;&gt;""," | "&amp;$J32,"")&amp;IF($K32&lt;&gt;""," | "&amp;$K32,"")&amp;IF($L32&lt;&gt;""," | "&amp;$L32,"")&amp;IF($M32&lt;&gt;""," | "&amp;$M32,"")&amp;IF($N32&lt;&gt;""," | "&amp;$N32,"")&amp;IF($O32&lt;&gt;""," | "&amp;$O32,"")&amp;IF($P32&lt;&gt;""," | "&amp;$P32,"")&amp;IF($B32&gt;10," | (+"&amp;($B32-10)&amp;" más)","")))</f>
      </c>
      <c r="G32" s="0">
        <f>IFERROR(INDEX(Registro!$M$2:$M$501,MATCH($A32&amp;"|"&amp;1,Registro!$AJ$2:$AJ$501,0)),"")</f>
      </c>
      <c r="H32" s="0">
        <f>IFERROR(INDEX(Registro!$M$2:$M$501,MATCH($A32&amp;"|"&amp;2,Registro!$AJ$2:$AJ$501,0)),"")</f>
      </c>
      <c r="I32" s="0">
        <f>IFERROR(INDEX(Registro!$M$2:$M$501,MATCH($A32&amp;"|"&amp;3,Registro!$AJ$2:$AJ$501,0)),"")</f>
      </c>
      <c r="J32" s="0">
        <f>IFERROR(INDEX(Registro!$M$2:$M$501,MATCH($A32&amp;"|"&amp;4,Registro!$AJ$2:$AJ$501,0)),"")</f>
      </c>
      <c r="K32" s="0">
        <f>IFERROR(INDEX(Registro!$M$2:$M$501,MATCH($A32&amp;"|"&amp;5,Registro!$AJ$2:$AJ$501,0)),"")</f>
      </c>
      <c r="L32" s="0">
        <f>IFERROR(INDEX(Registro!$M$2:$M$501,MATCH($A32&amp;"|"&amp;6,Registro!$AJ$2:$AJ$501,0)),"")</f>
      </c>
      <c r="M32" s="0">
        <f>IFERROR(INDEX(Registro!$M$2:$M$501,MATCH($A32&amp;"|"&amp;7,Registro!$AJ$2:$AJ$501,0)),"")</f>
      </c>
      <c r="N32" s="0">
        <f>IFERROR(INDEX(Registro!$M$2:$M$501,MATCH($A32&amp;"|"&amp;8,Registro!$AJ$2:$AJ$501,0)),"")</f>
      </c>
      <c r="O32" s="0">
        <f>IFERROR(INDEX(Registro!$M$2:$M$501,MATCH($A32&amp;"|"&amp;9,Registro!$AJ$2:$AJ$501,0)),"")</f>
      </c>
      <c r="P32" s="0">
        <f>IFERROR(INDEX(Registro!$M$2:$M$501,MATCH($A32&amp;"|"&amp;10,Registro!$AJ$2:$AJ$501,0)),"")</f>
      </c>
    </row>
    <row r="33" spans="1:16">
      <c r="A33" s="6">
        <f>IF(Docentes!$A$28="","",Docentes!$A$28)</f>
      </c>
      <c r="B33" s="5">
        <f>IF($A33="","",COUNTIFS(Registro!$K$2:$K$501,$A33,Registro!$Q$2:$Q$501,"Disponible"))</f>
      </c>
      <c r="C33" s="5">
        <f>IF($A33="","",COUNTIFS(Registro!$K$2:$K$501,$A33,Registro!$O$2:$O$501,"Sí"))</f>
      </c>
      <c r="D33" s="5">
        <f>IF($A33="","",$B33+$C33)</f>
      </c>
      <c r="E33" s="6">
        <f>IF($A33="","",IF($B33=0,"—",$G33&amp;IF($H33&lt;&gt;""," | "&amp;$H33,"")&amp;IF($I33&lt;&gt;""," | "&amp;$I33,"")&amp;IF($J33&lt;&gt;""," | "&amp;$J33,"")&amp;IF($K33&lt;&gt;""," | "&amp;$K33,"")&amp;IF($L33&lt;&gt;""," | "&amp;$L33,"")&amp;IF($M33&lt;&gt;""," | "&amp;$M33,"")&amp;IF($N33&lt;&gt;""," | "&amp;$N33,"")&amp;IF($O33&lt;&gt;""," | "&amp;$O33,"")&amp;IF($P33&lt;&gt;""," | "&amp;$P33,"")&amp;IF($B33&gt;10," | (+"&amp;($B33-10)&amp;" más)","")))</f>
      </c>
      <c r="G33" s="0">
        <f>IFERROR(INDEX(Registro!$M$2:$M$501,MATCH($A33&amp;"|"&amp;1,Registro!$AJ$2:$AJ$501,0)),"")</f>
      </c>
      <c r="H33" s="0">
        <f>IFERROR(INDEX(Registro!$M$2:$M$501,MATCH($A33&amp;"|"&amp;2,Registro!$AJ$2:$AJ$501,0)),"")</f>
      </c>
      <c r="I33" s="0">
        <f>IFERROR(INDEX(Registro!$M$2:$M$501,MATCH($A33&amp;"|"&amp;3,Registro!$AJ$2:$AJ$501,0)),"")</f>
      </c>
      <c r="J33" s="0">
        <f>IFERROR(INDEX(Registro!$M$2:$M$501,MATCH($A33&amp;"|"&amp;4,Registro!$AJ$2:$AJ$501,0)),"")</f>
      </c>
      <c r="K33" s="0">
        <f>IFERROR(INDEX(Registro!$M$2:$M$501,MATCH($A33&amp;"|"&amp;5,Registro!$AJ$2:$AJ$501,0)),"")</f>
      </c>
      <c r="L33" s="0">
        <f>IFERROR(INDEX(Registro!$M$2:$M$501,MATCH($A33&amp;"|"&amp;6,Registro!$AJ$2:$AJ$501,0)),"")</f>
      </c>
      <c r="M33" s="0">
        <f>IFERROR(INDEX(Registro!$M$2:$M$501,MATCH($A33&amp;"|"&amp;7,Registro!$AJ$2:$AJ$501,0)),"")</f>
      </c>
      <c r="N33" s="0">
        <f>IFERROR(INDEX(Registro!$M$2:$M$501,MATCH($A33&amp;"|"&amp;8,Registro!$AJ$2:$AJ$501,0)),"")</f>
      </c>
      <c r="O33" s="0">
        <f>IFERROR(INDEX(Registro!$M$2:$M$501,MATCH($A33&amp;"|"&amp;9,Registro!$AJ$2:$AJ$501,0)),"")</f>
      </c>
      <c r="P33" s="0">
        <f>IFERROR(INDEX(Registro!$M$2:$M$501,MATCH($A33&amp;"|"&amp;10,Registro!$AJ$2:$AJ$501,0)),"")</f>
      </c>
    </row>
    <row r="34" spans="1:16">
      <c r="A34" s="6">
        <f>IF(Docentes!$A$29="","",Docentes!$A$29)</f>
      </c>
      <c r="B34" s="5">
        <f>IF($A34="","",COUNTIFS(Registro!$K$2:$K$501,$A34,Registro!$Q$2:$Q$501,"Disponible"))</f>
      </c>
      <c r="C34" s="5">
        <f>IF($A34="","",COUNTIFS(Registro!$K$2:$K$501,$A34,Registro!$O$2:$O$501,"Sí"))</f>
      </c>
      <c r="D34" s="5">
        <f>IF($A34="","",$B34+$C34)</f>
      </c>
      <c r="E34" s="6">
        <f>IF($A34="","",IF($B34=0,"—",$G34&amp;IF($H34&lt;&gt;""," | "&amp;$H34,"")&amp;IF($I34&lt;&gt;""," | "&amp;$I34,"")&amp;IF($J34&lt;&gt;""," | "&amp;$J34,"")&amp;IF($K34&lt;&gt;""," | "&amp;$K34,"")&amp;IF($L34&lt;&gt;""," | "&amp;$L34,"")&amp;IF($M34&lt;&gt;""," | "&amp;$M34,"")&amp;IF($N34&lt;&gt;""," | "&amp;$N34,"")&amp;IF($O34&lt;&gt;""," | "&amp;$O34,"")&amp;IF($P34&lt;&gt;""," | "&amp;$P34,"")&amp;IF($B34&gt;10," | (+"&amp;($B34-10)&amp;" más)","")))</f>
      </c>
      <c r="G34" s="0">
        <f>IFERROR(INDEX(Registro!$M$2:$M$501,MATCH($A34&amp;"|"&amp;1,Registro!$AJ$2:$AJ$501,0)),"")</f>
      </c>
      <c r="H34" s="0">
        <f>IFERROR(INDEX(Registro!$M$2:$M$501,MATCH($A34&amp;"|"&amp;2,Registro!$AJ$2:$AJ$501,0)),"")</f>
      </c>
      <c r="I34" s="0">
        <f>IFERROR(INDEX(Registro!$M$2:$M$501,MATCH($A34&amp;"|"&amp;3,Registro!$AJ$2:$AJ$501,0)),"")</f>
      </c>
      <c r="J34" s="0">
        <f>IFERROR(INDEX(Registro!$M$2:$M$501,MATCH($A34&amp;"|"&amp;4,Registro!$AJ$2:$AJ$501,0)),"")</f>
      </c>
      <c r="K34" s="0">
        <f>IFERROR(INDEX(Registro!$M$2:$M$501,MATCH($A34&amp;"|"&amp;5,Registro!$AJ$2:$AJ$501,0)),"")</f>
      </c>
      <c r="L34" s="0">
        <f>IFERROR(INDEX(Registro!$M$2:$M$501,MATCH($A34&amp;"|"&amp;6,Registro!$AJ$2:$AJ$501,0)),"")</f>
      </c>
      <c r="M34" s="0">
        <f>IFERROR(INDEX(Registro!$M$2:$M$501,MATCH($A34&amp;"|"&amp;7,Registro!$AJ$2:$AJ$501,0)),"")</f>
      </c>
      <c r="N34" s="0">
        <f>IFERROR(INDEX(Registro!$M$2:$M$501,MATCH($A34&amp;"|"&amp;8,Registro!$AJ$2:$AJ$501,0)),"")</f>
      </c>
      <c r="O34" s="0">
        <f>IFERROR(INDEX(Registro!$M$2:$M$501,MATCH($A34&amp;"|"&amp;9,Registro!$AJ$2:$AJ$501,0)),"")</f>
      </c>
      <c r="P34" s="0">
        <f>IFERROR(INDEX(Registro!$M$2:$M$501,MATCH($A34&amp;"|"&amp;10,Registro!$AJ$2:$AJ$501,0)),"")</f>
      </c>
    </row>
    <row r="35" spans="1:16">
      <c r="A35" s="6">
        <f>IF(Docentes!$A$30="","",Docentes!$A$30)</f>
      </c>
      <c r="B35" s="5">
        <f>IF($A35="","",COUNTIFS(Registro!$K$2:$K$501,$A35,Registro!$Q$2:$Q$501,"Disponible"))</f>
      </c>
      <c r="C35" s="5">
        <f>IF($A35="","",COUNTIFS(Registro!$K$2:$K$501,$A35,Registro!$O$2:$O$501,"Sí"))</f>
      </c>
      <c r="D35" s="5">
        <f>IF($A35="","",$B35+$C35)</f>
      </c>
      <c r="E35" s="6">
        <f>IF($A35="","",IF($B35=0,"—",$G35&amp;IF($H35&lt;&gt;""," | "&amp;$H35,"")&amp;IF($I35&lt;&gt;""," | "&amp;$I35,"")&amp;IF($J35&lt;&gt;""," | "&amp;$J35,"")&amp;IF($K35&lt;&gt;""," | "&amp;$K35,"")&amp;IF($L35&lt;&gt;""," | "&amp;$L35,"")&amp;IF($M35&lt;&gt;""," | "&amp;$M35,"")&amp;IF($N35&lt;&gt;""," | "&amp;$N35,"")&amp;IF($O35&lt;&gt;""," | "&amp;$O35,"")&amp;IF($P35&lt;&gt;""," | "&amp;$P35,"")&amp;IF($B35&gt;10," | (+"&amp;($B35-10)&amp;" más)","")))</f>
      </c>
      <c r="G35" s="0">
        <f>IFERROR(INDEX(Registro!$M$2:$M$501,MATCH($A35&amp;"|"&amp;1,Registro!$AJ$2:$AJ$501,0)),"")</f>
      </c>
      <c r="H35" s="0">
        <f>IFERROR(INDEX(Registro!$M$2:$M$501,MATCH($A35&amp;"|"&amp;2,Registro!$AJ$2:$AJ$501,0)),"")</f>
      </c>
      <c r="I35" s="0">
        <f>IFERROR(INDEX(Registro!$M$2:$M$501,MATCH($A35&amp;"|"&amp;3,Registro!$AJ$2:$AJ$501,0)),"")</f>
      </c>
      <c r="J35" s="0">
        <f>IFERROR(INDEX(Registro!$M$2:$M$501,MATCH($A35&amp;"|"&amp;4,Registro!$AJ$2:$AJ$501,0)),"")</f>
      </c>
      <c r="K35" s="0">
        <f>IFERROR(INDEX(Registro!$M$2:$M$501,MATCH($A35&amp;"|"&amp;5,Registro!$AJ$2:$AJ$501,0)),"")</f>
      </c>
      <c r="L35" s="0">
        <f>IFERROR(INDEX(Registro!$M$2:$M$501,MATCH($A35&amp;"|"&amp;6,Registro!$AJ$2:$AJ$501,0)),"")</f>
      </c>
      <c r="M35" s="0">
        <f>IFERROR(INDEX(Registro!$M$2:$M$501,MATCH($A35&amp;"|"&amp;7,Registro!$AJ$2:$AJ$501,0)),"")</f>
      </c>
      <c r="N35" s="0">
        <f>IFERROR(INDEX(Registro!$M$2:$M$501,MATCH($A35&amp;"|"&amp;8,Registro!$AJ$2:$AJ$501,0)),"")</f>
      </c>
      <c r="O35" s="0">
        <f>IFERROR(INDEX(Registro!$M$2:$M$501,MATCH($A35&amp;"|"&amp;9,Registro!$AJ$2:$AJ$501,0)),"")</f>
      </c>
      <c r="P35" s="0">
        <f>IFERROR(INDEX(Registro!$M$2:$M$501,MATCH($A35&amp;"|"&amp;10,Registro!$AJ$2:$AJ$501,0)),"")</f>
      </c>
    </row>
    <row r="36" spans="1:16">
      <c r="A36" s="6">
        <f>IF(Docentes!$A$31="","",Docentes!$A$31)</f>
      </c>
      <c r="B36" s="5">
        <f>IF($A36="","",COUNTIFS(Registro!$K$2:$K$501,$A36,Registro!$Q$2:$Q$501,"Disponible"))</f>
      </c>
      <c r="C36" s="5">
        <f>IF($A36="","",COUNTIFS(Registro!$K$2:$K$501,$A36,Registro!$O$2:$O$501,"Sí"))</f>
      </c>
      <c r="D36" s="5">
        <f>IF($A36="","",$B36+$C36)</f>
      </c>
      <c r="E36" s="6">
        <f>IF($A36="","",IF($B36=0,"—",$G36&amp;IF($H36&lt;&gt;""," | "&amp;$H36,"")&amp;IF($I36&lt;&gt;""," | "&amp;$I36,"")&amp;IF($J36&lt;&gt;""," | "&amp;$J36,"")&amp;IF($K36&lt;&gt;""," | "&amp;$K36,"")&amp;IF($L36&lt;&gt;""," | "&amp;$L36,"")&amp;IF($M36&lt;&gt;""," | "&amp;$M36,"")&amp;IF($N36&lt;&gt;""," | "&amp;$N36,"")&amp;IF($O36&lt;&gt;""," | "&amp;$O36,"")&amp;IF($P36&lt;&gt;""," | "&amp;$P36,"")&amp;IF($B36&gt;10," | (+"&amp;($B36-10)&amp;" más)","")))</f>
      </c>
      <c r="G36" s="0">
        <f>IFERROR(INDEX(Registro!$M$2:$M$501,MATCH($A36&amp;"|"&amp;1,Registro!$AJ$2:$AJ$501,0)),"")</f>
      </c>
      <c r="H36" s="0">
        <f>IFERROR(INDEX(Registro!$M$2:$M$501,MATCH($A36&amp;"|"&amp;2,Registro!$AJ$2:$AJ$501,0)),"")</f>
      </c>
      <c r="I36" s="0">
        <f>IFERROR(INDEX(Registro!$M$2:$M$501,MATCH($A36&amp;"|"&amp;3,Registro!$AJ$2:$AJ$501,0)),"")</f>
      </c>
      <c r="J36" s="0">
        <f>IFERROR(INDEX(Registro!$M$2:$M$501,MATCH($A36&amp;"|"&amp;4,Registro!$AJ$2:$AJ$501,0)),"")</f>
      </c>
      <c r="K36" s="0">
        <f>IFERROR(INDEX(Registro!$M$2:$M$501,MATCH($A36&amp;"|"&amp;5,Registro!$AJ$2:$AJ$501,0)),"")</f>
      </c>
      <c r="L36" s="0">
        <f>IFERROR(INDEX(Registro!$M$2:$M$501,MATCH($A36&amp;"|"&amp;6,Registro!$AJ$2:$AJ$501,0)),"")</f>
      </c>
      <c r="M36" s="0">
        <f>IFERROR(INDEX(Registro!$M$2:$M$501,MATCH($A36&amp;"|"&amp;7,Registro!$AJ$2:$AJ$501,0)),"")</f>
      </c>
      <c r="N36" s="0">
        <f>IFERROR(INDEX(Registro!$M$2:$M$501,MATCH($A36&amp;"|"&amp;8,Registro!$AJ$2:$AJ$501,0)),"")</f>
      </c>
      <c r="O36" s="0">
        <f>IFERROR(INDEX(Registro!$M$2:$M$501,MATCH($A36&amp;"|"&amp;9,Registro!$AJ$2:$AJ$501,0)),"")</f>
      </c>
      <c r="P36" s="0">
        <f>IFERROR(INDEX(Registro!$M$2:$M$501,MATCH($A36&amp;"|"&amp;10,Registro!$AJ$2:$AJ$501,0)),"")</f>
      </c>
    </row>
    <row r="37" spans="1:16">
      <c r="A37" s="6">
        <f>IF(Docentes!$A$32="","",Docentes!$A$32)</f>
      </c>
      <c r="B37" s="5">
        <f>IF($A37="","",COUNTIFS(Registro!$K$2:$K$501,$A37,Registro!$Q$2:$Q$501,"Disponible"))</f>
      </c>
      <c r="C37" s="5">
        <f>IF($A37="","",COUNTIFS(Registro!$K$2:$K$501,$A37,Registro!$O$2:$O$501,"Sí"))</f>
      </c>
      <c r="D37" s="5">
        <f>IF($A37="","",$B37+$C37)</f>
      </c>
      <c r="E37" s="6">
        <f>IF($A37="","",IF($B37=0,"—",$G37&amp;IF($H37&lt;&gt;""," | "&amp;$H37,"")&amp;IF($I37&lt;&gt;""," | "&amp;$I37,"")&amp;IF($J37&lt;&gt;""," | "&amp;$J37,"")&amp;IF($K37&lt;&gt;""," | "&amp;$K37,"")&amp;IF($L37&lt;&gt;""," | "&amp;$L37,"")&amp;IF($M37&lt;&gt;""," | "&amp;$M37,"")&amp;IF($N37&lt;&gt;""," | "&amp;$N37,"")&amp;IF($O37&lt;&gt;""," | "&amp;$O37,"")&amp;IF($P37&lt;&gt;""," | "&amp;$P37,"")&amp;IF($B37&gt;10," | (+"&amp;($B37-10)&amp;" más)","")))</f>
      </c>
      <c r="G37" s="0">
        <f>IFERROR(INDEX(Registro!$M$2:$M$501,MATCH($A37&amp;"|"&amp;1,Registro!$AJ$2:$AJ$501,0)),"")</f>
      </c>
      <c r="H37" s="0">
        <f>IFERROR(INDEX(Registro!$M$2:$M$501,MATCH($A37&amp;"|"&amp;2,Registro!$AJ$2:$AJ$501,0)),"")</f>
      </c>
      <c r="I37" s="0">
        <f>IFERROR(INDEX(Registro!$M$2:$M$501,MATCH($A37&amp;"|"&amp;3,Registro!$AJ$2:$AJ$501,0)),"")</f>
      </c>
      <c r="J37" s="0">
        <f>IFERROR(INDEX(Registro!$M$2:$M$501,MATCH($A37&amp;"|"&amp;4,Registro!$AJ$2:$AJ$501,0)),"")</f>
      </c>
      <c r="K37" s="0">
        <f>IFERROR(INDEX(Registro!$M$2:$M$501,MATCH($A37&amp;"|"&amp;5,Registro!$AJ$2:$AJ$501,0)),"")</f>
      </c>
      <c r="L37" s="0">
        <f>IFERROR(INDEX(Registro!$M$2:$M$501,MATCH($A37&amp;"|"&amp;6,Registro!$AJ$2:$AJ$501,0)),"")</f>
      </c>
      <c r="M37" s="0">
        <f>IFERROR(INDEX(Registro!$M$2:$M$501,MATCH($A37&amp;"|"&amp;7,Registro!$AJ$2:$AJ$501,0)),"")</f>
      </c>
      <c r="N37" s="0">
        <f>IFERROR(INDEX(Registro!$M$2:$M$501,MATCH($A37&amp;"|"&amp;8,Registro!$AJ$2:$AJ$501,0)),"")</f>
      </c>
      <c r="O37" s="0">
        <f>IFERROR(INDEX(Registro!$M$2:$M$501,MATCH($A37&amp;"|"&amp;9,Registro!$AJ$2:$AJ$501,0)),"")</f>
      </c>
      <c r="P37" s="0">
        <f>IFERROR(INDEX(Registro!$M$2:$M$501,MATCH($A37&amp;"|"&amp;10,Registro!$AJ$2:$AJ$501,0)),"")</f>
      </c>
    </row>
    <row r="38" spans="1:16">
      <c r="A38" s="6">
        <f>IF(Docentes!$A$33="","",Docentes!$A$33)</f>
      </c>
      <c r="B38" s="5">
        <f>IF($A38="","",COUNTIFS(Registro!$K$2:$K$501,$A38,Registro!$Q$2:$Q$501,"Disponible"))</f>
      </c>
      <c r="C38" s="5">
        <f>IF($A38="","",COUNTIFS(Registro!$K$2:$K$501,$A38,Registro!$O$2:$O$501,"Sí"))</f>
      </c>
      <c r="D38" s="5">
        <f>IF($A38="","",$B38+$C38)</f>
      </c>
      <c r="E38" s="6">
        <f>IF($A38="","",IF($B38=0,"—",$G38&amp;IF($H38&lt;&gt;""," | "&amp;$H38,"")&amp;IF($I38&lt;&gt;""," | "&amp;$I38,"")&amp;IF($J38&lt;&gt;""," | "&amp;$J38,"")&amp;IF($K38&lt;&gt;""," | "&amp;$K38,"")&amp;IF($L38&lt;&gt;""," | "&amp;$L38,"")&amp;IF($M38&lt;&gt;""," | "&amp;$M38,"")&amp;IF($N38&lt;&gt;""," | "&amp;$N38,"")&amp;IF($O38&lt;&gt;""," | "&amp;$O38,"")&amp;IF($P38&lt;&gt;""," | "&amp;$P38,"")&amp;IF($B38&gt;10," | (+"&amp;($B38-10)&amp;" más)","")))</f>
      </c>
      <c r="G38" s="0">
        <f>IFERROR(INDEX(Registro!$M$2:$M$501,MATCH($A38&amp;"|"&amp;1,Registro!$AJ$2:$AJ$501,0)),"")</f>
      </c>
      <c r="H38" s="0">
        <f>IFERROR(INDEX(Registro!$M$2:$M$501,MATCH($A38&amp;"|"&amp;2,Registro!$AJ$2:$AJ$501,0)),"")</f>
      </c>
      <c r="I38" s="0">
        <f>IFERROR(INDEX(Registro!$M$2:$M$501,MATCH($A38&amp;"|"&amp;3,Registro!$AJ$2:$AJ$501,0)),"")</f>
      </c>
      <c r="J38" s="0">
        <f>IFERROR(INDEX(Registro!$M$2:$M$501,MATCH($A38&amp;"|"&amp;4,Registro!$AJ$2:$AJ$501,0)),"")</f>
      </c>
      <c r="K38" s="0">
        <f>IFERROR(INDEX(Registro!$M$2:$M$501,MATCH($A38&amp;"|"&amp;5,Registro!$AJ$2:$AJ$501,0)),"")</f>
      </c>
      <c r="L38" s="0">
        <f>IFERROR(INDEX(Registro!$M$2:$M$501,MATCH($A38&amp;"|"&amp;6,Registro!$AJ$2:$AJ$501,0)),"")</f>
      </c>
      <c r="M38" s="0">
        <f>IFERROR(INDEX(Registro!$M$2:$M$501,MATCH($A38&amp;"|"&amp;7,Registro!$AJ$2:$AJ$501,0)),"")</f>
      </c>
      <c r="N38" s="0">
        <f>IFERROR(INDEX(Registro!$M$2:$M$501,MATCH($A38&amp;"|"&amp;8,Registro!$AJ$2:$AJ$501,0)),"")</f>
      </c>
      <c r="O38" s="0">
        <f>IFERROR(INDEX(Registro!$M$2:$M$501,MATCH($A38&amp;"|"&amp;9,Registro!$AJ$2:$AJ$501,0)),"")</f>
      </c>
      <c r="P38" s="0">
        <f>IFERROR(INDEX(Registro!$M$2:$M$501,MATCH($A38&amp;"|"&amp;10,Registro!$AJ$2:$AJ$501,0)),"")</f>
      </c>
    </row>
    <row r="39" spans="1:16">
      <c r="A39" s="6">
        <f>IF(Docentes!$A$34="","",Docentes!$A$34)</f>
      </c>
      <c r="B39" s="5">
        <f>IF($A39="","",COUNTIFS(Registro!$K$2:$K$501,$A39,Registro!$Q$2:$Q$501,"Disponible"))</f>
      </c>
      <c r="C39" s="5">
        <f>IF($A39="","",COUNTIFS(Registro!$K$2:$K$501,$A39,Registro!$O$2:$O$501,"Sí"))</f>
      </c>
      <c r="D39" s="5">
        <f>IF($A39="","",$B39+$C39)</f>
      </c>
      <c r="E39" s="6">
        <f>IF($A39="","",IF($B39=0,"—",$G39&amp;IF($H39&lt;&gt;""," | "&amp;$H39,"")&amp;IF($I39&lt;&gt;""," | "&amp;$I39,"")&amp;IF($J39&lt;&gt;""," | "&amp;$J39,"")&amp;IF($K39&lt;&gt;""," | "&amp;$K39,"")&amp;IF($L39&lt;&gt;""," | "&amp;$L39,"")&amp;IF($M39&lt;&gt;""," | "&amp;$M39,"")&amp;IF($N39&lt;&gt;""," | "&amp;$N39,"")&amp;IF($O39&lt;&gt;""," | "&amp;$O39,"")&amp;IF($P39&lt;&gt;""," | "&amp;$P39,"")&amp;IF($B39&gt;10," | (+"&amp;($B39-10)&amp;" más)","")))</f>
      </c>
      <c r="G39" s="0">
        <f>IFERROR(INDEX(Registro!$M$2:$M$501,MATCH($A39&amp;"|"&amp;1,Registro!$AJ$2:$AJ$501,0)),"")</f>
      </c>
      <c r="H39" s="0">
        <f>IFERROR(INDEX(Registro!$M$2:$M$501,MATCH($A39&amp;"|"&amp;2,Registro!$AJ$2:$AJ$501,0)),"")</f>
      </c>
      <c r="I39" s="0">
        <f>IFERROR(INDEX(Registro!$M$2:$M$501,MATCH($A39&amp;"|"&amp;3,Registro!$AJ$2:$AJ$501,0)),"")</f>
      </c>
      <c r="J39" s="0">
        <f>IFERROR(INDEX(Registro!$M$2:$M$501,MATCH($A39&amp;"|"&amp;4,Registro!$AJ$2:$AJ$501,0)),"")</f>
      </c>
      <c r="K39" s="0">
        <f>IFERROR(INDEX(Registro!$M$2:$M$501,MATCH($A39&amp;"|"&amp;5,Registro!$AJ$2:$AJ$501,0)),"")</f>
      </c>
      <c r="L39" s="0">
        <f>IFERROR(INDEX(Registro!$M$2:$M$501,MATCH($A39&amp;"|"&amp;6,Registro!$AJ$2:$AJ$501,0)),"")</f>
      </c>
      <c r="M39" s="0">
        <f>IFERROR(INDEX(Registro!$M$2:$M$501,MATCH($A39&amp;"|"&amp;7,Registro!$AJ$2:$AJ$501,0)),"")</f>
      </c>
      <c r="N39" s="0">
        <f>IFERROR(INDEX(Registro!$M$2:$M$501,MATCH($A39&amp;"|"&amp;8,Registro!$AJ$2:$AJ$501,0)),"")</f>
      </c>
      <c r="O39" s="0">
        <f>IFERROR(INDEX(Registro!$M$2:$M$501,MATCH($A39&amp;"|"&amp;9,Registro!$AJ$2:$AJ$501,0)),"")</f>
      </c>
      <c r="P39" s="0">
        <f>IFERROR(INDEX(Registro!$M$2:$M$501,MATCH($A39&amp;"|"&amp;10,Registro!$AJ$2:$AJ$501,0)),"")</f>
      </c>
    </row>
    <row r="40" spans="1:16">
      <c r="A40" s="6">
        <f>IF(Docentes!$A$35="","",Docentes!$A$35)</f>
      </c>
      <c r="B40" s="5">
        <f>IF($A40="","",COUNTIFS(Registro!$K$2:$K$501,$A40,Registro!$Q$2:$Q$501,"Disponible"))</f>
      </c>
      <c r="C40" s="5">
        <f>IF($A40="","",COUNTIFS(Registro!$K$2:$K$501,$A40,Registro!$O$2:$O$501,"Sí"))</f>
      </c>
      <c r="D40" s="5">
        <f>IF($A40="","",$B40+$C40)</f>
      </c>
      <c r="E40" s="6">
        <f>IF($A40="","",IF($B40=0,"—",$G40&amp;IF($H40&lt;&gt;""," | "&amp;$H40,"")&amp;IF($I40&lt;&gt;""," | "&amp;$I40,"")&amp;IF($J40&lt;&gt;""," | "&amp;$J40,"")&amp;IF($K40&lt;&gt;""," | "&amp;$K40,"")&amp;IF($L40&lt;&gt;""," | "&amp;$L40,"")&amp;IF($M40&lt;&gt;""," | "&amp;$M40,"")&amp;IF($N40&lt;&gt;""," | "&amp;$N40,"")&amp;IF($O40&lt;&gt;""," | "&amp;$O40,"")&amp;IF($P40&lt;&gt;""," | "&amp;$P40,"")&amp;IF($B40&gt;10," | (+"&amp;($B40-10)&amp;" más)","")))</f>
      </c>
      <c r="G40" s="0">
        <f>IFERROR(INDEX(Registro!$M$2:$M$501,MATCH($A40&amp;"|"&amp;1,Registro!$AJ$2:$AJ$501,0)),"")</f>
      </c>
      <c r="H40" s="0">
        <f>IFERROR(INDEX(Registro!$M$2:$M$501,MATCH($A40&amp;"|"&amp;2,Registro!$AJ$2:$AJ$501,0)),"")</f>
      </c>
      <c r="I40" s="0">
        <f>IFERROR(INDEX(Registro!$M$2:$M$501,MATCH($A40&amp;"|"&amp;3,Registro!$AJ$2:$AJ$501,0)),"")</f>
      </c>
      <c r="J40" s="0">
        <f>IFERROR(INDEX(Registro!$M$2:$M$501,MATCH($A40&amp;"|"&amp;4,Registro!$AJ$2:$AJ$501,0)),"")</f>
      </c>
      <c r="K40" s="0">
        <f>IFERROR(INDEX(Registro!$M$2:$M$501,MATCH($A40&amp;"|"&amp;5,Registro!$AJ$2:$AJ$501,0)),"")</f>
      </c>
      <c r="L40" s="0">
        <f>IFERROR(INDEX(Registro!$M$2:$M$501,MATCH($A40&amp;"|"&amp;6,Registro!$AJ$2:$AJ$501,0)),"")</f>
      </c>
      <c r="M40" s="0">
        <f>IFERROR(INDEX(Registro!$M$2:$M$501,MATCH($A40&amp;"|"&amp;7,Registro!$AJ$2:$AJ$501,0)),"")</f>
      </c>
      <c r="N40" s="0">
        <f>IFERROR(INDEX(Registro!$M$2:$M$501,MATCH($A40&amp;"|"&amp;8,Registro!$AJ$2:$AJ$501,0)),"")</f>
      </c>
      <c r="O40" s="0">
        <f>IFERROR(INDEX(Registro!$M$2:$M$501,MATCH($A40&amp;"|"&amp;9,Registro!$AJ$2:$AJ$501,0)),"")</f>
      </c>
      <c r="P40" s="0">
        <f>IFERROR(INDEX(Registro!$M$2:$M$501,MATCH($A40&amp;"|"&amp;10,Registro!$AJ$2:$AJ$501,0)),"")</f>
      </c>
    </row>
    <row r="41" spans="1:16">
      <c r="A41" s="6">
        <f>IF(Docentes!$A$36="","",Docentes!$A$36)</f>
      </c>
      <c r="B41" s="5">
        <f>IF($A41="","",COUNTIFS(Registro!$K$2:$K$501,$A41,Registro!$Q$2:$Q$501,"Disponible"))</f>
      </c>
      <c r="C41" s="5">
        <f>IF($A41="","",COUNTIFS(Registro!$K$2:$K$501,$A41,Registro!$O$2:$O$501,"Sí"))</f>
      </c>
      <c r="D41" s="5">
        <f>IF($A41="","",$B41+$C41)</f>
      </c>
      <c r="E41" s="6">
        <f>IF($A41="","",IF($B41=0,"—",$G41&amp;IF($H41&lt;&gt;""," | "&amp;$H41,"")&amp;IF($I41&lt;&gt;""," | "&amp;$I41,"")&amp;IF($J41&lt;&gt;""," | "&amp;$J41,"")&amp;IF($K41&lt;&gt;""," | "&amp;$K41,"")&amp;IF($L41&lt;&gt;""," | "&amp;$L41,"")&amp;IF($M41&lt;&gt;""," | "&amp;$M41,"")&amp;IF($N41&lt;&gt;""," | "&amp;$N41,"")&amp;IF($O41&lt;&gt;""," | "&amp;$O41,"")&amp;IF($P41&lt;&gt;""," | "&amp;$P41,"")&amp;IF($B41&gt;10," | (+"&amp;($B41-10)&amp;" más)","")))</f>
      </c>
      <c r="G41" s="0">
        <f>IFERROR(INDEX(Registro!$M$2:$M$501,MATCH($A41&amp;"|"&amp;1,Registro!$AJ$2:$AJ$501,0)),"")</f>
      </c>
      <c r="H41" s="0">
        <f>IFERROR(INDEX(Registro!$M$2:$M$501,MATCH($A41&amp;"|"&amp;2,Registro!$AJ$2:$AJ$501,0)),"")</f>
      </c>
      <c r="I41" s="0">
        <f>IFERROR(INDEX(Registro!$M$2:$M$501,MATCH($A41&amp;"|"&amp;3,Registro!$AJ$2:$AJ$501,0)),"")</f>
      </c>
      <c r="J41" s="0">
        <f>IFERROR(INDEX(Registro!$M$2:$M$501,MATCH($A41&amp;"|"&amp;4,Registro!$AJ$2:$AJ$501,0)),"")</f>
      </c>
      <c r="K41" s="0">
        <f>IFERROR(INDEX(Registro!$M$2:$M$501,MATCH($A41&amp;"|"&amp;5,Registro!$AJ$2:$AJ$501,0)),"")</f>
      </c>
      <c r="L41" s="0">
        <f>IFERROR(INDEX(Registro!$M$2:$M$501,MATCH($A41&amp;"|"&amp;6,Registro!$AJ$2:$AJ$501,0)),"")</f>
      </c>
      <c r="M41" s="0">
        <f>IFERROR(INDEX(Registro!$M$2:$M$501,MATCH($A41&amp;"|"&amp;7,Registro!$AJ$2:$AJ$501,0)),"")</f>
      </c>
      <c r="N41" s="0">
        <f>IFERROR(INDEX(Registro!$M$2:$M$501,MATCH($A41&amp;"|"&amp;8,Registro!$AJ$2:$AJ$501,0)),"")</f>
      </c>
      <c r="O41" s="0">
        <f>IFERROR(INDEX(Registro!$M$2:$M$501,MATCH($A41&amp;"|"&amp;9,Registro!$AJ$2:$AJ$501,0)),"")</f>
      </c>
      <c r="P41" s="0">
        <f>IFERROR(INDEX(Registro!$M$2:$M$501,MATCH($A41&amp;"|"&amp;10,Registro!$AJ$2:$AJ$501,0)),"")</f>
      </c>
    </row>
    <row r="42" spans="1:16">
      <c r="A42" s="6">
        <f>IF(Docentes!$A$37="","",Docentes!$A$37)</f>
      </c>
      <c r="B42" s="5">
        <f>IF($A42="","",COUNTIFS(Registro!$K$2:$K$501,$A42,Registro!$Q$2:$Q$501,"Disponible"))</f>
      </c>
      <c r="C42" s="5">
        <f>IF($A42="","",COUNTIFS(Registro!$K$2:$K$501,$A42,Registro!$O$2:$O$501,"Sí"))</f>
      </c>
      <c r="D42" s="5">
        <f>IF($A42="","",$B42+$C42)</f>
      </c>
      <c r="E42" s="6">
        <f>IF($A42="","",IF($B42=0,"—",$G42&amp;IF($H42&lt;&gt;""," | "&amp;$H42,"")&amp;IF($I42&lt;&gt;""," | "&amp;$I42,"")&amp;IF($J42&lt;&gt;""," | "&amp;$J42,"")&amp;IF($K42&lt;&gt;""," | "&amp;$K42,"")&amp;IF($L42&lt;&gt;""," | "&amp;$L42,"")&amp;IF($M42&lt;&gt;""," | "&amp;$M42,"")&amp;IF($N42&lt;&gt;""," | "&amp;$N42,"")&amp;IF($O42&lt;&gt;""," | "&amp;$O42,"")&amp;IF($P42&lt;&gt;""," | "&amp;$P42,"")&amp;IF($B42&gt;10," | (+"&amp;($B42-10)&amp;" más)","")))</f>
      </c>
      <c r="G42" s="0">
        <f>IFERROR(INDEX(Registro!$M$2:$M$501,MATCH($A42&amp;"|"&amp;1,Registro!$AJ$2:$AJ$501,0)),"")</f>
      </c>
      <c r="H42" s="0">
        <f>IFERROR(INDEX(Registro!$M$2:$M$501,MATCH($A42&amp;"|"&amp;2,Registro!$AJ$2:$AJ$501,0)),"")</f>
      </c>
      <c r="I42" s="0">
        <f>IFERROR(INDEX(Registro!$M$2:$M$501,MATCH($A42&amp;"|"&amp;3,Registro!$AJ$2:$AJ$501,0)),"")</f>
      </c>
      <c r="J42" s="0">
        <f>IFERROR(INDEX(Registro!$M$2:$M$501,MATCH($A42&amp;"|"&amp;4,Registro!$AJ$2:$AJ$501,0)),"")</f>
      </c>
      <c r="K42" s="0">
        <f>IFERROR(INDEX(Registro!$M$2:$M$501,MATCH($A42&amp;"|"&amp;5,Registro!$AJ$2:$AJ$501,0)),"")</f>
      </c>
      <c r="L42" s="0">
        <f>IFERROR(INDEX(Registro!$M$2:$M$501,MATCH($A42&amp;"|"&amp;6,Registro!$AJ$2:$AJ$501,0)),"")</f>
      </c>
      <c r="M42" s="0">
        <f>IFERROR(INDEX(Registro!$M$2:$M$501,MATCH($A42&amp;"|"&amp;7,Registro!$AJ$2:$AJ$501,0)),"")</f>
      </c>
      <c r="N42" s="0">
        <f>IFERROR(INDEX(Registro!$M$2:$M$501,MATCH($A42&amp;"|"&amp;8,Registro!$AJ$2:$AJ$501,0)),"")</f>
      </c>
      <c r="O42" s="0">
        <f>IFERROR(INDEX(Registro!$M$2:$M$501,MATCH($A42&amp;"|"&amp;9,Registro!$AJ$2:$AJ$501,0)),"")</f>
      </c>
      <c r="P42" s="0">
        <f>IFERROR(INDEX(Registro!$M$2:$M$501,MATCH($A42&amp;"|"&amp;10,Registro!$AJ$2:$AJ$501,0)),"")</f>
      </c>
    </row>
    <row r="43" spans="1:16">
      <c r="A43" s="6">
        <f>IF(Docentes!$A$38="","",Docentes!$A$38)</f>
      </c>
      <c r="B43" s="5">
        <f>IF($A43="","",COUNTIFS(Registro!$K$2:$K$501,$A43,Registro!$Q$2:$Q$501,"Disponible"))</f>
      </c>
      <c r="C43" s="5">
        <f>IF($A43="","",COUNTIFS(Registro!$K$2:$K$501,$A43,Registro!$O$2:$O$501,"Sí"))</f>
      </c>
      <c r="D43" s="5">
        <f>IF($A43="","",$B43+$C43)</f>
      </c>
      <c r="E43" s="6">
        <f>IF($A43="","",IF($B43=0,"—",$G43&amp;IF($H43&lt;&gt;""," | "&amp;$H43,"")&amp;IF($I43&lt;&gt;""," | "&amp;$I43,"")&amp;IF($J43&lt;&gt;""," | "&amp;$J43,"")&amp;IF($K43&lt;&gt;""," | "&amp;$K43,"")&amp;IF($L43&lt;&gt;""," | "&amp;$L43,"")&amp;IF($M43&lt;&gt;""," | "&amp;$M43,"")&amp;IF($N43&lt;&gt;""," | "&amp;$N43,"")&amp;IF($O43&lt;&gt;""," | "&amp;$O43,"")&amp;IF($P43&lt;&gt;""," | "&amp;$P43,"")&amp;IF($B43&gt;10," | (+"&amp;($B43-10)&amp;" más)","")))</f>
      </c>
      <c r="G43" s="0">
        <f>IFERROR(INDEX(Registro!$M$2:$M$501,MATCH($A43&amp;"|"&amp;1,Registro!$AJ$2:$AJ$501,0)),"")</f>
      </c>
      <c r="H43" s="0">
        <f>IFERROR(INDEX(Registro!$M$2:$M$501,MATCH($A43&amp;"|"&amp;2,Registro!$AJ$2:$AJ$501,0)),"")</f>
      </c>
      <c r="I43" s="0">
        <f>IFERROR(INDEX(Registro!$M$2:$M$501,MATCH($A43&amp;"|"&amp;3,Registro!$AJ$2:$AJ$501,0)),"")</f>
      </c>
      <c r="J43" s="0">
        <f>IFERROR(INDEX(Registro!$M$2:$M$501,MATCH($A43&amp;"|"&amp;4,Registro!$AJ$2:$AJ$501,0)),"")</f>
      </c>
      <c r="K43" s="0">
        <f>IFERROR(INDEX(Registro!$M$2:$M$501,MATCH($A43&amp;"|"&amp;5,Registro!$AJ$2:$AJ$501,0)),"")</f>
      </c>
      <c r="L43" s="0">
        <f>IFERROR(INDEX(Registro!$M$2:$M$501,MATCH($A43&amp;"|"&amp;6,Registro!$AJ$2:$AJ$501,0)),"")</f>
      </c>
      <c r="M43" s="0">
        <f>IFERROR(INDEX(Registro!$M$2:$M$501,MATCH($A43&amp;"|"&amp;7,Registro!$AJ$2:$AJ$501,0)),"")</f>
      </c>
      <c r="N43" s="0">
        <f>IFERROR(INDEX(Registro!$M$2:$M$501,MATCH($A43&amp;"|"&amp;8,Registro!$AJ$2:$AJ$501,0)),"")</f>
      </c>
      <c r="O43" s="0">
        <f>IFERROR(INDEX(Registro!$M$2:$M$501,MATCH($A43&amp;"|"&amp;9,Registro!$AJ$2:$AJ$501,0)),"")</f>
      </c>
      <c r="P43" s="0">
        <f>IFERROR(INDEX(Registro!$M$2:$M$501,MATCH($A43&amp;"|"&amp;10,Registro!$AJ$2:$AJ$501,0)),"")</f>
      </c>
    </row>
    <row r="44" spans="1:16">
      <c r="A44" s="6">
        <f>IF(Docentes!$A$39="","",Docentes!$A$39)</f>
      </c>
      <c r="B44" s="5">
        <f>IF($A44="","",COUNTIFS(Registro!$K$2:$K$501,$A44,Registro!$Q$2:$Q$501,"Disponible"))</f>
      </c>
      <c r="C44" s="5">
        <f>IF($A44="","",COUNTIFS(Registro!$K$2:$K$501,$A44,Registro!$O$2:$O$501,"Sí"))</f>
      </c>
      <c r="D44" s="5">
        <f>IF($A44="","",$B44+$C44)</f>
      </c>
      <c r="E44" s="6">
        <f>IF($A44="","",IF($B44=0,"—",$G44&amp;IF($H44&lt;&gt;""," | "&amp;$H44,"")&amp;IF($I44&lt;&gt;""," | "&amp;$I44,"")&amp;IF($J44&lt;&gt;""," | "&amp;$J44,"")&amp;IF($K44&lt;&gt;""," | "&amp;$K44,"")&amp;IF($L44&lt;&gt;""," | "&amp;$L44,"")&amp;IF($M44&lt;&gt;""," | "&amp;$M44,"")&amp;IF($N44&lt;&gt;""," | "&amp;$N44,"")&amp;IF($O44&lt;&gt;""," | "&amp;$O44,"")&amp;IF($P44&lt;&gt;""," | "&amp;$P44,"")&amp;IF($B44&gt;10," | (+"&amp;($B44-10)&amp;" más)","")))</f>
      </c>
      <c r="G44" s="0">
        <f>IFERROR(INDEX(Registro!$M$2:$M$501,MATCH($A44&amp;"|"&amp;1,Registro!$AJ$2:$AJ$501,0)),"")</f>
      </c>
      <c r="H44" s="0">
        <f>IFERROR(INDEX(Registro!$M$2:$M$501,MATCH($A44&amp;"|"&amp;2,Registro!$AJ$2:$AJ$501,0)),"")</f>
      </c>
      <c r="I44" s="0">
        <f>IFERROR(INDEX(Registro!$M$2:$M$501,MATCH($A44&amp;"|"&amp;3,Registro!$AJ$2:$AJ$501,0)),"")</f>
      </c>
      <c r="J44" s="0">
        <f>IFERROR(INDEX(Registro!$M$2:$M$501,MATCH($A44&amp;"|"&amp;4,Registro!$AJ$2:$AJ$501,0)),"")</f>
      </c>
      <c r="K44" s="0">
        <f>IFERROR(INDEX(Registro!$M$2:$M$501,MATCH($A44&amp;"|"&amp;5,Registro!$AJ$2:$AJ$501,0)),"")</f>
      </c>
      <c r="L44" s="0">
        <f>IFERROR(INDEX(Registro!$M$2:$M$501,MATCH($A44&amp;"|"&amp;6,Registro!$AJ$2:$AJ$501,0)),"")</f>
      </c>
      <c r="M44" s="0">
        <f>IFERROR(INDEX(Registro!$M$2:$M$501,MATCH($A44&amp;"|"&amp;7,Registro!$AJ$2:$AJ$501,0)),"")</f>
      </c>
      <c r="N44" s="0">
        <f>IFERROR(INDEX(Registro!$M$2:$M$501,MATCH($A44&amp;"|"&amp;8,Registro!$AJ$2:$AJ$501,0)),"")</f>
      </c>
      <c r="O44" s="0">
        <f>IFERROR(INDEX(Registro!$M$2:$M$501,MATCH($A44&amp;"|"&amp;9,Registro!$AJ$2:$AJ$501,0)),"")</f>
      </c>
      <c r="P44" s="0">
        <f>IFERROR(INDEX(Registro!$M$2:$M$501,MATCH($A44&amp;"|"&amp;10,Registro!$AJ$2:$AJ$501,0)),"")</f>
      </c>
    </row>
    <row r="45" spans="1:16">
      <c r="A45" s="6">
        <f>IF(Docentes!$A$40="","",Docentes!$A$40)</f>
      </c>
      <c r="B45" s="5">
        <f>IF($A45="","",COUNTIFS(Registro!$K$2:$K$501,$A45,Registro!$Q$2:$Q$501,"Disponible"))</f>
      </c>
      <c r="C45" s="5">
        <f>IF($A45="","",COUNTIFS(Registro!$K$2:$K$501,$A45,Registro!$O$2:$O$501,"Sí"))</f>
      </c>
      <c r="D45" s="5">
        <f>IF($A45="","",$B45+$C45)</f>
      </c>
      <c r="E45" s="6">
        <f>IF($A45="","",IF($B45=0,"—",$G45&amp;IF($H45&lt;&gt;""," | "&amp;$H45,"")&amp;IF($I45&lt;&gt;""," | "&amp;$I45,"")&amp;IF($J45&lt;&gt;""," | "&amp;$J45,"")&amp;IF($K45&lt;&gt;""," | "&amp;$K45,"")&amp;IF($L45&lt;&gt;""," | "&amp;$L45,"")&amp;IF($M45&lt;&gt;""," | "&amp;$M45,"")&amp;IF($N45&lt;&gt;""," | "&amp;$N45,"")&amp;IF($O45&lt;&gt;""," | "&amp;$O45,"")&amp;IF($P45&lt;&gt;""," | "&amp;$P45,"")&amp;IF($B45&gt;10," | (+"&amp;($B45-10)&amp;" más)","")))</f>
      </c>
      <c r="G45" s="0">
        <f>IFERROR(INDEX(Registro!$M$2:$M$501,MATCH($A45&amp;"|"&amp;1,Registro!$AJ$2:$AJ$501,0)),"")</f>
      </c>
      <c r="H45" s="0">
        <f>IFERROR(INDEX(Registro!$M$2:$M$501,MATCH($A45&amp;"|"&amp;2,Registro!$AJ$2:$AJ$501,0)),"")</f>
      </c>
      <c r="I45" s="0">
        <f>IFERROR(INDEX(Registro!$M$2:$M$501,MATCH($A45&amp;"|"&amp;3,Registro!$AJ$2:$AJ$501,0)),"")</f>
      </c>
      <c r="J45" s="0">
        <f>IFERROR(INDEX(Registro!$M$2:$M$501,MATCH($A45&amp;"|"&amp;4,Registro!$AJ$2:$AJ$501,0)),"")</f>
      </c>
      <c r="K45" s="0">
        <f>IFERROR(INDEX(Registro!$M$2:$M$501,MATCH($A45&amp;"|"&amp;5,Registro!$AJ$2:$AJ$501,0)),"")</f>
      </c>
      <c r="L45" s="0">
        <f>IFERROR(INDEX(Registro!$M$2:$M$501,MATCH($A45&amp;"|"&amp;6,Registro!$AJ$2:$AJ$501,0)),"")</f>
      </c>
      <c r="M45" s="0">
        <f>IFERROR(INDEX(Registro!$M$2:$M$501,MATCH($A45&amp;"|"&amp;7,Registro!$AJ$2:$AJ$501,0)),"")</f>
      </c>
      <c r="N45" s="0">
        <f>IFERROR(INDEX(Registro!$M$2:$M$501,MATCH($A45&amp;"|"&amp;8,Registro!$AJ$2:$AJ$501,0)),"")</f>
      </c>
      <c r="O45" s="0">
        <f>IFERROR(INDEX(Registro!$M$2:$M$501,MATCH($A45&amp;"|"&amp;9,Registro!$AJ$2:$AJ$501,0)),"")</f>
      </c>
      <c r="P45" s="0">
        <f>IFERROR(INDEX(Registro!$M$2:$M$501,MATCH($A45&amp;"|"&amp;10,Registro!$AJ$2:$AJ$501,0)),"")</f>
      </c>
    </row>
    <row r="46" spans="1:16">
      <c r="A46" s="6">
        <f>IF(Docentes!$A$41="","",Docentes!$A$41)</f>
      </c>
      <c r="B46" s="5">
        <f>IF($A46="","",COUNTIFS(Registro!$K$2:$K$501,$A46,Registro!$Q$2:$Q$501,"Disponible"))</f>
      </c>
      <c r="C46" s="5">
        <f>IF($A46="","",COUNTIFS(Registro!$K$2:$K$501,$A46,Registro!$O$2:$O$501,"Sí"))</f>
      </c>
      <c r="D46" s="5">
        <f>IF($A46="","",$B46+$C46)</f>
      </c>
      <c r="E46" s="6">
        <f>IF($A46="","",IF($B46=0,"—",$G46&amp;IF($H46&lt;&gt;""," | "&amp;$H46,"")&amp;IF($I46&lt;&gt;""," | "&amp;$I46,"")&amp;IF($J46&lt;&gt;""," | "&amp;$J46,"")&amp;IF($K46&lt;&gt;""," | "&amp;$K46,"")&amp;IF($L46&lt;&gt;""," | "&amp;$L46,"")&amp;IF($M46&lt;&gt;""," | "&amp;$M46,"")&amp;IF($N46&lt;&gt;""," | "&amp;$N46,"")&amp;IF($O46&lt;&gt;""," | "&amp;$O46,"")&amp;IF($P46&lt;&gt;""," | "&amp;$P46,"")&amp;IF($B46&gt;10," | (+"&amp;($B46-10)&amp;" más)","")))</f>
      </c>
      <c r="G46" s="0">
        <f>IFERROR(INDEX(Registro!$M$2:$M$501,MATCH($A46&amp;"|"&amp;1,Registro!$AJ$2:$AJ$501,0)),"")</f>
      </c>
      <c r="H46" s="0">
        <f>IFERROR(INDEX(Registro!$M$2:$M$501,MATCH($A46&amp;"|"&amp;2,Registro!$AJ$2:$AJ$501,0)),"")</f>
      </c>
      <c r="I46" s="0">
        <f>IFERROR(INDEX(Registro!$M$2:$M$501,MATCH($A46&amp;"|"&amp;3,Registro!$AJ$2:$AJ$501,0)),"")</f>
      </c>
      <c r="J46" s="0">
        <f>IFERROR(INDEX(Registro!$M$2:$M$501,MATCH($A46&amp;"|"&amp;4,Registro!$AJ$2:$AJ$501,0)),"")</f>
      </c>
      <c r="K46" s="0">
        <f>IFERROR(INDEX(Registro!$M$2:$M$501,MATCH($A46&amp;"|"&amp;5,Registro!$AJ$2:$AJ$501,0)),"")</f>
      </c>
      <c r="L46" s="0">
        <f>IFERROR(INDEX(Registro!$M$2:$M$501,MATCH($A46&amp;"|"&amp;6,Registro!$AJ$2:$AJ$501,0)),"")</f>
      </c>
      <c r="M46" s="0">
        <f>IFERROR(INDEX(Registro!$M$2:$M$501,MATCH($A46&amp;"|"&amp;7,Registro!$AJ$2:$AJ$501,0)),"")</f>
      </c>
      <c r="N46" s="0">
        <f>IFERROR(INDEX(Registro!$M$2:$M$501,MATCH($A46&amp;"|"&amp;8,Registro!$AJ$2:$AJ$501,0)),"")</f>
      </c>
      <c r="O46" s="0">
        <f>IFERROR(INDEX(Registro!$M$2:$M$501,MATCH($A46&amp;"|"&amp;9,Registro!$AJ$2:$AJ$501,0)),"")</f>
      </c>
      <c r="P46" s="0">
        <f>IFERROR(INDEX(Registro!$M$2:$M$501,MATCH($A46&amp;"|"&amp;10,Registro!$AJ$2:$AJ$501,0)),"")</f>
      </c>
    </row>
    <row r="47" spans="1:16">
      <c r="A47" s="6">
        <f>IF(Docentes!$A$42="","",Docentes!$A$42)</f>
      </c>
      <c r="B47" s="5">
        <f>IF($A47="","",COUNTIFS(Registro!$K$2:$K$501,$A47,Registro!$Q$2:$Q$501,"Disponible"))</f>
      </c>
      <c r="C47" s="5">
        <f>IF($A47="","",COUNTIFS(Registro!$K$2:$K$501,$A47,Registro!$O$2:$O$501,"Sí"))</f>
      </c>
      <c r="D47" s="5">
        <f>IF($A47="","",$B47+$C47)</f>
      </c>
      <c r="E47" s="6">
        <f>IF($A47="","",IF($B47=0,"—",$G47&amp;IF($H47&lt;&gt;""," | "&amp;$H47,"")&amp;IF($I47&lt;&gt;""," | "&amp;$I47,"")&amp;IF($J47&lt;&gt;""," | "&amp;$J47,"")&amp;IF($K47&lt;&gt;""," | "&amp;$K47,"")&amp;IF($L47&lt;&gt;""," | "&amp;$L47,"")&amp;IF($M47&lt;&gt;""," | "&amp;$M47,"")&amp;IF($N47&lt;&gt;""," | "&amp;$N47,"")&amp;IF($O47&lt;&gt;""," | "&amp;$O47,"")&amp;IF($P47&lt;&gt;""," | "&amp;$P47,"")&amp;IF($B47&gt;10," | (+"&amp;($B47-10)&amp;" más)","")))</f>
      </c>
      <c r="G47" s="0">
        <f>IFERROR(INDEX(Registro!$M$2:$M$501,MATCH($A47&amp;"|"&amp;1,Registro!$AJ$2:$AJ$501,0)),"")</f>
      </c>
      <c r="H47" s="0">
        <f>IFERROR(INDEX(Registro!$M$2:$M$501,MATCH($A47&amp;"|"&amp;2,Registro!$AJ$2:$AJ$501,0)),"")</f>
      </c>
      <c r="I47" s="0">
        <f>IFERROR(INDEX(Registro!$M$2:$M$501,MATCH($A47&amp;"|"&amp;3,Registro!$AJ$2:$AJ$501,0)),"")</f>
      </c>
      <c r="J47" s="0">
        <f>IFERROR(INDEX(Registro!$M$2:$M$501,MATCH($A47&amp;"|"&amp;4,Registro!$AJ$2:$AJ$501,0)),"")</f>
      </c>
      <c r="K47" s="0">
        <f>IFERROR(INDEX(Registro!$M$2:$M$501,MATCH($A47&amp;"|"&amp;5,Registro!$AJ$2:$AJ$501,0)),"")</f>
      </c>
      <c r="L47" s="0">
        <f>IFERROR(INDEX(Registro!$M$2:$M$501,MATCH($A47&amp;"|"&amp;6,Registro!$AJ$2:$AJ$501,0)),"")</f>
      </c>
      <c r="M47" s="0">
        <f>IFERROR(INDEX(Registro!$M$2:$M$501,MATCH($A47&amp;"|"&amp;7,Registro!$AJ$2:$AJ$501,0)),"")</f>
      </c>
      <c r="N47" s="0">
        <f>IFERROR(INDEX(Registro!$M$2:$M$501,MATCH($A47&amp;"|"&amp;8,Registro!$AJ$2:$AJ$501,0)),"")</f>
      </c>
      <c r="O47" s="0">
        <f>IFERROR(INDEX(Registro!$M$2:$M$501,MATCH($A47&amp;"|"&amp;9,Registro!$AJ$2:$AJ$501,0)),"")</f>
      </c>
      <c r="P47" s="0">
        <f>IFERROR(INDEX(Registro!$M$2:$M$501,MATCH($A47&amp;"|"&amp;10,Registro!$AJ$2:$AJ$501,0)),"")</f>
      </c>
    </row>
    <row r="48" spans="1:16">
      <c r="A48" s="6">
        <f>IF(Docentes!$A$43="","",Docentes!$A$43)</f>
      </c>
      <c r="B48" s="5">
        <f>IF($A48="","",COUNTIFS(Registro!$K$2:$K$501,$A48,Registro!$Q$2:$Q$501,"Disponible"))</f>
      </c>
      <c r="C48" s="5">
        <f>IF($A48="","",COUNTIFS(Registro!$K$2:$K$501,$A48,Registro!$O$2:$O$501,"Sí"))</f>
      </c>
      <c r="D48" s="5">
        <f>IF($A48="","",$B48+$C48)</f>
      </c>
      <c r="E48" s="6">
        <f>IF($A48="","",IF($B48=0,"—",$G48&amp;IF($H48&lt;&gt;""," | "&amp;$H48,"")&amp;IF($I48&lt;&gt;""," | "&amp;$I48,"")&amp;IF($J48&lt;&gt;""," | "&amp;$J48,"")&amp;IF($K48&lt;&gt;""," | "&amp;$K48,"")&amp;IF($L48&lt;&gt;""," | "&amp;$L48,"")&amp;IF($M48&lt;&gt;""," | "&amp;$M48,"")&amp;IF($N48&lt;&gt;""," | "&amp;$N48,"")&amp;IF($O48&lt;&gt;""," | "&amp;$O48,"")&amp;IF($P48&lt;&gt;""," | "&amp;$P48,"")&amp;IF($B48&gt;10," | (+"&amp;($B48-10)&amp;" más)","")))</f>
      </c>
      <c r="G48" s="0">
        <f>IFERROR(INDEX(Registro!$M$2:$M$501,MATCH($A48&amp;"|"&amp;1,Registro!$AJ$2:$AJ$501,0)),"")</f>
      </c>
      <c r="H48" s="0">
        <f>IFERROR(INDEX(Registro!$M$2:$M$501,MATCH($A48&amp;"|"&amp;2,Registro!$AJ$2:$AJ$501,0)),"")</f>
      </c>
      <c r="I48" s="0">
        <f>IFERROR(INDEX(Registro!$M$2:$M$501,MATCH($A48&amp;"|"&amp;3,Registro!$AJ$2:$AJ$501,0)),"")</f>
      </c>
      <c r="J48" s="0">
        <f>IFERROR(INDEX(Registro!$M$2:$M$501,MATCH($A48&amp;"|"&amp;4,Registro!$AJ$2:$AJ$501,0)),"")</f>
      </c>
      <c r="K48" s="0">
        <f>IFERROR(INDEX(Registro!$M$2:$M$501,MATCH($A48&amp;"|"&amp;5,Registro!$AJ$2:$AJ$501,0)),"")</f>
      </c>
      <c r="L48" s="0">
        <f>IFERROR(INDEX(Registro!$M$2:$M$501,MATCH($A48&amp;"|"&amp;6,Registro!$AJ$2:$AJ$501,0)),"")</f>
      </c>
      <c r="M48" s="0">
        <f>IFERROR(INDEX(Registro!$M$2:$M$501,MATCH($A48&amp;"|"&amp;7,Registro!$AJ$2:$AJ$501,0)),"")</f>
      </c>
      <c r="N48" s="0">
        <f>IFERROR(INDEX(Registro!$M$2:$M$501,MATCH($A48&amp;"|"&amp;8,Registro!$AJ$2:$AJ$501,0)),"")</f>
      </c>
      <c r="O48" s="0">
        <f>IFERROR(INDEX(Registro!$M$2:$M$501,MATCH($A48&amp;"|"&amp;9,Registro!$AJ$2:$AJ$501,0)),"")</f>
      </c>
      <c r="P48" s="0">
        <f>IFERROR(INDEX(Registro!$M$2:$M$501,MATCH($A48&amp;"|"&amp;10,Registro!$AJ$2:$AJ$501,0)),"")</f>
      </c>
    </row>
    <row r="49" spans="1:16">
      <c r="A49" s="6">
        <f>IF(Docentes!$A$44="","",Docentes!$A$44)</f>
      </c>
      <c r="B49" s="5">
        <f>IF($A49="","",COUNTIFS(Registro!$K$2:$K$501,$A49,Registro!$Q$2:$Q$501,"Disponible"))</f>
      </c>
      <c r="C49" s="5">
        <f>IF($A49="","",COUNTIFS(Registro!$K$2:$K$501,$A49,Registro!$O$2:$O$501,"Sí"))</f>
      </c>
      <c r="D49" s="5">
        <f>IF($A49="","",$B49+$C49)</f>
      </c>
      <c r="E49" s="6">
        <f>IF($A49="","",IF($B49=0,"—",$G49&amp;IF($H49&lt;&gt;""," | "&amp;$H49,"")&amp;IF($I49&lt;&gt;""," | "&amp;$I49,"")&amp;IF($J49&lt;&gt;""," | "&amp;$J49,"")&amp;IF($K49&lt;&gt;""," | "&amp;$K49,"")&amp;IF($L49&lt;&gt;""," | "&amp;$L49,"")&amp;IF($M49&lt;&gt;""," | "&amp;$M49,"")&amp;IF($N49&lt;&gt;""," | "&amp;$N49,"")&amp;IF($O49&lt;&gt;""," | "&amp;$O49,"")&amp;IF($P49&lt;&gt;""," | "&amp;$P49,"")&amp;IF($B49&gt;10," | (+"&amp;($B49-10)&amp;" más)","")))</f>
      </c>
      <c r="G49" s="0">
        <f>IFERROR(INDEX(Registro!$M$2:$M$501,MATCH($A49&amp;"|"&amp;1,Registro!$AJ$2:$AJ$501,0)),"")</f>
      </c>
      <c r="H49" s="0">
        <f>IFERROR(INDEX(Registro!$M$2:$M$501,MATCH($A49&amp;"|"&amp;2,Registro!$AJ$2:$AJ$501,0)),"")</f>
      </c>
      <c r="I49" s="0">
        <f>IFERROR(INDEX(Registro!$M$2:$M$501,MATCH($A49&amp;"|"&amp;3,Registro!$AJ$2:$AJ$501,0)),"")</f>
      </c>
      <c r="J49" s="0">
        <f>IFERROR(INDEX(Registro!$M$2:$M$501,MATCH($A49&amp;"|"&amp;4,Registro!$AJ$2:$AJ$501,0)),"")</f>
      </c>
      <c r="K49" s="0">
        <f>IFERROR(INDEX(Registro!$M$2:$M$501,MATCH($A49&amp;"|"&amp;5,Registro!$AJ$2:$AJ$501,0)),"")</f>
      </c>
      <c r="L49" s="0">
        <f>IFERROR(INDEX(Registro!$M$2:$M$501,MATCH($A49&amp;"|"&amp;6,Registro!$AJ$2:$AJ$501,0)),"")</f>
      </c>
      <c r="M49" s="0">
        <f>IFERROR(INDEX(Registro!$M$2:$M$501,MATCH($A49&amp;"|"&amp;7,Registro!$AJ$2:$AJ$501,0)),"")</f>
      </c>
      <c r="N49" s="0">
        <f>IFERROR(INDEX(Registro!$M$2:$M$501,MATCH($A49&amp;"|"&amp;8,Registro!$AJ$2:$AJ$501,0)),"")</f>
      </c>
      <c r="O49" s="0">
        <f>IFERROR(INDEX(Registro!$M$2:$M$501,MATCH($A49&amp;"|"&amp;9,Registro!$AJ$2:$AJ$501,0)),"")</f>
      </c>
      <c r="P49" s="0">
        <f>IFERROR(INDEX(Registro!$M$2:$M$501,MATCH($A49&amp;"|"&amp;10,Registro!$AJ$2:$AJ$501,0)),"")</f>
      </c>
    </row>
    <row r="50" spans="1:16">
      <c r="A50" s="6">
        <f>IF(Docentes!$A$45="","",Docentes!$A$45)</f>
      </c>
      <c r="B50" s="5">
        <f>IF($A50="","",COUNTIFS(Registro!$K$2:$K$501,$A50,Registro!$Q$2:$Q$501,"Disponible"))</f>
      </c>
      <c r="C50" s="5">
        <f>IF($A50="","",COUNTIFS(Registro!$K$2:$K$501,$A50,Registro!$O$2:$O$501,"Sí"))</f>
      </c>
      <c r="D50" s="5">
        <f>IF($A50="","",$B50+$C50)</f>
      </c>
      <c r="E50" s="6">
        <f>IF($A50="","",IF($B50=0,"—",$G50&amp;IF($H50&lt;&gt;""," | "&amp;$H50,"")&amp;IF($I50&lt;&gt;""," | "&amp;$I50,"")&amp;IF($J50&lt;&gt;""," | "&amp;$J50,"")&amp;IF($K50&lt;&gt;""," | "&amp;$K50,"")&amp;IF($L50&lt;&gt;""," | "&amp;$L50,"")&amp;IF($M50&lt;&gt;""," | "&amp;$M50,"")&amp;IF($N50&lt;&gt;""," | "&amp;$N50,"")&amp;IF($O50&lt;&gt;""," | "&amp;$O50,"")&amp;IF($P50&lt;&gt;""," | "&amp;$P50,"")&amp;IF($B50&gt;10," | (+"&amp;($B50-10)&amp;" más)","")))</f>
      </c>
      <c r="G50" s="0">
        <f>IFERROR(INDEX(Registro!$M$2:$M$501,MATCH($A50&amp;"|"&amp;1,Registro!$AJ$2:$AJ$501,0)),"")</f>
      </c>
      <c r="H50" s="0">
        <f>IFERROR(INDEX(Registro!$M$2:$M$501,MATCH($A50&amp;"|"&amp;2,Registro!$AJ$2:$AJ$501,0)),"")</f>
      </c>
      <c r="I50" s="0">
        <f>IFERROR(INDEX(Registro!$M$2:$M$501,MATCH($A50&amp;"|"&amp;3,Registro!$AJ$2:$AJ$501,0)),"")</f>
      </c>
      <c r="J50" s="0">
        <f>IFERROR(INDEX(Registro!$M$2:$M$501,MATCH($A50&amp;"|"&amp;4,Registro!$AJ$2:$AJ$501,0)),"")</f>
      </c>
      <c r="K50" s="0">
        <f>IFERROR(INDEX(Registro!$M$2:$M$501,MATCH($A50&amp;"|"&amp;5,Registro!$AJ$2:$AJ$501,0)),"")</f>
      </c>
      <c r="L50" s="0">
        <f>IFERROR(INDEX(Registro!$M$2:$M$501,MATCH($A50&amp;"|"&amp;6,Registro!$AJ$2:$AJ$501,0)),"")</f>
      </c>
      <c r="M50" s="0">
        <f>IFERROR(INDEX(Registro!$M$2:$M$501,MATCH($A50&amp;"|"&amp;7,Registro!$AJ$2:$AJ$501,0)),"")</f>
      </c>
      <c r="N50" s="0">
        <f>IFERROR(INDEX(Registro!$M$2:$M$501,MATCH($A50&amp;"|"&amp;8,Registro!$AJ$2:$AJ$501,0)),"")</f>
      </c>
      <c r="O50" s="0">
        <f>IFERROR(INDEX(Registro!$M$2:$M$501,MATCH($A50&amp;"|"&amp;9,Registro!$AJ$2:$AJ$501,0)),"")</f>
      </c>
      <c r="P50" s="0">
        <f>IFERROR(INDEX(Registro!$M$2:$M$501,MATCH($A50&amp;"|"&amp;10,Registro!$AJ$2:$AJ$501,0)),"")</f>
      </c>
    </row>
    <row r="51" spans="1:16">
      <c r="A51" s="6">
        <f>IF(Docentes!$A$46="","",Docentes!$A$46)</f>
      </c>
      <c r="B51" s="5">
        <f>IF($A51="","",COUNTIFS(Registro!$K$2:$K$501,$A51,Registro!$Q$2:$Q$501,"Disponible"))</f>
      </c>
      <c r="C51" s="5">
        <f>IF($A51="","",COUNTIFS(Registro!$K$2:$K$501,$A51,Registro!$O$2:$O$501,"Sí"))</f>
      </c>
      <c r="D51" s="5">
        <f>IF($A51="","",$B51+$C51)</f>
      </c>
      <c r="E51" s="6">
        <f>IF($A51="","",IF($B51=0,"—",$G51&amp;IF($H51&lt;&gt;""," | "&amp;$H51,"")&amp;IF($I51&lt;&gt;""," | "&amp;$I51,"")&amp;IF($J51&lt;&gt;""," | "&amp;$J51,"")&amp;IF($K51&lt;&gt;""," | "&amp;$K51,"")&amp;IF($L51&lt;&gt;""," | "&amp;$L51,"")&amp;IF($M51&lt;&gt;""," | "&amp;$M51,"")&amp;IF($N51&lt;&gt;""," | "&amp;$N51,"")&amp;IF($O51&lt;&gt;""," | "&amp;$O51,"")&amp;IF($P51&lt;&gt;""," | "&amp;$P51,"")&amp;IF($B51&gt;10," | (+"&amp;($B51-10)&amp;" más)","")))</f>
      </c>
      <c r="G51" s="0">
        <f>IFERROR(INDEX(Registro!$M$2:$M$501,MATCH($A51&amp;"|"&amp;1,Registro!$AJ$2:$AJ$501,0)),"")</f>
      </c>
      <c r="H51" s="0">
        <f>IFERROR(INDEX(Registro!$M$2:$M$501,MATCH($A51&amp;"|"&amp;2,Registro!$AJ$2:$AJ$501,0)),"")</f>
      </c>
      <c r="I51" s="0">
        <f>IFERROR(INDEX(Registro!$M$2:$M$501,MATCH($A51&amp;"|"&amp;3,Registro!$AJ$2:$AJ$501,0)),"")</f>
      </c>
      <c r="J51" s="0">
        <f>IFERROR(INDEX(Registro!$M$2:$M$501,MATCH($A51&amp;"|"&amp;4,Registro!$AJ$2:$AJ$501,0)),"")</f>
      </c>
      <c r="K51" s="0">
        <f>IFERROR(INDEX(Registro!$M$2:$M$501,MATCH($A51&amp;"|"&amp;5,Registro!$AJ$2:$AJ$501,0)),"")</f>
      </c>
      <c r="L51" s="0">
        <f>IFERROR(INDEX(Registro!$M$2:$M$501,MATCH($A51&amp;"|"&amp;6,Registro!$AJ$2:$AJ$501,0)),"")</f>
      </c>
      <c r="M51" s="0">
        <f>IFERROR(INDEX(Registro!$M$2:$M$501,MATCH($A51&amp;"|"&amp;7,Registro!$AJ$2:$AJ$501,0)),"")</f>
      </c>
      <c r="N51" s="0">
        <f>IFERROR(INDEX(Registro!$M$2:$M$501,MATCH($A51&amp;"|"&amp;8,Registro!$AJ$2:$AJ$501,0)),"")</f>
      </c>
      <c r="O51" s="0">
        <f>IFERROR(INDEX(Registro!$M$2:$M$501,MATCH($A51&amp;"|"&amp;9,Registro!$AJ$2:$AJ$501,0)),"")</f>
      </c>
      <c r="P51" s="0">
        <f>IFERROR(INDEX(Registro!$M$2:$M$501,MATCH($A51&amp;"|"&amp;10,Registro!$AJ$2:$AJ$501,0)),"")</f>
      </c>
    </row>
    <row r="52" spans="1:16">
      <c r="A52" s="6">
        <f>IF(Docentes!$A$47="","",Docentes!$A$47)</f>
      </c>
      <c r="B52" s="5">
        <f>IF($A52="","",COUNTIFS(Registro!$K$2:$K$501,$A52,Registro!$Q$2:$Q$501,"Disponible"))</f>
      </c>
      <c r="C52" s="5">
        <f>IF($A52="","",COUNTIFS(Registro!$K$2:$K$501,$A52,Registro!$O$2:$O$501,"Sí"))</f>
      </c>
      <c r="D52" s="5">
        <f>IF($A52="","",$B52+$C52)</f>
      </c>
      <c r="E52" s="6">
        <f>IF($A52="","",IF($B52=0,"—",$G52&amp;IF($H52&lt;&gt;""," | "&amp;$H52,"")&amp;IF($I52&lt;&gt;""," | "&amp;$I52,"")&amp;IF($J52&lt;&gt;""," | "&amp;$J52,"")&amp;IF($K52&lt;&gt;""," | "&amp;$K52,"")&amp;IF($L52&lt;&gt;""," | "&amp;$L52,"")&amp;IF($M52&lt;&gt;""," | "&amp;$M52,"")&amp;IF($N52&lt;&gt;""," | "&amp;$N52,"")&amp;IF($O52&lt;&gt;""," | "&amp;$O52,"")&amp;IF($P52&lt;&gt;""," | "&amp;$P52,"")&amp;IF($B52&gt;10," | (+"&amp;($B52-10)&amp;" más)","")))</f>
      </c>
      <c r="G52" s="0">
        <f>IFERROR(INDEX(Registro!$M$2:$M$501,MATCH($A52&amp;"|"&amp;1,Registro!$AJ$2:$AJ$501,0)),"")</f>
      </c>
      <c r="H52" s="0">
        <f>IFERROR(INDEX(Registro!$M$2:$M$501,MATCH($A52&amp;"|"&amp;2,Registro!$AJ$2:$AJ$501,0)),"")</f>
      </c>
      <c r="I52" s="0">
        <f>IFERROR(INDEX(Registro!$M$2:$M$501,MATCH($A52&amp;"|"&amp;3,Registro!$AJ$2:$AJ$501,0)),"")</f>
      </c>
      <c r="J52" s="0">
        <f>IFERROR(INDEX(Registro!$M$2:$M$501,MATCH($A52&amp;"|"&amp;4,Registro!$AJ$2:$AJ$501,0)),"")</f>
      </c>
      <c r="K52" s="0">
        <f>IFERROR(INDEX(Registro!$M$2:$M$501,MATCH($A52&amp;"|"&amp;5,Registro!$AJ$2:$AJ$501,0)),"")</f>
      </c>
      <c r="L52" s="0">
        <f>IFERROR(INDEX(Registro!$M$2:$M$501,MATCH($A52&amp;"|"&amp;6,Registro!$AJ$2:$AJ$501,0)),"")</f>
      </c>
      <c r="M52" s="0">
        <f>IFERROR(INDEX(Registro!$M$2:$M$501,MATCH($A52&amp;"|"&amp;7,Registro!$AJ$2:$AJ$501,0)),"")</f>
      </c>
      <c r="N52" s="0">
        <f>IFERROR(INDEX(Registro!$M$2:$M$501,MATCH($A52&amp;"|"&amp;8,Registro!$AJ$2:$AJ$501,0)),"")</f>
      </c>
      <c r="O52" s="0">
        <f>IFERROR(INDEX(Registro!$M$2:$M$501,MATCH($A52&amp;"|"&amp;9,Registro!$AJ$2:$AJ$501,0)),"")</f>
      </c>
      <c r="P52" s="0">
        <f>IFERROR(INDEX(Registro!$M$2:$M$501,MATCH($A52&amp;"|"&amp;10,Registro!$AJ$2:$AJ$501,0)),"")</f>
      </c>
    </row>
    <row r="53" spans="1:16">
      <c r="A53" s="6">
        <f>IF(Docentes!$A$48="","",Docentes!$A$48)</f>
      </c>
      <c r="B53" s="5">
        <f>IF($A53="","",COUNTIFS(Registro!$K$2:$K$501,$A53,Registro!$Q$2:$Q$501,"Disponible"))</f>
      </c>
      <c r="C53" s="5">
        <f>IF($A53="","",COUNTIFS(Registro!$K$2:$K$501,$A53,Registro!$O$2:$O$501,"Sí"))</f>
      </c>
      <c r="D53" s="5">
        <f>IF($A53="","",$B53+$C53)</f>
      </c>
      <c r="E53" s="6">
        <f>IF($A53="","",IF($B53=0,"—",$G53&amp;IF($H53&lt;&gt;""," | "&amp;$H53,"")&amp;IF($I53&lt;&gt;""," | "&amp;$I53,"")&amp;IF($J53&lt;&gt;""," | "&amp;$J53,"")&amp;IF($K53&lt;&gt;""," | "&amp;$K53,"")&amp;IF($L53&lt;&gt;""," | "&amp;$L53,"")&amp;IF($M53&lt;&gt;""," | "&amp;$M53,"")&amp;IF($N53&lt;&gt;""," | "&amp;$N53,"")&amp;IF($O53&lt;&gt;""," | "&amp;$O53,"")&amp;IF($P53&lt;&gt;""," | "&amp;$P53,"")&amp;IF($B53&gt;10," | (+"&amp;($B53-10)&amp;" más)","")))</f>
      </c>
      <c r="G53" s="0">
        <f>IFERROR(INDEX(Registro!$M$2:$M$501,MATCH($A53&amp;"|"&amp;1,Registro!$AJ$2:$AJ$501,0)),"")</f>
      </c>
      <c r="H53" s="0">
        <f>IFERROR(INDEX(Registro!$M$2:$M$501,MATCH($A53&amp;"|"&amp;2,Registro!$AJ$2:$AJ$501,0)),"")</f>
      </c>
      <c r="I53" s="0">
        <f>IFERROR(INDEX(Registro!$M$2:$M$501,MATCH($A53&amp;"|"&amp;3,Registro!$AJ$2:$AJ$501,0)),"")</f>
      </c>
      <c r="J53" s="0">
        <f>IFERROR(INDEX(Registro!$M$2:$M$501,MATCH($A53&amp;"|"&amp;4,Registro!$AJ$2:$AJ$501,0)),"")</f>
      </c>
      <c r="K53" s="0">
        <f>IFERROR(INDEX(Registro!$M$2:$M$501,MATCH($A53&amp;"|"&amp;5,Registro!$AJ$2:$AJ$501,0)),"")</f>
      </c>
      <c r="L53" s="0">
        <f>IFERROR(INDEX(Registro!$M$2:$M$501,MATCH($A53&amp;"|"&amp;6,Registro!$AJ$2:$AJ$501,0)),"")</f>
      </c>
      <c r="M53" s="0">
        <f>IFERROR(INDEX(Registro!$M$2:$M$501,MATCH($A53&amp;"|"&amp;7,Registro!$AJ$2:$AJ$501,0)),"")</f>
      </c>
      <c r="N53" s="0">
        <f>IFERROR(INDEX(Registro!$M$2:$M$501,MATCH($A53&amp;"|"&amp;8,Registro!$AJ$2:$AJ$501,0)),"")</f>
      </c>
      <c r="O53" s="0">
        <f>IFERROR(INDEX(Registro!$M$2:$M$501,MATCH($A53&amp;"|"&amp;9,Registro!$AJ$2:$AJ$501,0)),"")</f>
      </c>
      <c r="P53" s="0">
        <f>IFERROR(INDEX(Registro!$M$2:$M$501,MATCH($A53&amp;"|"&amp;10,Registro!$AJ$2:$AJ$501,0)),"")</f>
      </c>
    </row>
    <row r="54" spans="1:16">
      <c r="A54" s="6">
        <f>IF(Docentes!$A$49="","",Docentes!$A$49)</f>
      </c>
      <c r="B54" s="5">
        <f>IF($A54="","",COUNTIFS(Registro!$K$2:$K$501,$A54,Registro!$Q$2:$Q$501,"Disponible"))</f>
      </c>
      <c r="C54" s="5">
        <f>IF($A54="","",COUNTIFS(Registro!$K$2:$K$501,$A54,Registro!$O$2:$O$501,"Sí"))</f>
      </c>
      <c r="D54" s="5">
        <f>IF($A54="","",$B54+$C54)</f>
      </c>
      <c r="E54" s="6">
        <f>IF($A54="","",IF($B54=0,"—",$G54&amp;IF($H54&lt;&gt;""," | "&amp;$H54,"")&amp;IF($I54&lt;&gt;""," | "&amp;$I54,"")&amp;IF($J54&lt;&gt;""," | "&amp;$J54,"")&amp;IF($K54&lt;&gt;""," | "&amp;$K54,"")&amp;IF($L54&lt;&gt;""," | "&amp;$L54,"")&amp;IF($M54&lt;&gt;""," | "&amp;$M54,"")&amp;IF($N54&lt;&gt;""," | "&amp;$N54,"")&amp;IF($O54&lt;&gt;""," | "&amp;$O54,"")&amp;IF($P54&lt;&gt;""," | "&amp;$P54,"")&amp;IF($B54&gt;10," | (+"&amp;($B54-10)&amp;" más)","")))</f>
      </c>
      <c r="G54" s="0">
        <f>IFERROR(INDEX(Registro!$M$2:$M$501,MATCH($A54&amp;"|"&amp;1,Registro!$AJ$2:$AJ$501,0)),"")</f>
      </c>
      <c r="H54" s="0">
        <f>IFERROR(INDEX(Registro!$M$2:$M$501,MATCH($A54&amp;"|"&amp;2,Registro!$AJ$2:$AJ$501,0)),"")</f>
      </c>
      <c r="I54" s="0">
        <f>IFERROR(INDEX(Registro!$M$2:$M$501,MATCH($A54&amp;"|"&amp;3,Registro!$AJ$2:$AJ$501,0)),"")</f>
      </c>
      <c r="J54" s="0">
        <f>IFERROR(INDEX(Registro!$M$2:$M$501,MATCH($A54&amp;"|"&amp;4,Registro!$AJ$2:$AJ$501,0)),"")</f>
      </c>
      <c r="K54" s="0">
        <f>IFERROR(INDEX(Registro!$M$2:$M$501,MATCH($A54&amp;"|"&amp;5,Registro!$AJ$2:$AJ$501,0)),"")</f>
      </c>
      <c r="L54" s="0">
        <f>IFERROR(INDEX(Registro!$M$2:$M$501,MATCH($A54&amp;"|"&amp;6,Registro!$AJ$2:$AJ$501,0)),"")</f>
      </c>
      <c r="M54" s="0">
        <f>IFERROR(INDEX(Registro!$M$2:$M$501,MATCH($A54&amp;"|"&amp;7,Registro!$AJ$2:$AJ$501,0)),"")</f>
      </c>
      <c r="N54" s="0">
        <f>IFERROR(INDEX(Registro!$M$2:$M$501,MATCH($A54&amp;"|"&amp;8,Registro!$AJ$2:$AJ$501,0)),"")</f>
      </c>
      <c r="O54" s="0">
        <f>IFERROR(INDEX(Registro!$M$2:$M$501,MATCH($A54&amp;"|"&amp;9,Registro!$AJ$2:$AJ$501,0)),"")</f>
      </c>
      <c r="P54" s="0">
        <f>IFERROR(INDEX(Registro!$M$2:$M$501,MATCH($A54&amp;"|"&amp;10,Registro!$AJ$2:$AJ$501,0)),"")</f>
      </c>
    </row>
    <row r="55" spans="1:16">
      <c r="A55" s="6">
        <f>IF(Docentes!$A$50="","",Docentes!$A$50)</f>
      </c>
      <c r="B55" s="5">
        <f>IF($A55="","",COUNTIFS(Registro!$K$2:$K$501,$A55,Registro!$Q$2:$Q$501,"Disponible"))</f>
      </c>
      <c r="C55" s="5">
        <f>IF($A55="","",COUNTIFS(Registro!$K$2:$K$501,$A55,Registro!$O$2:$O$501,"Sí"))</f>
      </c>
      <c r="D55" s="5">
        <f>IF($A55="","",$B55+$C55)</f>
      </c>
      <c r="E55" s="6">
        <f>IF($A55="","",IF($B55=0,"—",$G55&amp;IF($H55&lt;&gt;""," | "&amp;$H55,"")&amp;IF($I55&lt;&gt;""," | "&amp;$I55,"")&amp;IF($J55&lt;&gt;""," | "&amp;$J55,"")&amp;IF($K55&lt;&gt;""," | "&amp;$K55,"")&amp;IF($L55&lt;&gt;""," | "&amp;$L55,"")&amp;IF($M55&lt;&gt;""," | "&amp;$M55,"")&amp;IF($N55&lt;&gt;""," | "&amp;$N55,"")&amp;IF($O55&lt;&gt;""," | "&amp;$O55,"")&amp;IF($P55&lt;&gt;""," | "&amp;$P55,"")&amp;IF($B55&gt;10," | (+"&amp;($B55-10)&amp;" más)","")))</f>
      </c>
      <c r="G55" s="0">
        <f>IFERROR(INDEX(Registro!$M$2:$M$501,MATCH($A55&amp;"|"&amp;1,Registro!$AJ$2:$AJ$501,0)),"")</f>
      </c>
      <c r="H55" s="0">
        <f>IFERROR(INDEX(Registro!$M$2:$M$501,MATCH($A55&amp;"|"&amp;2,Registro!$AJ$2:$AJ$501,0)),"")</f>
      </c>
      <c r="I55" s="0">
        <f>IFERROR(INDEX(Registro!$M$2:$M$501,MATCH($A55&amp;"|"&amp;3,Registro!$AJ$2:$AJ$501,0)),"")</f>
      </c>
      <c r="J55" s="0">
        <f>IFERROR(INDEX(Registro!$M$2:$M$501,MATCH($A55&amp;"|"&amp;4,Registro!$AJ$2:$AJ$501,0)),"")</f>
      </c>
      <c r="K55" s="0">
        <f>IFERROR(INDEX(Registro!$M$2:$M$501,MATCH($A55&amp;"|"&amp;5,Registro!$AJ$2:$AJ$501,0)),"")</f>
      </c>
      <c r="L55" s="0">
        <f>IFERROR(INDEX(Registro!$M$2:$M$501,MATCH($A55&amp;"|"&amp;6,Registro!$AJ$2:$AJ$501,0)),"")</f>
      </c>
      <c r="M55" s="0">
        <f>IFERROR(INDEX(Registro!$M$2:$M$501,MATCH($A55&amp;"|"&amp;7,Registro!$AJ$2:$AJ$501,0)),"")</f>
      </c>
      <c r="N55" s="0">
        <f>IFERROR(INDEX(Registro!$M$2:$M$501,MATCH($A55&amp;"|"&amp;8,Registro!$AJ$2:$AJ$501,0)),"")</f>
      </c>
      <c r="O55" s="0">
        <f>IFERROR(INDEX(Registro!$M$2:$M$501,MATCH($A55&amp;"|"&amp;9,Registro!$AJ$2:$AJ$501,0)),"")</f>
      </c>
      <c r="P55" s="0">
        <f>IFERROR(INDEX(Registro!$M$2:$M$501,MATCH($A55&amp;"|"&amp;10,Registro!$AJ$2:$AJ$501,0)),"")</f>
      </c>
    </row>
    <row r="56" spans="1:16">
      <c r="A56" s="6">
        <f>IF(Docentes!$A$51="","",Docentes!$A$51)</f>
      </c>
      <c r="B56" s="5">
        <f>IF($A56="","",COUNTIFS(Registro!$K$2:$K$501,$A56,Registro!$Q$2:$Q$501,"Disponible"))</f>
      </c>
      <c r="C56" s="5">
        <f>IF($A56="","",COUNTIFS(Registro!$K$2:$K$501,$A56,Registro!$O$2:$O$501,"Sí"))</f>
      </c>
      <c r="D56" s="5">
        <f>IF($A56="","",$B56+$C56)</f>
      </c>
      <c r="E56" s="6">
        <f>IF($A56="","",IF($B56=0,"—",$G56&amp;IF($H56&lt;&gt;""," | "&amp;$H56,"")&amp;IF($I56&lt;&gt;""," | "&amp;$I56,"")&amp;IF($J56&lt;&gt;""," | "&amp;$J56,"")&amp;IF($K56&lt;&gt;""," | "&amp;$K56,"")&amp;IF($L56&lt;&gt;""," | "&amp;$L56,"")&amp;IF($M56&lt;&gt;""," | "&amp;$M56,"")&amp;IF($N56&lt;&gt;""," | "&amp;$N56,"")&amp;IF($O56&lt;&gt;""," | "&amp;$O56,"")&amp;IF($P56&lt;&gt;""," | "&amp;$P56,"")&amp;IF($B56&gt;10," | (+"&amp;($B56-10)&amp;" más)","")))</f>
      </c>
      <c r="G56" s="0">
        <f>IFERROR(INDEX(Registro!$M$2:$M$501,MATCH($A56&amp;"|"&amp;1,Registro!$AJ$2:$AJ$501,0)),"")</f>
      </c>
      <c r="H56" s="0">
        <f>IFERROR(INDEX(Registro!$M$2:$M$501,MATCH($A56&amp;"|"&amp;2,Registro!$AJ$2:$AJ$501,0)),"")</f>
      </c>
      <c r="I56" s="0">
        <f>IFERROR(INDEX(Registro!$M$2:$M$501,MATCH($A56&amp;"|"&amp;3,Registro!$AJ$2:$AJ$501,0)),"")</f>
      </c>
      <c r="J56" s="0">
        <f>IFERROR(INDEX(Registro!$M$2:$M$501,MATCH($A56&amp;"|"&amp;4,Registro!$AJ$2:$AJ$501,0)),"")</f>
      </c>
      <c r="K56" s="0">
        <f>IFERROR(INDEX(Registro!$M$2:$M$501,MATCH($A56&amp;"|"&amp;5,Registro!$AJ$2:$AJ$501,0)),"")</f>
      </c>
      <c r="L56" s="0">
        <f>IFERROR(INDEX(Registro!$M$2:$M$501,MATCH($A56&amp;"|"&amp;6,Registro!$AJ$2:$AJ$501,0)),"")</f>
      </c>
      <c r="M56" s="0">
        <f>IFERROR(INDEX(Registro!$M$2:$M$501,MATCH($A56&amp;"|"&amp;7,Registro!$AJ$2:$AJ$501,0)),"")</f>
      </c>
      <c r="N56" s="0">
        <f>IFERROR(INDEX(Registro!$M$2:$M$501,MATCH($A56&amp;"|"&amp;8,Registro!$AJ$2:$AJ$501,0)),"")</f>
      </c>
      <c r="O56" s="0">
        <f>IFERROR(INDEX(Registro!$M$2:$M$501,MATCH($A56&amp;"|"&amp;9,Registro!$AJ$2:$AJ$501,0)),"")</f>
      </c>
      <c r="P56" s="0">
        <f>IFERROR(INDEX(Registro!$M$2:$M$501,MATCH($A56&amp;"|"&amp;10,Registro!$AJ$2:$AJ$501,0)),"")</f>
      </c>
    </row>
    <row r="57" spans="1:16">
      <c r="A57" s="6">
        <f>IF(Docentes!$A$52="","",Docentes!$A$52)</f>
      </c>
      <c r="B57" s="5">
        <f>IF($A57="","",COUNTIFS(Registro!$K$2:$K$501,$A57,Registro!$Q$2:$Q$501,"Disponible"))</f>
      </c>
      <c r="C57" s="5">
        <f>IF($A57="","",COUNTIFS(Registro!$K$2:$K$501,$A57,Registro!$O$2:$O$501,"Sí"))</f>
      </c>
      <c r="D57" s="5">
        <f>IF($A57="","",$B57+$C57)</f>
      </c>
      <c r="E57" s="6">
        <f>IF($A57="","",IF($B57=0,"—",$G57&amp;IF($H57&lt;&gt;""," | "&amp;$H57,"")&amp;IF($I57&lt;&gt;""," | "&amp;$I57,"")&amp;IF($J57&lt;&gt;""," | "&amp;$J57,"")&amp;IF($K57&lt;&gt;""," | "&amp;$K57,"")&amp;IF($L57&lt;&gt;""," | "&amp;$L57,"")&amp;IF($M57&lt;&gt;""," | "&amp;$M57,"")&amp;IF($N57&lt;&gt;""," | "&amp;$N57,"")&amp;IF($O57&lt;&gt;""," | "&amp;$O57,"")&amp;IF($P57&lt;&gt;""," | "&amp;$P57,"")&amp;IF($B57&gt;10," | (+"&amp;($B57-10)&amp;" más)","")))</f>
      </c>
      <c r="G57" s="0">
        <f>IFERROR(INDEX(Registro!$M$2:$M$501,MATCH($A57&amp;"|"&amp;1,Registro!$AJ$2:$AJ$501,0)),"")</f>
      </c>
      <c r="H57" s="0">
        <f>IFERROR(INDEX(Registro!$M$2:$M$501,MATCH($A57&amp;"|"&amp;2,Registro!$AJ$2:$AJ$501,0)),"")</f>
      </c>
      <c r="I57" s="0">
        <f>IFERROR(INDEX(Registro!$M$2:$M$501,MATCH($A57&amp;"|"&amp;3,Registro!$AJ$2:$AJ$501,0)),"")</f>
      </c>
      <c r="J57" s="0">
        <f>IFERROR(INDEX(Registro!$M$2:$M$501,MATCH($A57&amp;"|"&amp;4,Registro!$AJ$2:$AJ$501,0)),"")</f>
      </c>
      <c r="K57" s="0">
        <f>IFERROR(INDEX(Registro!$M$2:$M$501,MATCH($A57&amp;"|"&amp;5,Registro!$AJ$2:$AJ$501,0)),"")</f>
      </c>
      <c r="L57" s="0">
        <f>IFERROR(INDEX(Registro!$M$2:$M$501,MATCH($A57&amp;"|"&amp;6,Registro!$AJ$2:$AJ$501,0)),"")</f>
      </c>
      <c r="M57" s="0">
        <f>IFERROR(INDEX(Registro!$M$2:$M$501,MATCH($A57&amp;"|"&amp;7,Registro!$AJ$2:$AJ$501,0)),"")</f>
      </c>
      <c r="N57" s="0">
        <f>IFERROR(INDEX(Registro!$M$2:$M$501,MATCH($A57&amp;"|"&amp;8,Registro!$AJ$2:$AJ$501,0)),"")</f>
      </c>
      <c r="O57" s="0">
        <f>IFERROR(INDEX(Registro!$M$2:$M$501,MATCH($A57&amp;"|"&amp;9,Registro!$AJ$2:$AJ$501,0)),"")</f>
      </c>
      <c r="P57" s="0">
        <f>IFERROR(INDEX(Registro!$M$2:$M$501,MATCH($A57&amp;"|"&amp;10,Registro!$AJ$2:$AJ$501,0)),"")</f>
      </c>
    </row>
    <row r="58" spans="1:16">
      <c r="A58" s="6">
        <f>IF(Docentes!$A$53="","",Docentes!$A$53)</f>
      </c>
      <c r="B58" s="5">
        <f>IF($A58="","",COUNTIFS(Registro!$K$2:$K$501,$A58,Registro!$Q$2:$Q$501,"Disponible"))</f>
      </c>
      <c r="C58" s="5">
        <f>IF($A58="","",COUNTIFS(Registro!$K$2:$K$501,$A58,Registro!$O$2:$O$501,"Sí"))</f>
      </c>
      <c r="D58" s="5">
        <f>IF($A58="","",$B58+$C58)</f>
      </c>
      <c r="E58" s="6">
        <f>IF($A58="","",IF($B58=0,"—",$G58&amp;IF($H58&lt;&gt;""," | "&amp;$H58,"")&amp;IF($I58&lt;&gt;""," | "&amp;$I58,"")&amp;IF($J58&lt;&gt;""," | "&amp;$J58,"")&amp;IF($K58&lt;&gt;""," | "&amp;$K58,"")&amp;IF($L58&lt;&gt;""," | "&amp;$L58,"")&amp;IF($M58&lt;&gt;""," | "&amp;$M58,"")&amp;IF($N58&lt;&gt;""," | "&amp;$N58,"")&amp;IF($O58&lt;&gt;""," | "&amp;$O58,"")&amp;IF($P58&lt;&gt;""," | "&amp;$P58,"")&amp;IF($B58&gt;10," | (+"&amp;($B58-10)&amp;" más)","")))</f>
      </c>
      <c r="G58" s="0">
        <f>IFERROR(INDEX(Registro!$M$2:$M$501,MATCH($A58&amp;"|"&amp;1,Registro!$AJ$2:$AJ$501,0)),"")</f>
      </c>
      <c r="H58" s="0">
        <f>IFERROR(INDEX(Registro!$M$2:$M$501,MATCH($A58&amp;"|"&amp;2,Registro!$AJ$2:$AJ$501,0)),"")</f>
      </c>
      <c r="I58" s="0">
        <f>IFERROR(INDEX(Registro!$M$2:$M$501,MATCH($A58&amp;"|"&amp;3,Registro!$AJ$2:$AJ$501,0)),"")</f>
      </c>
      <c r="J58" s="0">
        <f>IFERROR(INDEX(Registro!$M$2:$M$501,MATCH($A58&amp;"|"&amp;4,Registro!$AJ$2:$AJ$501,0)),"")</f>
      </c>
      <c r="K58" s="0">
        <f>IFERROR(INDEX(Registro!$M$2:$M$501,MATCH($A58&amp;"|"&amp;5,Registro!$AJ$2:$AJ$501,0)),"")</f>
      </c>
      <c r="L58" s="0">
        <f>IFERROR(INDEX(Registro!$M$2:$M$501,MATCH($A58&amp;"|"&amp;6,Registro!$AJ$2:$AJ$501,0)),"")</f>
      </c>
      <c r="M58" s="0">
        <f>IFERROR(INDEX(Registro!$M$2:$M$501,MATCH($A58&amp;"|"&amp;7,Registro!$AJ$2:$AJ$501,0)),"")</f>
      </c>
      <c r="N58" s="0">
        <f>IFERROR(INDEX(Registro!$M$2:$M$501,MATCH($A58&amp;"|"&amp;8,Registro!$AJ$2:$AJ$501,0)),"")</f>
      </c>
      <c r="O58" s="0">
        <f>IFERROR(INDEX(Registro!$M$2:$M$501,MATCH($A58&amp;"|"&amp;9,Registro!$AJ$2:$AJ$501,0)),"")</f>
      </c>
      <c r="P58" s="0">
        <f>IFERROR(INDEX(Registro!$M$2:$M$501,MATCH($A58&amp;"|"&amp;10,Registro!$AJ$2:$AJ$501,0)),"")</f>
      </c>
    </row>
    <row r="59" spans="1:16">
      <c r="A59" s="6">
        <f>IF(Docentes!$A$54="","",Docentes!$A$54)</f>
      </c>
      <c r="B59" s="5">
        <f>IF($A59="","",COUNTIFS(Registro!$K$2:$K$501,$A59,Registro!$Q$2:$Q$501,"Disponible"))</f>
      </c>
      <c r="C59" s="5">
        <f>IF($A59="","",COUNTIFS(Registro!$K$2:$K$501,$A59,Registro!$O$2:$O$501,"Sí"))</f>
      </c>
      <c r="D59" s="5">
        <f>IF($A59="","",$B59+$C59)</f>
      </c>
      <c r="E59" s="6">
        <f>IF($A59="","",IF($B59=0,"—",$G59&amp;IF($H59&lt;&gt;""," | "&amp;$H59,"")&amp;IF($I59&lt;&gt;""," | "&amp;$I59,"")&amp;IF($J59&lt;&gt;""," | "&amp;$J59,"")&amp;IF($K59&lt;&gt;""," | "&amp;$K59,"")&amp;IF($L59&lt;&gt;""," | "&amp;$L59,"")&amp;IF($M59&lt;&gt;""," | "&amp;$M59,"")&amp;IF($N59&lt;&gt;""," | "&amp;$N59,"")&amp;IF($O59&lt;&gt;""," | "&amp;$O59,"")&amp;IF($P59&lt;&gt;""," | "&amp;$P59,"")&amp;IF($B59&gt;10," | (+"&amp;($B59-10)&amp;" más)","")))</f>
      </c>
      <c r="G59" s="0">
        <f>IFERROR(INDEX(Registro!$M$2:$M$501,MATCH($A59&amp;"|"&amp;1,Registro!$AJ$2:$AJ$501,0)),"")</f>
      </c>
      <c r="H59" s="0">
        <f>IFERROR(INDEX(Registro!$M$2:$M$501,MATCH($A59&amp;"|"&amp;2,Registro!$AJ$2:$AJ$501,0)),"")</f>
      </c>
      <c r="I59" s="0">
        <f>IFERROR(INDEX(Registro!$M$2:$M$501,MATCH($A59&amp;"|"&amp;3,Registro!$AJ$2:$AJ$501,0)),"")</f>
      </c>
      <c r="J59" s="0">
        <f>IFERROR(INDEX(Registro!$M$2:$M$501,MATCH($A59&amp;"|"&amp;4,Registro!$AJ$2:$AJ$501,0)),"")</f>
      </c>
      <c r="K59" s="0">
        <f>IFERROR(INDEX(Registro!$M$2:$M$501,MATCH($A59&amp;"|"&amp;5,Registro!$AJ$2:$AJ$501,0)),"")</f>
      </c>
      <c r="L59" s="0">
        <f>IFERROR(INDEX(Registro!$M$2:$M$501,MATCH($A59&amp;"|"&amp;6,Registro!$AJ$2:$AJ$501,0)),"")</f>
      </c>
      <c r="M59" s="0">
        <f>IFERROR(INDEX(Registro!$M$2:$M$501,MATCH($A59&amp;"|"&amp;7,Registro!$AJ$2:$AJ$501,0)),"")</f>
      </c>
      <c r="N59" s="0">
        <f>IFERROR(INDEX(Registro!$M$2:$M$501,MATCH($A59&amp;"|"&amp;8,Registro!$AJ$2:$AJ$501,0)),"")</f>
      </c>
      <c r="O59" s="0">
        <f>IFERROR(INDEX(Registro!$M$2:$M$501,MATCH($A59&amp;"|"&amp;9,Registro!$AJ$2:$AJ$501,0)),"")</f>
      </c>
      <c r="P59" s="0">
        <f>IFERROR(INDEX(Registro!$M$2:$M$501,MATCH($A59&amp;"|"&amp;10,Registro!$AJ$2:$AJ$501,0)),"")</f>
      </c>
    </row>
    <row r="60" spans="1:16">
      <c r="A60" s="6">
        <f>IF(Docentes!$A$55="","",Docentes!$A$55)</f>
      </c>
      <c r="B60" s="5">
        <f>IF($A60="","",COUNTIFS(Registro!$K$2:$K$501,$A60,Registro!$Q$2:$Q$501,"Disponible"))</f>
      </c>
      <c r="C60" s="5">
        <f>IF($A60="","",COUNTIFS(Registro!$K$2:$K$501,$A60,Registro!$O$2:$O$501,"Sí"))</f>
      </c>
      <c r="D60" s="5">
        <f>IF($A60="","",$B60+$C60)</f>
      </c>
      <c r="E60" s="6">
        <f>IF($A60="","",IF($B60=0,"—",$G60&amp;IF($H60&lt;&gt;""," | "&amp;$H60,"")&amp;IF($I60&lt;&gt;""," | "&amp;$I60,"")&amp;IF($J60&lt;&gt;""," | "&amp;$J60,"")&amp;IF($K60&lt;&gt;""," | "&amp;$K60,"")&amp;IF($L60&lt;&gt;""," | "&amp;$L60,"")&amp;IF($M60&lt;&gt;""," | "&amp;$M60,"")&amp;IF($N60&lt;&gt;""," | "&amp;$N60,"")&amp;IF($O60&lt;&gt;""," | "&amp;$O60,"")&amp;IF($P60&lt;&gt;""," | "&amp;$P60,"")&amp;IF($B60&gt;10," | (+"&amp;($B60-10)&amp;" más)","")))</f>
      </c>
      <c r="G60" s="0">
        <f>IFERROR(INDEX(Registro!$M$2:$M$501,MATCH($A60&amp;"|"&amp;1,Registro!$AJ$2:$AJ$501,0)),"")</f>
      </c>
      <c r="H60" s="0">
        <f>IFERROR(INDEX(Registro!$M$2:$M$501,MATCH($A60&amp;"|"&amp;2,Registro!$AJ$2:$AJ$501,0)),"")</f>
      </c>
      <c r="I60" s="0">
        <f>IFERROR(INDEX(Registro!$M$2:$M$501,MATCH($A60&amp;"|"&amp;3,Registro!$AJ$2:$AJ$501,0)),"")</f>
      </c>
      <c r="J60" s="0">
        <f>IFERROR(INDEX(Registro!$M$2:$M$501,MATCH($A60&amp;"|"&amp;4,Registro!$AJ$2:$AJ$501,0)),"")</f>
      </c>
      <c r="K60" s="0">
        <f>IFERROR(INDEX(Registro!$M$2:$M$501,MATCH($A60&amp;"|"&amp;5,Registro!$AJ$2:$AJ$501,0)),"")</f>
      </c>
      <c r="L60" s="0">
        <f>IFERROR(INDEX(Registro!$M$2:$M$501,MATCH($A60&amp;"|"&amp;6,Registro!$AJ$2:$AJ$501,0)),"")</f>
      </c>
      <c r="M60" s="0">
        <f>IFERROR(INDEX(Registro!$M$2:$M$501,MATCH($A60&amp;"|"&amp;7,Registro!$AJ$2:$AJ$501,0)),"")</f>
      </c>
      <c r="N60" s="0">
        <f>IFERROR(INDEX(Registro!$M$2:$M$501,MATCH($A60&amp;"|"&amp;8,Registro!$AJ$2:$AJ$501,0)),"")</f>
      </c>
      <c r="O60" s="0">
        <f>IFERROR(INDEX(Registro!$M$2:$M$501,MATCH($A60&amp;"|"&amp;9,Registro!$AJ$2:$AJ$501,0)),"")</f>
      </c>
      <c r="P60" s="0">
        <f>IFERROR(INDEX(Registro!$M$2:$M$501,MATCH($A60&amp;"|"&amp;10,Registro!$AJ$2:$AJ$501,0)),"")</f>
      </c>
    </row>
    <row r="61" spans="1:16">
      <c r="A61" s="6">
        <f>IF(Docentes!$A$56="","",Docentes!$A$56)</f>
      </c>
      <c r="B61" s="5">
        <f>IF($A61="","",COUNTIFS(Registro!$K$2:$K$501,$A61,Registro!$Q$2:$Q$501,"Disponible"))</f>
      </c>
      <c r="C61" s="5">
        <f>IF($A61="","",COUNTIFS(Registro!$K$2:$K$501,$A61,Registro!$O$2:$O$501,"Sí"))</f>
      </c>
      <c r="D61" s="5">
        <f>IF($A61="","",$B61+$C61)</f>
      </c>
      <c r="E61" s="6">
        <f>IF($A61="","",IF($B61=0,"—",$G61&amp;IF($H61&lt;&gt;""," | "&amp;$H61,"")&amp;IF($I61&lt;&gt;""," | "&amp;$I61,"")&amp;IF($J61&lt;&gt;""," | "&amp;$J61,"")&amp;IF($K61&lt;&gt;""," | "&amp;$K61,"")&amp;IF($L61&lt;&gt;""," | "&amp;$L61,"")&amp;IF($M61&lt;&gt;""," | "&amp;$M61,"")&amp;IF($N61&lt;&gt;""," | "&amp;$N61,"")&amp;IF($O61&lt;&gt;""," | "&amp;$O61,"")&amp;IF($P61&lt;&gt;""," | "&amp;$P61,"")&amp;IF($B61&gt;10," | (+"&amp;($B61-10)&amp;" más)","")))</f>
      </c>
      <c r="G61" s="0">
        <f>IFERROR(INDEX(Registro!$M$2:$M$501,MATCH($A61&amp;"|"&amp;1,Registro!$AJ$2:$AJ$501,0)),"")</f>
      </c>
      <c r="H61" s="0">
        <f>IFERROR(INDEX(Registro!$M$2:$M$501,MATCH($A61&amp;"|"&amp;2,Registro!$AJ$2:$AJ$501,0)),"")</f>
      </c>
      <c r="I61" s="0">
        <f>IFERROR(INDEX(Registro!$M$2:$M$501,MATCH($A61&amp;"|"&amp;3,Registro!$AJ$2:$AJ$501,0)),"")</f>
      </c>
      <c r="J61" s="0">
        <f>IFERROR(INDEX(Registro!$M$2:$M$501,MATCH($A61&amp;"|"&amp;4,Registro!$AJ$2:$AJ$501,0)),"")</f>
      </c>
      <c r="K61" s="0">
        <f>IFERROR(INDEX(Registro!$M$2:$M$501,MATCH($A61&amp;"|"&amp;5,Registro!$AJ$2:$AJ$501,0)),"")</f>
      </c>
      <c r="L61" s="0">
        <f>IFERROR(INDEX(Registro!$M$2:$M$501,MATCH($A61&amp;"|"&amp;6,Registro!$AJ$2:$AJ$501,0)),"")</f>
      </c>
      <c r="M61" s="0">
        <f>IFERROR(INDEX(Registro!$M$2:$M$501,MATCH($A61&amp;"|"&amp;7,Registro!$AJ$2:$AJ$501,0)),"")</f>
      </c>
      <c r="N61" s="0">
        <f>IFERROR(INDEX(Registro!$M$2:$M$501,MATCH($A61&amp;"|"&amp;8,Registro!$AJ$2:$AJ$501,0)),"")</f>
      </c>
      <c r="O61" s="0">
        <f>IFERROR(INDEX(Registro!$M$2:$M$501,MATCH($A61&amp;"|"&amp;9,Registro!$AJ$2:$AJ$501,0)),"")</f>
      </c>
      <c r="P61" s="0">
        <f>IFERROR(INDEX(Registro!$M$2:$M$501,MATCH($A61&amp;"|"&amp;10,Registro!$AJ$2:$AJ$501,0)),"")</f>
      </c>
    </row>
    <row r="62" spans="1:16">
      <c r="A62" s="6">
        <f>IF(Docentes!$A$57="","",Docentes!$A$57)</f>
      </c>
      <c r="B62" s="5">
        <f>IF($A62="","",COUNTIFS(Registro!$K$2:$K$501,$A62,Registro!$Q$2:$Q$501,"Disponible"))</f>
      </c>
      <c r="C62" s="5">
        <f>IF($A62="","",COUNTIFS(Registro!$K$2:$K$501,$A62,Registro!$O$2:$O$501,"Sí"))</f>
      </c>
      <c r="D62" s="5">
        <f>IF($A62="","",$B62+$C62)</f>
      </c>
      <c r="E62" s="6">
        <f>IF($A62="","",IF($B62=0,"—",$G62&amp;IF($H62&lt;&gt;""," | "&amp;$H62,"")&amp;IF($I62&lt;&gt;""," | "&amp;$I62,"")&amp;IF($J62&lt;&gt;""," | "&amp;$J62,"")&amp;IF($K62&lt;&gt;""," | "&amp;$K62,"")&amp;IF($L62&lt;&gt;""," | "&amp;$L62,"")&amp;IF($M62&lt;&gt;""," | "&amp;$M62,"")&amp;IF($N62&lt;&gt;""," | "&amp;$N62,"")&amp;IF($O62&lt;&gt;""," | "&amp;$O62,"")&amp;IF($P62&lt;&gt;""," | "&amp;$P62,"")&amp;IF($B62&gt;10," | (+"&amp;($B62-10)&amp;" más)","")))</f>
      </c>
      <c r="G62" s="0">
        <f>IFERROR(INDEX(Registro!$M$2:$M$501,MATCH($A62&amp;"|"&amp;1,Registro!$AJ$2:$AJ$501,0)),"")</f>
      </c>
      <c r="H62" s="0">
        <f>IFERROR(INDEX(Registro!$M$2:$M$501,MATCH($A62&amp;"|"&amp;2,Registro!$AJ$2:$AJ$501,0)),"")</f>
      </c>
      <c r="I62" s="0">
        <f>IFERROR(INDEX(Registro!$M$2:$M$501,MATCH($A62&amp;"|"&amp;3,Registro!$AJ$2:$AJ$501,0)),"")</f>
      </c>
      <c r="J62" s="0">
        <f>IFERROR(INDEX(Registro!$M$2:$M$501,MATCH($A62&amp;"|"&amp;4,Registro!$AJ$2:$AJ$501,0)),"")</f>
      </c>
      <c r="K62" s="0">
        <f>IFERROR(INDEX(Registro!$M$2:$M$501,MATCH($A62&amp;"|"&amp;5,Registro!$AJ$2:$AJ$501,0)),"")</f>
      </c>
      <c r="L62" s="0">
        <f>IFERROR(INDEX(Registro!$M$2:$M$501,MATCH($A62&amp;"|"&amp;6,Registro!$AJ$2:$AJ$501,0)),"")</f>
      </c>
      <c r="M62" s="0">
        <f>IFERROR(INDEX(Registro!$M$2:$M$501,MATCH($A62&amp;"|"&amp;7,Registro!$AJ$2:$AJ$501,0)),"")</f>
      </c>
      <c r="N62" s="0">
        <f>IFERROR(INDEX(Registro!$M$2:$M$501,MATCH($A62&amp;"|"&amp;8,Registro!$AJ$2:$AJ$501,0)),"")</f>
      </c>
      <c r="O62" s="0">
        <f>IFERROR(INDEX(Registro!$M$2:$M$501,MATCH($A62&amp;"|"&amp;9,Registro!$AJ$2:$AJ$501,0)),"")</f>
      </c>
      <c r="P62" s="0">
        <f>IFERROR(INDEX(Registro!$M$2:$M$501,MATCH($A62&amp;"|"&amp;10,Registro!$AJ$2:$AJ$501,0)),"")</f>
      </c>
    </row>
    <row r="63" spans="1:16">
      <c r="A63" s="6">
        <f>IF(Docentes!$A$58="","",Docentes!$A$58)</f>
      </c>
      <c r="B63" s="5">
        <f>IF($A63="","",COUNTIFS(Registro!$K$2:$K$501,$A63,Registro!$Q$2:$Q$501,"Disponible"))</f>
      </c>
      <c r="C63" s="5">
        <f>IF($A63="","",COUNTIFS(Registro!$K$2:$K$501,$A63,Registro!$O$2:$O$501,"Sí"))</f>
      </c>
      <c r="D63" s="5">
        <f>IF($A63="","",$B63+$C63)</f>
      </c>
      <c r="E63" s="6">
        <f>IF($A63="","",IF($B63=0,"—",$G63&amp;IF($H63&lt;&gt;""," | "&amp;$H63,"")&amp;IF($I63&lt;&gt;""," | "&amp;$I63,"")&amp;IF($J63&lt;&gt;""," | "&amp;$J63,"")&amp;IF($K63&lt;&gt;""," | "&amp;$K63,"")&amp;IF($L63&lt;&gt;""," | "&amp;$L63,"")&amp;IF($M63&lt;&gt;""," | "&amp;$M63,"")&amp;IF($N63&lt;&gt;""," | "&amp;$N63,"")&amp;IF($O63&lt;&gt;""," | "&amp;$O63,"")&amp;IF($P63&lt;&gt;""," | "&amp;$P63,"")&amp;IF($B63&gt;10," | (+"&amp;($B63-10)&amp;" más)","")))</f>
      </c>
      <c r="G63" s="0">
        <f>IFERROR(INDEX(Registro!$M$2:$M$501,MATCH($A63&amp;"|"&amp;1,Registro!$AJ$2:$AJ$501,0)),"")</f>
      </c>
      <c r="H63" s="0">
        <f>IFERROR(INDEX(Registro!$M$2:$M$501,MATCH($A63&amp;"|"&amp;2,Registro!$AJ$2:$AJ$501,0)),"")</f>
      </c>
      <c r="I63" s="0">
        <f>IFERROR(INDEX(Registro!$M$2:$M$501,MATCH($A63&amp;"|"&amp;3,Registro!$AJ$2:$AJ$501,0)),"")</f>
      </c>
      <c r="J63" s="0">
        <f>IFERROR(INDEX(Registro!$M$2:$M$501,MATCH($A63&amp;"|"&amp;4,Registro!$AJ$2:$AJ$501,0)),"")</f>
      </c>
      <c r="K63" s="0">
        <f>IFERROR(INDEX(Registro!$M$2:$M$501,MATCH($A63&amp;"|"&amp;5,Registro!$AJ$2:$AJ$501,0)),"")</f>
      </c>
      <c r="L63" s="0">
        <f>IFERROR(INDEX(Registro!$M$2:$M$501,MATCH($A63&amp;"|"&amp;6,Registro!$AJ$2:$AJ$501,0)),"")</f>
      </c>
      <c r="M63" s="0">
        <f>IFERROR(INDEX(Registro!$M$2:$M$501,MATCH($A63&amp;"|"&amp;7,Registro!$AJ$2:$AJ$501,0)),"")</f>
      </c>
      <c r="N63" s="0">
        <f>IFERROR(INDEX(Registro!$M$2:$M$501,MATCH($A63&amp;"|"&amp;8,Registro!$AJ$2:$AJ$501,0)),"")</f>
      </c>
      <c r="O63" s="0">
        <f>IFERROR(INDEX(Registro!$M$2:$M$501,MATCH($A63&amp;"|"&amp;9,Registro!$AJ$2:$AJ$501,0)),"")</f>
      </c>
      <c r="P63" s="0">
        <f>IFERROR(INDEX(Registro!$M$2:$M$501,MATCH($A63&amp;"|"&amp;10,Registro!$AJ$2:$AJ$501,0)),"")</f>
      </c>
    </row>
    <row r="64" spans="1:16">
      <c r="A64" s="6">
        <f>IF(Docentes!$A$59="","",Docentes!$A$59)</f>
      </c>
      <c r="B64" s="5">
        <f>IF($A64="","",COUNTIFS(Registro!$K$2:$K$501,$A64,Registro!$Q$2:$Q$501,"Disponible"))</f>
      </c>
      <c r="C64" s="5">
        <f>IF($A64="","",COUNTIFS(Registro!$K$2:$K$501,$A64,Registro!$O$2:$O$501,"Sí"))</f>
      </c>
      <c r="D64" s="5">
        <f>IF($A64="","",$B64+$C64)</f>
      </c>
      <c r="E64" s="6">
        <f>IF($A64="","",IF($B64=0,"—",$G64&amp;IF($H64&lt;&gt;""," | "&amp;$H64,"")&amp;IF($I64&lt;&gt;""," | "&amp;$I64,"")&amp;IF($J64&lt;&gt;""," | "&amp;$J64,"")&amp;IF($K64&lt;&gt;""," | "&amp;$K64,"")&amp;IF($L64&lt;&gt;""," | "&amp;$L64,"")&amp;IF($M64&lt;&gt;""," | "&amp;$M64,"")&amp;IF($N64&lt;&gt;""," | "&amp;$N64,"")&amp;IF($O64&lt;&gt;""," | "&amp;$O64,"")&amp;IF($P64&lt;&gt;""," | "&amp;$P64,"")&amp;IF($B64&gt;10," | (+"&amp;($B64-10)&amp;" más)","")))</f>
      </c>
      <c r="G64" s="0">
        <f>IFERROR(INDEX(Registro!$M$2:$M$501,MATCH($A64&amp;"|"&amp;1,Registro!$AJ$2:$AJ$501,0)),"")</f>
      </c>
      <c r="H64" s="0">
        <f>IFERROR(INDEX(Registro!$M$2:$M$501,MATCH($A64&amp;"|"&amp;2,Registro!$AJ$2:$AJ$501,0)),"")</f>
      </c>
      <c r="I64" s="0">
        <f>IFERROR(INDEX(Registro!$M$2:$M$501,MATCH($A64&amp;"|"&amp;3,Registro!$AJ$2:$AJ$501,0)),"")</f>
      </c>
      <c r="J64" s="0">
        <f>IFERROR(INDEX(Registro!$M$2:$M$501,MATCH($A64&amp;"|"&amp;4,Registro!$AJ$2:$AJ$501,0)),"")</f>
      </c>
      <c r="K64" s="0">
        <f>IFERROR(INDEX(Registro!$M$2:$M$501,MATCH($A64&amp;"|"&amp;5,Registro!$AJ$2:$AJ$501,0)),"")</f>
      </c>
      <c r="L64" s="0">
        <f>IFERROR(INDEX(Registro!$M$2:$M$501,MATCH($A64&amp;"|"&amp;6,Registro!$AJ$2:$AJ$501,0)),"")</f>
      </c>
      <c r="M64" s="0">
        <f>IFERROR(INDEX(Registro!$M$2:$M$501,MATCH($A64&amp;"|"&amp;7,Registro!$AJ$2:$AJ$501,0)),"")</f>
      </c>
      <c r="N64" s="0">
        <f>IFERROR(INDEX(Registro!$M$2:$M$501,MATCH($A64&amp;"|"&amp;8,Registro!$AJ$2:$AJ$501,0)),"")</f>
      </c>
      <c r="O64" s="0">
        <f>IFERROR(INDEX(Registro!$M$2:$M$501,MATCH($A64&amp;"|"&amp;9,Registro!$AJ$2:$AJ$501,0)),"")</f>
      </c>
      <c r="P64" s="0">
        <f>IFERROR(INDEX(Registro!$M$2:$M$501,MATCH($A64&amp;"|"&amp;10,Registro!$AJ$2:$AJ$501,0)),"")</f>
      </c>
    </row>
    <row r="65" spans="1:16">
      <c r="A65" s="6">
        <f>IF(Docentes!$A$60="","",Docentes!$A$60)</f>
      </c>
      <c r="B65" s="5">
        <f>IF($A65="","",COUNTIFS(Registro!$K$2:$K$501,$A65,Registro!$Q$2:$Q$501,"Disponible"))</f>
      </c>
      <c r="C65" s="5">
        <f>IF($A65="","",COUNTIFS(Registro!$K$2:$K$501,$A65,Registro!$O$2:$O$501,"Sí"))</f>
      </c>
      <c r="D65" s="5">
        <f>IF($A65="","",$B65+$C65)</f>
      </c>
      <c r="E65" s="6">
        <f>IF($A65="","",IF($B65=0,"—",$G65&amp;IF($H65&lt;&gt;""," | "&amp;$H65,"")&amp;IF($I65&lt;&gt;""," | "&amp;$I65,"")&amp;IF($J65&lt;&gt;""," | "&amp;$J65,"")&amp;IF($K65&lt;&gt;""," | "&amp;$K65,"")&amp;IF($L65&lt;&gt;""," | "&amp;$L65,"")&amp;IF($M65&lt;&gt;""," | "&amp;$M65,"")&amp;IF($N65&lt;&gt;""," | "&amp;$N65,"")&amp;IF($O65&lt;&gt;""," | "&amp;$O65,"")&amp;IF($P65&lt;&gt;""," | "&amp;$P65,"")&amp;IF($B65&gt;10," | (+"&amp;($B65-10)&amp;" más)","")))</f>
      </c>
      <c r="G65" s="0">
        <f>IFERROR(INDEX(Registro!$M$2:$M$501,MATCH($A65&amp;"|"&amp;1,Registro!$AJ$2:$AJ$501,0)),"")</f>
      </c>
      <c r="H65" s="0">
        <f>IFERROR(INDEX(Registro!$M$2:$M$501,MATCH($A65&amp;"|"&amp;2,Registro!$AJ$2:$AJ$501,0)),"")</f>
      </c>
      <c r="I65" s="0">
        <f>IFERROR(INDEX(Registro!$M$2:$M$501,MATCH($A65&amp;"|"&amp;3,Registro!$AJ$2:$AJ$501,0)),"")</f>
      </c>
      <c r="J65" s="0">
        <f>IFERROR(INDEX(Registro!$M$2:$M$501,MATCH($A65&amp;"|"&amp;4,Registro!$AJ$2:$AJ$501,0)),"")</f>
      </c>
      <c r="K65" s="0">
        <f>IFERROR(INDEX(Registro!$M$2:$M$501,MATCH($A65&amp;"|"&amp;5,Registro!$AJ$2:$AJ$501,0)),"")</f>
      </c>
      <c r="L65" s="0">
        <f>IFERROR(INDEX(Registro!$M$2:$M$501,MATCH($A65&amp;"|"&amp;6,Registro!$AJ$2:$AJ$501,0)),"")</f>
      </c>
      <c r="M65" s="0">
        <f>IFERROR(INDEX(Registro!$M$2:$M$501,MATCH($A65&amp;"|"&amp;7,Registro!$AJ$2:$AJ$501,0)),"")</f>
      </c>
      <c r="N65" s="0">
        <f>IFERROR(INDEX(Registro!$M$2:$M$501,MATCH($A65&amp;"|"&amp;8,Registro!$AJ$2:$AJ$501,0)),"")</f>
      </c>
      <c r="O65" s="0">
        <f>IFERROR(INDEX(Registro!$M$2:$M$501,MATCH($A65&amp;"|"&amp;9,Registro!$AJ$2:$AJ$501,0)),"")</f>
      </c>
      <c r="P65" s="0">
        <f>IFERROR(INDEX(Registro!$M$2:$M$501,MATCH($A65&amp;"|"&amp;10,Registro!$AJ$2:$AJ$501,0)),"")</f>
      </c>
    </row>
    <row r="66" spans="1:16">
      <c r="A66" s="6">
        <f>IF(Docentes!$A$61="","",Docentes!$A$61)</f>
      </c>
      <c r="B66" s="5">
        <f>IF($A66="","",COUNTIFS(Registro!$K$2:$K$501,$A66,Registro!$Q$2:$Q$501,"Disponible"))</f>
      </c>
      <c r="C66" s="5">
        <f>IF($A66="","",COUNTIFS(Registro!$K$2:$K$501,$A66,Registro!$O$2:$O$501,"Sí"))</f>
      </c>
      <c r="D66" s="5">
        <f>IF($A66="","",$B66+$C66)</f>
      </c>
      <c r="E66" s="6">
        <f>IF($A66="","",IF($B66=0,"—",$G66&amp;IF($H66&lt;&gt;""," | "&amp;$H66,"")&amp;IF($I66&lt;&gt;""," | "&amp;$I66,"")&amp;IF($J66&lt;&gt;""," | "&amp;$J66,"")&amp;IF($K66&lt;&gt;""," | "&amp;$K66,"")&amp;IF($L66&lt;&gt;""," | "&amp;$L66,"")&amp;IF($M66&lt;&gt;""," | "&amp;$M66,"")&amp;IF($N66&lt;&gt;""," | "&amp;$N66,"")&amp;IF($O66&lt;&gt;""," | "&amp;$O66,"")&amp;IF($P66&lt;&gt;""," | "&amp;$P66,"")&amp;IF($B66&gt;10," | (+"&amp;($B66-10)&amp;" más)","")))</f>
      </c>
      <c r="G66" s="0">
        <f>IFERROR(INDEX(Registro!$M$2:$M$501,MATCH($A66&amp;"|"&amp;1,Registro!$AJ$2:$AJ$501,0)),"")</f>
      </c>
      <c r="H66" s="0">
        <f>IFERROR(INDEX(Registro!$M$2:$M$501,MATCH($A66&amp;"|"&amp;2,Registro!$AJ$2:$AJ$501,0)),"")</f>
      </c>
      <c r="I66" s="0">
        <f>IFERROR(INDEX(Registro!$M$2:$M$501,MATCH($A66&amp;"|"&amp;3,Registro!$AJ$2:$AJ$501,0)),"")</f>
      </c>
      <c r="J66" s="0">
        <f>IFERROR(INDEX(Registro!$M$2:$M$501,MATCH($A66&amp;"|"&amp;4,Registro!$AJ$2:$AJ$501,0)),"")</f>
      </c>
      <c r="K66" s="0">
        <f>IFERROR(INDEX(Registro!$M$2:$M$501,MATCH($A66&amp;"|"&amp;5,Registro!$AJ$2:$AJ$501,0)),"")</f>
      </c>
      <c r="L66" s="0">
        <f>IFERROR(INDEX(Registro!$M$2:$M$501,MATCH($A66&amp;"|"&amp;6,Registro!$AJ$2:$AJ$501,0)),"")</f>
      </c>
      <c r="M66" s="0">
        <f>IFERROR(INDEX(Registro!$M$2:$M$501,MATCH($A66&amp;"|"&amp;7,Registro!$AJ$2:$AJ$501,0)),"")</f>
      </c>
      <c r="N66" s="0">
        <f>IFERROR(INDEX(Registro!$M$2:$M$501,MATCH($A66&amp;"|"&amp;8,Registro!$AJ$2:$AJ$501,0)),"")</f>
      </c>
      <c r="O66" s="0">
        <f>IFERROR(INDEX(Registro!$M$2:$M$501,MATCH($A66&amp;"|"&amp;9,Registro!$AJ$2:$AJ$501,0)),"")</f>
      </c>
      <c r="P66" s="0">
        <f>IFERROR(INDEX(Registro!$M$2:$M$501,MATCH($A66&amp;"|"&amp;10,Registro!$AJ$2:$AJ$501,0)),"")</f>
      </c>
    </row>
    <row r="67" spans="1:16">
      <c r="A67" s="6">
        <f>IF(Docentes!$A$62="","",Docentes!$A$62)</f>
      </c>
      <c r="B67" s="5">
        <f>IF($A67="","",COUNTIFS(Registro!$K$2:$K$501,$A67,Registro!$Q$2:$Q$501,"Disponible"))</f>
      </c>
      <c r="C67" s="5">
        <f>IF($A67="","",COUNTIFS(Registro!$K$2:$K$501,$A67,Registro!$O$2:$O$501,"Sí"))</f>
      </c>
      <c r="D67" s="5">
        <f>IF($A67="","",$B67+$C67)</f>
      </c>
      <c r="E67" s="6">
        <f>IF($A67="","",IF($B67=0,"—",$G67&amp;IF($H67&lt;&gt;""," | "&amp;$H67,"")&amp;IF($I67&lt;&gt;""," | "&amp;$I67,"")&amp;IF($J67&lt;&gt;""," | "&amp;$J67,"")&amp;IF($K67&lt;&gt;""," | "&amp;$K67,"")&amp;IF($L67&lt;&gt;""," | "&amp;$L67,"")&amp;IF($M67&lt;&gt;""," | "&amp;$M67,"")&amp;IF($N67&lt;&gt;""," | "&amp;$N67,"")&amp;IF($O67&lt;&gt;""," | "&amp;$O67,"")&amp;IF($P67&lt;&gt;""," | "&amp;$P67,"")&amp;IF($B67&gt;10," | (+"&amp;($B67-10)&amp;" más)","")))</f>
      </c>
      <c r="G67" s="0">
        <f>IFERROR(INDEX(Registro!$M$2:$M$501,MATCH($A67&amp;"|"&amp;1,Registro!$AJ$2:$AJ$501,0)),"")</f>
      </c>
      <c r="H67" s="0">
        <f>IFERROR(INDEX(Registro!$M$2:$M$501,MATCH($A67&amp;"|"&amp;2,Registro!$AJ$2:$AJ$501,0)),"")</f>
      </c>
      <c r="I67" s="0">
        <f>IFERROR(INDEX(Registro!$M$2:$M$501,MATCH($A67&amp;"|"&amp;3,Registro!$AJ$2:$AJ$501,0)),"")</f>
      </c>
      <c r="J67" s="0">
        <f>IFERROR(INDEX(Registro!$M$2:$M$501,MATCH($A67&amp;"|"&amp;4,Registro!$AJ$2:$AJ$501,0)),"")</f>
      </c>
      <c r="K67" s="0">
        <f>IFERROR(INDEX(Registro!$M$2:$M$501,MATCH($A67&amp;"|"&amp;5,Registro!$AJ$2:$AJ$501,0)),"")</f>
      </c>
      <c r="L67" s="0">
        <f>IFERROR(INDEX(Registro!$M$2:$M$501,MATCH($A67&amp;"|"&amp;6,Registro!$AJ$2:$AJ$501,0)),"")</f>
      </c>
      <c r="M67" s="0">
        <f>IFERROR(INDEX(Registro!$M$2:$M$501,MATCH($A67&amp;"|"&amp;7,Registro!$AJ$2:$AJ$501,0)),"")</f>
      </c>
      <c r="N67" s="0">
        <f>IFERROR(INDEX(Registro!$M$2:$M$501,MATCH($A67&amp;"|"&amp;8,Registro!$AJ$2:$AJ$501,0)),"")</f>
      </c>
      <c r="O67" s="0">
        <f>IFERROR(INDEX(Registro!$M$2:$M$501,MATCH($A67&amp;"|"&amp;9,Registro!$AJ$2:$AJ$501,0)),"")</f>
      </c>
      <c r="P67" s="0">
        <f>IFERROR(INDEX(Registro!$M$2:$M$501,MATCH($A67&amp;"|"&amp;10,Registro!$AJ$2:$AJ$501,0)),"")</f>
      </c>
    </row>
    <row r="68" spans="1:16">
      <c r="A68" s="6">
        <f>IF(Docentes!$A$63="","",Docentes!$A$63)</f>
      </c>
      <c r="B68" s="5">
        <f>IF($A68="","",COUNTIFS(Registro!$K$2:$K$501,$A68,Registro!$Q$2:$Q$501,"Disponible"))</f>
      </c>
      <c r="C68" s="5">
        <f>IF($A68="","",COUNTIFS(Registro!$K$2:$K$501,$A68,Registro!$O$2:$O$501,"Sí"))</f>
      </c>
      <c r="D68" s="5">
        <f>IF($A68="","",$B68+$C68)</f>
      </c>
      <c r="E68" s="6">
        <f>IF($A68="","",IF($B68=0,"—",$G68&amp;IF($H68&lt;&gt;""," | "&amp;$H68,"")&amp;IF($I68&lt;&gt;""," | "&amp;$I68,"")&amp;IF($J68&lt;&gt;""," | "&amp;$J68,"")&amp;IF($K68&lt;&gt;""," | "&amp;$K68,"")&amp;IF($L68&lt;&gt;""," | "&amp;$L68,"")&amp;IF($M68&lt;&gt;""," | "&amp;$M68,"")&amp;IF($N68&lt;&gt;""," | "&amp;$N68,"")&amp;IF($O68&lt;&gt;""," | "&amp;$O68,"")&amp;IF($P68&lt;&gt;""," | "&amp;$P68,"")&amp;IF($B68&gt;10," | (+"&amp;($B68-10)&amp;" más)","")))</f>
      </c>
      <c r="G68" s="0">
        <f>IFERROR(INDEX(Registro!$M$2:$M$501,MATCH($A68&amp;"|"&amp;1,Registro!$AJ$2:$AJ$501,0)),"")</f>
      </c>
      <c r="H68" s="0">
        <f>IFERROR(INDEX(Registro!$M$2:$M$501,MATCH($A68&amp;"|"&amp;2,Registro!$AJ$2:$AJ$501,0)),"")</f>
      </c>
      <c r="I68" s="0">
        <f>IFERROR(INDEX(Registro!$M$2:$M$501,MATCH($A68&amp;"|"&amp;3,Registro!$AJ$2:$AJ$501,0)),"")</f>
      </c>
      <c r="J68" s="0">
        <f>IFERROR(INDEX(Registro!$M$2:$M$501,MATCH($A68&amp;"|"&amp;4,Registro!$AJ$2:$AJ$501,0)),"")</f>
      </c>
      <c r="K68" s="0">
        <f>IFERROR(INDEX(Registro!$M$2:$M$501,MATCH($A68&amp;"|"&amp;5,Registro!$AJ$2:$AJ$501,0)),"")</f>
      </c>
      <c r="L68" s="0">
        <f>IFERROR(INDEX(Registro!$M$2:$M$501,MATCH($A68&amp;"|"&amp;6,Registro!$AJ$2:$AJ$501,0)),"")</f>
      </c>
      <c r="M68" s="0">
        <f>IFERROR(INDEX(Registro!$M$2:$M$501,MATCH($A68&amp;"|"&amp;7,Registro!$AJ$2:$AJ$501,0)),"")</f>
      </c>
      <c r="N68" s="0">
        <f>IFERROR(INDEX(Registro!$M$2:$M$501,MATCH($A68&amp;"|"&amp;8,Registro!$AJ$2:$AJ$501,0)),"")</f>
      </c>
      <c r="O68" s="0">
        <f>IFERROR(INDEX(Registro!$M$2:$M$501,MATCH($A68&amp;"|"&amp;9,Registro!$AJ$2:$AJ$501,0)),"")</f>
      </c>
      <c r="P68" s="0">
        <f>IFERROR(INDEX(Registro!$M$2:$M$501,MATCH($A68&amp;"|"&amp;10,Registro!$AJ$2:$AJ$501,0)),"")</f>
      </c>
    </row>
    <row r="69" spans="1:16">
      <c r="A69" s="6">
        <f>IF(Docentes!$A$64="","",Docentes!$A$64)</f>
      </c>
      <c r="B69" s="5">
        <f>IF($A69="","",COUNTIFS(Registro!$K$2:$K$501,$A69,Registro!$Q$2:$Q$501,"Disponible"))</f>
      </c>
      <c r="C69" s="5">
        <f>IF($A69="","",COUNTIFS(Registro!$K$2:$K$501,$A69,Registro!$O$2:$O$501,"Sí"))</f>
      </c>
      <c r="D69" s="5">
        <f>IF($A69="","",$B69+$C69)</f>
      </c>
      <c r="E69" s="6">
        <f>IF($A69="","",IF($B69=0,"—",$G69&amp;IF($H69&lt;&gt;""," | "&amp;$H69,"")&amp;IF($I69&lt;&gt;""," | "&amp;$I69,"")&amp;IF($J69&lt;&gt;""," | "&amp;$J69,"")&amp;IF($K69&lt;&gt;""," | "&amp;$K69,"")&amp;IF($L69&lt;&gt;""," | "&amp;$L69,"")&amp;IF($M69&lt;&gt;""," | "&amp;$M69,"")&amp;IF($N69&lt;&gt;""," | "&amp;$N69,"")&amp;IF($O69&lt;&gt;""," | "&amp;$O69,"")&amp;IF($P69&lt;&gt;""," | "&amp;$P69,"")&amp;IF($B69&gt;10," | (+"&amp;($B69-10)&amp;" más)","")))</f>
      </c>
      <c r="G69" s="0">
        <f>IFERROR(INDEX(Registro!$M$2:$M$501,MATCH($A69&amp;"|"&amp;1,Registro!$AJ$2:$AJ$501,0)),"")</f>
      </c>
      <c r="H69" s="0">
        <f>IFERROR(INDEX(Registro!$M$2:$M$501,MATCH($A69&amp;"|"&amp;2,Registro!$AJ$2:$AJ$501,0)),"")</f>
      </c>
      <c r="I69" s="0">
        <f>IFERROR(INDEX(Registro!$M$2:$M$501,MATCH($A69&amp;"|"&amp;3,Registro!$AJ$2:$AJ$501,0)),"")</f>
      </c>
      <c r="J69" s="0">
        <f>IFERROR(INDEX(Registro!$M$2:$M$501,MATCH($A69&amp;"|"&amp;4,Registro!$AJ$2:$AJ$501,0)),"")</f>
      </c>
      <c r="K69" s="0">
        <f>IFERROR(INDEX(Registro!$M$2:$M$501,MATCH($A69&amp;"|"&amp;5,Registro!$AJ$2:$AJ$501,0)),"")</f>
      </c>
      <c r="L69" s="0">
        <f>IFERROR(INDEX(Registro!$M$2:$M$501,MATCH($A69&amp;"|"&amp;6,Registro!$AJ$2:$AJ$501,0)),"")</f>
      </c>
      <c r="M69" s="0">
        <f>IFERROR(INDEX(Registro!$M$2:$M$501,MATCH($A69&amp;"|"&amp;7,Registro!$AJ$2:$AJ$501,0)),"")</f>
      </c>
      <c r="N69" s="0">
        <f>IFERROR(INDEX(Registro!$M$2:$M$501,MATCH($A69&amp;"|"&amp;8,Registro!$AJ$2:$AJ$501,0)),"")</f>
      </c>
      <c r="O69" s="0">
        <f>IFERROR(INDEX(Registro!$M$2:$M$501,MATCH($A69&amp;"|"&amp;9,Registro!$AJ$2:$AJ$501,0)),"")</f>
      </c>
      <c r="P69" s="0">
        <f>IFERROR(INDEX(Registro!$M$2:$M$501,MATCH($A69&amp;"|"&amp;10,Registro!$AJ$2:$AJ$501,0)),"")</f>
      </c>
    </row>
    <row r="70" spans="1:16">
      <c r="A70" s="6">
        <f>IF(Docentes!$A$65="","",Docentes!$A$65)</f>
      </c>
      <c r="B70" s="5">
        <f>IF($A70="","",COUNTIFS(Registro!$K$2:$K$501,$A70,Registro!$Q$2:$Q$501,"Disponible"))</f>
      </c>
      <c r="C70" s="5">
        <f>IF($A70="","",COUNTIFS(Registro!$K$2:$K$501,$A70,Registro!$O$2:$O$501,"Sí"))</f>
      </c>
      <c r="D70" s="5">
        <f>IF($A70="","",$B70+$C70)</f>
      </c>
      <c r="E70" s="6">
        <f>IF($A70="","",IF($B70=0,"—",$G70&amp;IF($H70&lt;&gt;""," | "&amp;$H70,"")&amp;IF($I70&lt;&gt;""," | "&amp;$I70,"")&amp;IF($J70&lt;&gt;""," | "&amp;$J70,"")&amp;IF($K70&lt;&gt;""," | "&amp;$K70,"")&amp;IF($L70&lt;&gt;""," | "&amp;$L70,"")&amp;IF($M70&lt;&gt;""," | "&amp;$M70,"")&amp;IF($N70&lt;&gt;""," | "&amp;$N70,"")&amp;IF($O70&lt;&gt;""," | "&amp;$O70,"")&amp;IF($P70&lt;&gt;""," | "&amp;$P70,"")&amp;IF($B70&gt;10," | (+"&amp;($B70-10)&amp;" más)","")))</f>
      </c>
      <c r="G70" s="0">
        <f>IFERROR(INDEX(Registro!$M$2:$M$501,MATCH($A70&amp;"|"&amp;1,Registro!$AJ$2:$AJ$501,0)),"")</f>
      </c>
      <c r="H70" s="0">
        <f>IFERROR(INDEX(Registro!$M$2:$M$501,MATCH($A70&amp;"|"&amp;2,Registro!$AJ$2:$AJ$501,0)),"")</f>
      </c>
      <c r="I70" s="0">
        <f>IFERROR(INDEX(Registro!$M$2:$M$501,MATCH($A70&amp;"|"&amp;3,Registro!$AJ$2:$AJ$501,0)),"")</f>
      </c>
      <c r="J70" s="0">
        <f>IFERROR(INDEX(Registro!$M$2:$M$501,MATCH($A70&amp;"|"&amp;4,Registro!$AJ$2:$AJ$501,0)),"")</f>
      </c>
      <c r="K70" s="0">
        <f>IFERROR(INDEX(Registro!$M$2:$M$501,MATCH($A70&amp;"|"&amp;5,Registro!$AJ$2:$AJ$501,0)),"")</f>
      </c>
      <c r="L70" s="0">
        <f>IFERROR(INDEX(Registro!$M$2:$M$501,MATCH($A70&amp;"|"&amp;6,Registro!$AJ$2:$AJ$501,0)),"")</f>
      </c>
      <c r="M70" s="0">
        <f>IFERROR(INDEX(Registro!$M$2:$M$501,MATCH($A70&amp;"|"&amp;7,Registro!$AJ$2:$AJ$501,0)),"")</f>
      </c>
      <c r="N70" s="0">
        <f>IFERROR(INDEX(Registro!$M$2:$M$501,MATCH($A70&amp;"|"&amp;8,Registro!$AJ$2:$AJ$501,0)),"")</f>
      </c>
      <c r="O70" s="0">
        <f>IFERROR(INDEX(Registro!$M$2:$M$501,MATCH($A70&amp;"|"&amp;9,Registro!$AJ$2:$AJ$501,0)),"")</f>
      </c>
      <c r="P70" s="0">
        <f>IFERROR(INDEX(Registro!$M$2:$M$501,MATCH($A70&amp;"|"&amp;10,Registro!$AJ$2:$AJ$501,0)),"")</f>
      </c>
    </row>
    <row r="71" spans="1:16">
      <c r="A71" s="6">
        <f>IF(Docentes!$A$66="","",Docentes!$A$66)</f>
      </c>
      <c r="B71" s="5">
        <f>IF($A71="","",COUNTIFS(Registro!$K$2:$K$501,$A71,Registro!$Q$2:$Q$501,"Disponible"))</f>
      </c>
      <c r="C71" s="5">
        <f>IF($A71="","",COUNTIFS(Registro!$K$2:$K$501,$A71,Registro!$O$2:$O$501,"Sí"))</f>
      </c>
      <c r="D71" s="5">
        <f>IF($A71="","",$B71+$C71)</f>
      </c>
      <c r="E71" s="6">
        <f>IF($A71="","",IF($B71=0,"—",$G71&amp;IF($H71&lt;&gt;""," | "&amp;$H71,"")&amp;IF($I71&lt;&gt;""," | "&amp;$I71,"")&amp;IF($J71&lt;&gt;""," | "&amp;$J71,"")&amp;IF($K71&lt;&gt;""," | "&amp;$K71,"")&amp;IF($L71&lt;&gt;""," | "&amp;$L71,"")&amp;IF($M71&lt;&gt;""," | "&amp;$M71,"")&amp;IF($N71&lt;&gt;""," | "&amp;$N71,"")&amp;IF($O71&lt;&gt;""," | "&amp;$O71,"")&amp;IF($P71&lt;&gt;""," | "&amp;$P71,"")&amp;IF($B71&gt;10," | (+"&amp;($B71-10)&amp;" más)","")))</f>
      </c>
      <c r="G71" s="0">
        <f>IFERROR(INDEX(Registro!$M$2:$M$501,MATCH($A71&amp;"|"&amp;1,Registro!$AJ$2:$AJ$501,0)),"")</f>
      </c>
      <c r="H71" s="0">
        <f>IFERROR(INDEX(Registro!$M$2:$M$501,MATCH($A71&amp;"|"&amp;2,Registro!$AJ$2:$AJ$501,0)),"")</f>
      </c>
      <c r="I71" s="0">
        <f>IFERROR(INDEX(Registro!$M$2:$M$501,MATCH($A71&amp;"|"&amp;3,Registro!$AJ$2:$AJ$501,0)),"")</f>
      </c>
      <c r="J71" s="0">
        <f>IFERROR(INDEX(Registro!$M$2:$M$501,MATCH($A71&amp;"|"&amp;4,Registro!$AJ$2:$AJ$501,0)),"")</f>
      </c>
      <c r="K71" s="0">
        <f>IFERROR(INDEX(Registro!$M$2:$M$501,MATCH($A71&amp;"|"&amp;5,Registro!$AJ$2:$AJ$501,0)),"")</f>
      </c>
      <c r="L71" s="0">
        <f>IFERROR(INDEX(Registro!$M$2:$M$501,MATCH($A71&amp;"|"&amp;6,Registro!$AJ$2:$AJ$501,0)),"")</f>
      </c>
      <c r="M71" s="0">
        <f>IFERROR(INDEX(Registro!$M$2:$M$501,MATCH($A71&amp;"|"&amp;7,Registro!$AJ$2:$AJ$501,0)),"")</f>
      </c>
      <c r="N71" s="0">
        <f>IFERROR(INDEX(Registro!$M$2:$M$501,MATCH($A71&amp;"|"&amp;8,Registro!$AJ$2:$AJ$501,0)),"")</f>
      </c>
      <c r="O71" s="0">
        <f>IFERROR(INDEX(Registro!$M$2:$M$501,MATCH($A71&amp;"|"&amp;9,Registro!$AJ$2:$AJ$501,0)),"")</f>
      </c>
      <c r="P71" s="0">
        <f>IFERROR(INDEX(Registro!$M$2:$M$501,MATCH($A71&amp;"|"&amp;10,Registro!$AJ$2:$AJ$501,0)),"")</f>
      </c>
    </row>
    <row r="72" spans="1:16">
      <c r="A72" s="6">
        <f>IF(Docentes!$A$67="","",Docentes!$A$67)</f>
      </c>
      <c r="B72" s="5">
        <f>IF($A72="","",COUNTIFS(Registro!$K$2:$K$501,$A72,Registro!$Q$2:$Q$501,"Disponible"))</f>
      </c>
      <c r="C72" s="5">
        <f>IF($A72="","",COUNTIFS(Registro!$K$2:$K$501,$A72,Registro!$O$2:$O$501,"Sí"))</f>
      </c>
      <c r="D72" s="5">
        <f>IF($A72="","",$B72+$C72)</f>
      </c>
      <c r="E72" s="6">
        <f>IF($A72="","",IF($B72=0,"—",$G72&amp;IF($H72&lt;&gt;""," | "&amp;$H72,"")&amp;IF($I72&lt;&gt;""," | "&amp;$I72,"")&amp;IF($J72&lt;&gt;""," | "&amp;$J72,"")&amp;IF($K72&lt;&gt;""," | "&amp;$K72,"")&amp;IF($L72&lt;&gt;""," | "&amp;$L72,"")&amp;IF($M72&lt;&gt;""," | "&amp;$M72,"")&amp;IF($N72&lt;&gt;""," | "&amp;$N72,"")&amp;IF($O72&lt;&gt;""," | "&amp;$O72,"")&amp;IF($P72&lt;&gt;""," | "&amp;$P72,"")&amp;IF($B72&gt;10," | (+"&amp;($B72-10)&amp;" más)","")))</f>
      </c>
      <c r="G72" s="0">
        <f>IFERROR(INDEX(Registro!$M$2:$M$501,MATCH($A72&amp;"|"&amp;1,Registro!$AJ$2:$AJ$501,0)),"")</f>
      </c>
      <c r="H72" s="0">
        <f>IFERROR(INDEX(Registro!$M$2:$M$501,MATCH($A72&amp;"|"&amp;2,Registro!$AJ$2:$AJ$501,0)),"")</f>
      </c>
      <c r="I72" s="0">
        <f>IFERROR(INDEX(Registro!$M$2:$M$501,MATCH($A72&amp;"|"&amp;3,Registro!$AJ$2:$AJ$501,0)),"")</f>
      </c>
      <c r="J72" s="0">
        <f>IFERROR(INDEX(Registro!$M$2:$M$501,MATCH($A72&amp;"|"&amp;4,Registro!$AJ$2:$AJ$501,0)),"")</f>
      </c>
      <c r="K72" s="0">
        <f>IFERROR(INDEX(Registro!$M$2:$M$501,MATCH($A72&amp;"|"&amp;5,Registro!$AJ$2:$AJ$501,0)),"")</f>
      </c>
      <c r="L72" s="0">
        <f>IFERROR(INDEX(Registro!$M$2:$M$501,MATCH($A72&amp;"|"&amp;6,Registro!$AJ$2:$AJ$501,0)),"")</f>
      </c>
      <c r="M72" s="0">
        <f>IFERROR(INDEX(Registro!$M$2:$M$501,MATCH($A72&amp;"|"&amp;7,Registro!$AJ$2:$AJ$501,0)),"")</f>
      </c>
      <c r="N72" s="0">
        <f>IFERROR(INDEX(Registro!$M$2:$M$501,MATCH($A72&amp;"|"&amp;8,Registro!$AJ$2:$AJ$501,0)),"")</f>
      </c>
      <c r="O72" s="0">
        <f>IFERROR(INDEX(Registro!$M$2:$M$501,MATCH($A72&amp;"|"&amp;9,Registro!$AJ$2:$AJ$501,0)),"")</f>
      </c>
      <c r="P72" s="0">
        <f>IFERROR(INDEX(Registro!$M$2:$M$501,MATCH($A72&amp;"|"&amp;10,Registro!$AJ$2:$AJ$501,0)),"")</f>
      </c>
    </row>
    <row r="73" spans="1:16">
      <c r="A73" s="6">
        <f>IF(Docentes!$A$68="","",Docentes!$A$68)</f>
      </c>
      <c r="B73" s="5">
        <f>IF($A73="","",COUNTIFS(Registro!$K$2:$K$501,$A73,Registro!$Q$2:$Q$501,"Disponible"))</f>
      </c>
      <c r="C73" s="5">
        <f>IF($A73="","",COUNTIFS(Registro!$K$2:$K$501,$A73,Registro!$O$2:$O$501,"Sí"))</f>
      </c>
      <c r="D73" s="5">
        <f>IF($A73="","",$B73+$C73)</f>
      </c>
      <c r="E73" s="6">
        <f>IF($A73="","",IF($B73=0,"—",$G73&amp;IF($H73&lt;&gt;""," | "&amp;$H73,"")&amp;IF($I73&lt;&gt;""," | "&amp;$I73,"")&amp;IF($J73&lt;&gt;""," | "&amp;$J73,"")&amp;IF($K73&lt;&gt;""," | "&amp;$K73,"")&amp;IF($L73&lt;&gt;""," | "&amp;$L73,"")&amp;IF($M73&lt;&gt;""," | "&amp;$M73,"")&amp;IF($N73&lt;&gt;""," | "&amp;$N73,"")&amp;IF($O73&lt;&gt;""," | "&amp;$O73,"")&amp;IF($P73&lt;&gt;""," | "&amp;$P73,"")&amp;IF($B73&gt;10," | (+"&amp;($B73-10)&amp;" más)","")))</f>
      </c>
      <c r="G73" s="0">
        <f>IFERROR(INDEX(Registro!$M$2:$M$501,MATCH($A73&amp;"|"&amp;1,Registro!$AJ$2:$AJ$501,0)),"")</f>
      </c>
      <c r="H73" s="0">
        <f>IFERROR(INDEX(Registro!$M$2:$M$501,MATCH($A73&amp;"|"&amp;2,Registro!$AJ$2:$AJ$501,0)),"")</f>
      </c>
      <c r="I73" s="0">
        <f>IFERROR(INDEX(Registro!$M$2:$M$501,MATCH($A73&amp;"|"&amp;3,Registro!$AJ$2:$AJ$501,0)),"")</f>
      </c>
      <c r="J73" s="0">
        <f>IFERROR(INDEX(Registro!$M$2:$M$501,MATCH($A73&amp;"|"&amp;4,Registro!$AJ$2:$AJ$501,0)),"")</f>
      </c>
      <c r="K73" s="0">
        <f>IFERROR(INDEX(Registro!$M$2:$M$501,MATCH($A73&amp;"|"&amp;5,Registro!$AJ$2:$AJ$501,0)),"")</f>
      </c>
      <c r="L73" s="0">
        <f>IFERROR(INDEX(Registro!$M$2:$M$501,MATCH($A73&amp;"|"&amp;6,Registro!$AJ$2:$AJ$501,0)),"")</f>
      </c>
      <c r="M73" s="0">
        <f>IFERROR(INDEX(Registro!$M$2:$M$501,MATCH($A73&amp;"|"&amp;7,Registro!$AJ$2:$AJ$501,0)),"")</f>
      </c>
      <c r="N73" s="0">
        <f>IFERROR(INDEX(Registro!$M$2:$M$501,MATCH($A73&amp;"|"&amp;8,Registro!$AJ$2:$AJ$501,0)),"")</f>
      </c>
      <c r="O73" s="0">
        <f>IFERROR(INDEX(Registro!$M$2:$M$501,MATCH($A73&amp;"|"&amp;9,Registro!$AJ$2:$AJ$501,0)),"")</f>
      </c>
      <c r="P73" s="0">
        <f>IFERROR(INDEX(Registro!$M$2:$M$501,MATCH($A73&amp;"|"&amp;10,Registro!$AJ$2:$AJ$501,0)),"")</f>
      </c>
    </row>
    <row r="74" spans="1:16">
      <c r="A74" s="6">
        <f>IF(Docentes!$A$69="","",Docentes!$A$69)</f>
      </c>
      <c r="B74" s="5">
        <f>IF($A74="","",COUNTIFS(Registro!$K$2:$K$501,$A74,Registro!$Q$2:$Q$501,"Disponible"))</f>
      </c>
      <c r="C74" s="5">
        <f>IF($A74="","",COUNTIFS(Registro!$K$2:$K$501,$A74,Registro!$O$2:$O$501,"Sí"))</f>
      </c>
      <c r="D74" s="5">
        <f>IF($A74="","",$B74+$C74)</f>
      </c>
      <c r="E74" s="6">
        <f>IF($A74="","",IF($B74=0,"—",$G74&amp;IF($H74&lt;&gt;""," | "&amp;$H74,"")&amp;IF($I74&lt;&gt;""," | "&amp;$I74,"")&amp;IF($J74&lt;&gt;""," | "&amp;$J74,"")&amp;IF($K74&lt;&gt;""," | "&amp;$K74,"")&amp;IF($L74&lt;&gt;""," | "&amp;$L74,"")&amp;IF($M74&lt;&gt;""," | "&amp;$M74,"")&amp;IF($N74&lt;&gt;""," | "&amp;$N74,"")&amp;IF($O74&lt;&gt;""," | "&amp;$O74,"")&amp;IF($P74&lt;&gt;""," | "&amp;$P74,"")&amp;IF($B74&gt;10," | (+"&amp;($B74-10)&amp;" más)","")))</f>
      </c>
      <c r="G74" s="0">
        <f>IFERROR(INDEX(Registro!$M$2:$M$501,MATCH($A74&amp;"|"&amp;1,Registro!$AJ$2:$AJ$501,0)),"")</f>
      </c>
      <c r="H74" s="0">
        <f>IFERROR(INDEX(Registro!$M$2:$M$501,MATCH($A74&amp;"|"&amp;2,Registro!$AJ$2:$AJ$501,0)),"")</f>
      </c>
      <c r="I74" s="0">
        <f>IFERROR(INDEX(Registro!$M$2:$M$501,MATCH($A74&amp;"|"&amp;3,Registro!$AJ$2:$AJ$501,0)),"")</f>
      </c>
      <c r="J74" s="0">
        <f>IFERROR(INDEX(Registro!$M$2:$M$501,MATCH($A74&amp;"|"&amp;4,Registro!$AJ$2:$AJ$501,0)),"")</f>
      </c>
      <c r="K74" s="0">
        <f>IFERROR(INDEX(Registro!$M$2:$M$501,MATCH($A74&amp;"|"&amp;5,Registro!$AJ$2:$AJ$501,0)),"")</f>
      </c>
      <c r="L74" s="0">
        <f>IFERROR(INDEX(Registro!$M$2:$M$501,MATCH($A74&amp;"|"&amp;6,Registro!$AJ$2:$AJ$501,0)),"")</f>
      </c>
      <c r="M74" s="0">
        <f>IFERROR(INDEX(Registro!$M$2:$M$501,MATCH($A74&amp;"|"&amp;7,Registro!$AJ$2:$AJ$501,0)),"")</f>
      </c>
      <c r="N74" s="0">
        <f>IFERROR(INDEX(Registro!$M$2:$M$501,MATCH($A74&amp;"|"&amp;8,Registro!$AJ$2:$AJ$501,0)),"")</f>
      </c>
      <c r="O74" s="0">
        <f>IFERROR(INDEX(Registro!$M$2:$M$501,MATCH($A74&amp;"|"&amp;9,Registro!$AJ$2:$AJ$501,0)),"")</f>
      </c>
      <c r="P74" s="0">
        <f>IFERROR(INDEX(Registro!$M$2:$M$501,MATCH($A74&amp;"|"&amp;10,Registro!$AJ$2:$AJ$501,0)),"")</f>
      </c>
    </row>
    <row r="75" spans="1:16">
      <c r="A75" s="6">
        <f>IF(Docentes!$A$70="","",Docentes!$A$70)</f>
      </c>
      <c r="B75" s="5">
        <f>IF($A75="","",COUNTIFS(Registro!$K$2:$K$501,$A75,Registro!$Q$2:$Q$501,"Disponible"))</f>
      </c>
      <c r="C75" s="5">
        <f>IF($A75="","",COUNTIFS(Registro!$K$2:$K$501,$A75,Registro!$O$2:$O$501,"Sí"))</f>
      </c>
      <c r="D75" s="5">
        <f>IF($A75="","",$B75+$C75)</f>
      </c>
      <c r="E75" s="6">
        <f>IF($A75="","",IF($B75=0,"—",$G75&amp;IF($H75&lt;&gt;""," | "&amp;$H75,"")&amp;IF($I75&lt;&gt;""," | "&amp;$I75,"")&amp;IF($J75&lt;&gt;""," | "&amp;$J75,"")&amp;IF($K75&lt;&gt;""," | "&amp;$K75,"")&amp;IF($L75&lt;&gt;""," | "&amp;$L75,"")&amp;IF($M75&lt;&gt;""," | "&amp;$M75,"")&amp;IF($N75&lt;&gt;""," | "&amp;$N75,"")&amp;IF($O75&lt;&gt;""," | "&amp;$O75,"")&amp;IF($P75&lt;&gt;""," | "&amp;$P75,"")&amp;IF($B75&gt;10," | (+"&amp;($B75-10)&amp;" más)","")))</f>
      </c>
      <c r="G75" s="0">
        <f>IFERROR(INDEX(Registro!$M$2:$M$501,MATCH($A75&amp;"|"&amp;1,Registro!$AJ$2:$AJ$501,0)),"")</f>
      </c>
      <c r="H75" s="0">
        <f>IFERROR(INDEX(Registro!$M$2:$M$501,MATCH($A75&amp;"|"&amp;2,Registro!$AJ$2:$AJ$501,0)),"")</f>
      </c>
      <c r="I75" s="0">
        <f>IFERROR(INDEX(Registro!$M$2:$M$501,MATCH($A75&amp;"|"&amp;3,Registro!$AJ$2:$AJ$501,0)),"")</f>
      </c>
      <c r="J75" s="0">
        <f>IFERROR(INDEX(Registro!$M$2:$M$501,MATCH($A75&amp;"|"&amp;4,Registro!$AJ$2:$AJ$501,0)),"")</f>
      </c>
      <c r="K75" s="0">
        <f>IFERROR(INDEX(Registro!$M$2:$M$501,MATCH($A75&amp;"|"&amp;5,Registro!$AJ$2:$AJ$501,0)),"")</f>
      </c>
      <c r="L75" s="0">
        <f>IFERROR(INDEX(Registro!$M$2:$M$501,MATCH($A75&amp;"|"&amp;6,Registro!$AJ$2:$AJ$501,0)),"")</f>
      </c>
      <c r="M75" s="0">
        <f>IFERROR(INDEX(Registro!$M$2:$M$501,MATCH($A75&amp;"|"&amp;7,Registro!$AJ$2:$AJ$501,0)),"")</f>
      </c>
      <c r="N75" s="0">
        <f>IFERROR(INDEX(Registro!$M$2:$M$501,MATCH($A75&amp;"|"&amp;8,Registro!$AJ$2:$AJ$501,0)),"")</f>
      </c>
      <c r="O75" s="0">
        <f>IFERROR(INDEX(Registro!$M$2:$M$501,MATCH($A75&amp;"|"&amp;9,Registro!$AJ$2:$AJ$501,0)),"")</f>
      </c>
      <c r="P75" s="0">
        <f>IFERROR(INDEX(Registro!$M$2:$M$501,MATCH($A75&amp;"|"&amp;10,Registro!$AJ$2:$AJ$501,0)),"")</f>
      </c>
    </row>
    <row r="76" spans="1:16">
      <c r="A76" s="6">
        <f>IF(Docentes!$A$71="","",Docentes!$A$71)</f>
      </c>
      <c r="B76" s="5">
        <f>IF($A76="","",COUNTIFS(Registro!$K$2:$K$501,$A76,Registro!$Q$2:$Q$501,"Disponible"))</f>
      </c>
      <c r="C76" s="5">
        <f>IF($A76="","",COUNTIFS(Registro!$K$2:$K$501,$A76,Registro!$O$2:$O$501,"Sí"))</f>
      </c>
      <c r="D76" s="5">
        <f>IF($A76="","",$B76+$C76)</f>
      </c>
      <c r="E76" s="6">
        <f>IF($A76="","",IF($B76=0,"—",$G76&amp;IF($H76&lt;&gt;""," | "&amp;$H76,"")&amp;IF($I76&lt;&gt;""," | "&amp;$I76,"")&amp;IF($J76&lt;&gt;""," | "&amp;$J76,"")&amp;IF($K76&lt;&gt;""," | "&amp;$K76,"")&amp;IF($L76&lt;&gt;""," | "&amp;$L76,"")&amp;IF($M76&lt;&gt;""," | "&amp;$M76,"")&amp;IF($N76&lt;&gt;""," | "&amp;$N76,"")&amp;IF($O76&lt;&gt;""," | "&amp;$O76,"")&amp;IF($P76&lt;&gt;""," | "&amp;$P76,"")&amp;IF($B76&gt;10," | (+"&amp;($B76-10)&amp;" más)","")))</f>
      </c>
      <c r="G76" s="0">
        <f>IFERROR(INDEX(Registro!$M$2:$M$501,MATCH($A76&amp;"|"&amp;1,Registro!$AJ$2:$AJ$501,0)),"")</f>
      </c>
      <c r="H76" s="0">
        <f>IFERROR(INDEX(Registro!$M$2:$M$501,MATCH($A76&amp;"|"&amp;2,Registro!$AJ$2:$AJ$501,0)),"")</f>
      </c>
      <c r="I76" s="0">
        <f>IFERROR(INDEX(Registro!$M$2:$M$501,MATCH($A76&amp;"|"&amp;3,Registro!$AJ$2:$AJ$501,0)),"")</f>
      </c>
      <c r="J76" s="0">
        <f>IFERROR(INDEX(Registro!$M$2:$M$501,MATCH($A76&amp;"|"&amp;4,Registro!$AJ$2:$AJ$501,0)),"")</f>
      </c>
      <c r="K76" s="0">
        <f>IFERROR(INDEX(Registro!$M$2:$M$501,MATCH($A76&amp;"|"&amp;5,Registro!$AJ$2:$AJ$501,0)),"")</f>
      </c>
      <c r="L76" s="0">
        <f>IFERROR(INDEX(Registro!$M$2:$M$501,MATCH($A76&amp;"|"&amp;6,Registro!$AJ$2:$AJ$501,0)),"")</f>
      </c>
      <c r="M76" s="0">
        <f>IFERROR(INDEX(Registro!$M$2:$M$501,MATCH($A76&amp;"|"&amp;7,Registro!$AJ$2:$AJ$501,0)),"")</f>
      </c>
      <c r="N76" s="0">
        <f>IFERROR(INDEX(Registro!$M$2:$M$501,MATCH($A76&amp;"|"&amp;8,Registro!$AJ$2:$AJ$501,0)),"")</f>
      </c>
      <c r="O76" s="0">
        <f>IFERROR(INDEX(Registro!$M$2:$M$501,MATCH($A76&amp;"|"&amp;9,Registro!$AJ$2:$AJ$501,0)),"")</f>
      </c>
      <c r="P76" s="0">
        <f>IFERROR(INDEX(Registro!$M$2:$M$501,MATCH($A76&amp;"|"&amp;10,Registro!$AJ$2:$AJ$501,0)),"")</f>
      </c>
    </row>
    <row r="77" spans="1:16">
      <c r="A77" s="6">
        <f>IF(Docentes!$A$72="","",Docentes!$A$72)</f>
      </c>
      <c r="B77" s="5">
        <f>IF($A77="","",COUNTIFS(Registro!$K$2:$K$501,$A77,Registro!$Q$2:$Q$501,"Disponible"))</f>
      </c>
      <c r="C77" s="5">
        <f>IF($A77="","",COUNTIFS(Registro!$K$2:$K$501,$A77,Registro!$O$2:$O$501,"Sí"))</f>
      </c>
      <c r="D77" s="5">
        <f>IF($A77="","",$B77+$C77)</f>
      </c>
      <c r="E77" s="6">
        <f>IF($A77="","",IF($B77=0,"—",$G77&amp;IF($H77&lt;&gt;""," | "&amp;$H77,"")&amp;IF($I77&lt;&gt;""," | "&amp;$I77,"")&amp;IF($J77&lt;&gt;""," | "&amp;$J77,"")&amp;IF($K77&lt;&gt;""," | "&amp;$K77,"")&amp;IF($L77&lt;&gt;""," | "&amp;$L77,"")&amp;IF($M77&lt;&gt;""," | "&amp;$M77,"")&amp;IF($N77&lt;&gt;""," | "&amp;$N77,"")&amp;IF($O77&lt;&gt;""," | "&amp;$O77,"")&amp;IF($P77&lt;&gt;""," | "&amp;$P77,"")&amp;IF($B77&gt;10," | (+"&amp;($B77-10)&amp;" más)","")))</f>
      </c>
      <c r="G77" s="0">
        <f>IFERROR(INDEX(Registro!$M$2:$M$501,MATCH($A77&amp;"|"&amp;1,Registro!$AJ$2:$AJ$501,0)),"")</f>
      </c>
      <c r="H77" s="0">
        <f>IFERROR(INDEX(Registro!$M$2:$M$501,MATCH($A77&amp;"|"&amp;2,Registro!$AJ$2:$AJ$501,0)),"")</f>
      </c>
      <c r="I77" s="0">
        <f>IFERROR(INDEX(Registro!$M$2:$M$501,MATCH($A77&amp;"|"&amp;3,Registro!$AJ$2:$AJ$501,0)),"")</f>
      </c>
      <c r="J77" s="0">
        <f>IFERROR(INDEX(Registro!$M$2:$M$501,MATCH($A77&amp;"|"&amp;4,Registro!$AJ$2:$AJ$501,0)),"")</f>
      </c>
      <c r="K77" s="0">
        <f>IFERROR(INDEX(Registro!$M$2:$M$501,MATCH($A77&amp;"|"&amp;5,Registro!$AJ$2:$AJ$501,0)),"")</f>
      </c>
      <c r="L77" s="0">
        <f>IFERROR(INDEX(Registro!$M$2:$M$501,MATCH($A77&amp;"|"&amp;6,Registro!$AJ$2:$AJ$501,0)),"")</f>
      </c>
      <c r="M77" s="0">
        <f>IFERROR(INDEX(Registro!$M$2:$M$501,MATCH($A77&amp;"|"&amp;7,Registro!$AJ$2:$AJ$501,0)),"")</f>
      </c>
      <c r="N77" s="0">
        <f>IFERROR(INDEX(Registro!$M$2:$M$501,MATCH($A77&amp;"|"&amp;8,Registro!$AJ$2:$AJ$501,0)),"")</f>
      </c>
      <c r="O77" s="0">
        <f>IFERROR(INDEX(Registro!$M$2:$M$501,MATCH($A77&amp;"|"&amp;9,Registro!$AJ$2:$AJ$501,0)),"")</f>
      </c>
      <c r="P77" s="0">
        <f>IFERROR(INDEX(Registro!$M$2:$M$501,MATCH($A77&amp;"|"&amp;10,Registro!$AJ$2:$AJ$501,0)),"")</f>
      </c>
    </row>
    <row r="78" spans="1:16">
      <c r="A78" s="6">
        <f>IF(Docentes!$A$73="","",Docentes!$A$73)</f>
      </c>
      <c r="B78" s="5">
        <f>IF($A78="","",COUNTIFS(Registro!$K$2:$K$501,$A78,Registro!$Q$2:$Q$501,"Disponible"))</f>
      </c>
      <c r="C78" s="5">
        <f>IF($A78="","",COUNTIFS(Registro!$K$2:$K$501,$A78,Registro!$O$2:$O$501,"Sí"))</f>
      </c>
      <c r="D78" s="5">
        <f>IF($A78="","",$B78+$C78)</f>
      </c>
      <c r="E78" s="6">
        <f>IF($A78="","",IF($B78=0,"—",$G78&amp;IF($H78&lt;&gt;""," | "&amp;$H78,"")&amp;IF($I78&lt;&gt;""," | "&amp;$I78,"")&amp;IF($J78&lt;&gt;""," | "&amp;$J78,"")&amp;IF($K78&lt;&gt;""," | "&amp;$K78,"")&amp;IF($L78&lt;&gt;""," | "&amp;$L78,"")&amp;IF($M78&lt;&gt;""," | "&amp;$M78,"")&amp;IF($N78&lt;&gt;""," | "&amp;$N78,"")&amp;IF($O78&lt;&gt;""," | "&amp;$O78,"")&amp;IF($P78&lt;&gt;""," | "&amp;$P78,"")&amp;IF($B78&gt;10," | (+"&amp;($B78-10)&amp;" más)","")))</f>
      </c>
      <c r="G78" s="0">
        <f>IFERROR(INDEX(Registro!$M$2:$M$501,MATCH($A78&amp;"|"&amp;1,Registro!$AJ$2:$AJ$501,0)),"")</f>
      </c>
      <c r="H78" s="0">
        <f>IFERROR(INDEX(Registro!$M$2:$M$501,MATCH($A78&amp;"|"&amp;2,Registro!$AJ$2:$AJ$501,0)),"")</f>
      </c>
      <c r="I78" s="0">
        <f>IFERROR(INDEX(Registro!$M$2:$M$501,MATCH($A78&amp;"|"&amp;3,Registro!$AJ$2:$AJ$501,0)),"")</f>
      </c>
      <c r="J78" s="0">
        <f>IFERROR(INDEX(Registro!$M$2:$M$501,MATCH($A78&amp;"|"&amp;4,Registro!$AJ$2:$AJ$501,0)),"")</f>
      </c>
      <c r="K78" s="0">
        <f>IFERROR(INDEX(Registro!$M$2:$M$501,MATCH($A78&amp;"|"&amp;5,Registro!$AJ$2:$AJ$501,0)),"")</f>
      </c>
      <c r="L78" s="0">
        <f>IFERROR(INDEX(Registro!$M$2:$M$501,MATCH($A78&amp;"|"&amp;6,Registro!$AJ$2:$AJ$501,0)),"")</f>
      </c>
      <c r="M78" s="0">
        <f>IFERROR(INDEX(Registro!$M$2:$M$501,MATCH($A78&amp;"|"&amp;7,Registro!$AJ$2:$AJ$501,0)),"")</f>
      </c>
      <c r="N78" s="0">
        <f>IFERROR(INDEX(Registro!$M$2:$M$501,MATCH($A78&amp;"|"&amp;8,Registro!$AJ$2:$AJ$501,0)),"")</f>
      </c>
      <c r="O78" s="0">
        <f>IFERROR(INDEX(Registro!$M$2:$M$501,MATCH($A78&amp;"|"&amp;9,Registro!$AJ$2:$AJ$501,0)),"")</f>
      </c>
      <c r="P78" s="0">
        <f>IFERROR(INDEX(Registro!$M$2:$M$501,MATCH($A78&amp;"|"&amp;10,Registro!$AJ$2:$AJ$501,0)),"")</f>
      </c>
    </row>
    <row r="79" spans="1:16">
      <c r="A79" s="6">
        <f>IF(Docentes!$A$74="","",Docentes!$A$74)</f>
      </c>
      <c r="B79" s="5">
        <f>IF($A79="","",COUNTIFS(Registro!$K$2:$K$501,$A79,Registro!$Q$2:$Q$501,"Disponible"))</f>
      </c>
      <c r="C79" s="5">
        <f>IF($A79="","",COUNTIFS(Registro!$K$2:$K$501,$A79,Registro!$O$2:$O$501,"Sí"))</f>
      </c>
      <c r="D79" s="5">
        <f>IF($A79="","",$B79+$C79)</f>
      </c>
      <c r="E79" s="6">
        <f>IF($A79="","",IF($B79=0,"—",$G79&amp;IF($H79&lt;&gt;""," | "&amp;$H79,"")&amp;IF($I79&lt;&gt;""," | "&amp;$I79,"")&amp;IF($J79&lt;&gt;""," | "&amp;$J79,"")&amp;IF($K79&lt;&gt;""," | "&amp;$K79,"")&amp;IF($L79&lt;&gt;""," | "&amp;$L79,"")&amp;IF($M79&lt;&gt;""," | "&amp;$M79,"")&amp;IF($N79&lt;&gt;""," | "&amp;$N79,"")&amp;IF($O79&lt;&gt;""," | "&amp;$O79,"")&amp;IF($P79&lt;&gt;""," | "&amp;$P79,"")&amp;IF($B79&gt;10," | (+"&amp;($B79-10)&amp;" más)","")))</f>
      </c>
      <c r="G79" s="0">
        <f>IFERROR(INDEX(Registro!$M$2:$M$501,MATCH($A79&amp;"|"&amp;1,Registro!$AJ$2:$AJ$501,0)),"")</f>
      </c>
      <c r="H79" s="0">
        <f>IFERROR(INDEX(Registro!$M$2:$M$501,MATCH($A79&amp;"|"&amp;2,Registro!$AJ$2:$AJ$501,0)),"")</f>
      </c>
      <c r="I79" s="0">
        <f>IFERROR(INDEX(Registro!$M$2:$M$501,MATCH($A79&amp;"|"&amp;3,Registro!$AJ$2:$AJ$501,0)),"")</f>
      </c>
      <c r="J79" s="0">
        <f>IFERROR(INDEX(Registro!$M$2:$M$501,MATCH($A79&amp;"|"&amp;4,Registro!$AJ$2:$AJ$501,0)),"")</f>
      </c>
      <c r="K79" s="0">
        <f>IFERROR(INDEX(Registro!$M$2:$M$501,MATCH($A79&amp;"|"&amp;5,Registro!$AJ$2:$AJ$501,0)),"")</f>
      </c>
      <c r="L79" s="0">
        <f>IFERROR(INDEX(Registro!$M$2:$M$501,MATCH($A79&amp;"|"&amp;6,Registro!$AJ$2:$AJ$501,0)),"")</f>
      </c>
      <c r="M79" s="0">
        <f>IFERROR(INDEX(Registro!$M$2:$M$501,MATCH($A79&amp;"|"&amp;7,Registro!$AJ$2:$AJ$501,0)),"")</f>
      </c>
      <c r="N79" s="0">
        <f>IFERROR(INDEX(Registro!$M$2:$M$501,MATCH($A79&amp;"|"&amp;8,Registro!$AJ$2:$AJ$501,0)),"")</f>
      </c>
      <c r="O79" s="0">
        <f>IFERROR(INDEX(Registro!$M$2:$M$501,MATCH($A79&amp;"|"&amp;9,Registro!$AJ$2:$AJ$501,0)),"")</f>
      </c>
      <c r="P79" s="0">
        <f>IFERROR(INDEX(Registro!$M$2:$M$501,MATCH($A79&amp;"|"&amp;10,Registro!$AJ$2:$AJ$501,0)),"")</f>
      </c>
    </row>
    <row r="80" spans="1:16">
      <c r="A80" s="6">
        <f>IF(Docentes!$A$75="","",Docentes!$A$75)</f>
      </c>
      <c r="B80" s="5">
        <f>IF($A80="","",COUNTIFS(Registro!$K$2:$K$501,$A80,Registro!$Q$2:$Q$501,"Disponible"))</f>
      </c>
      <c r="C80" s="5">
        <f>IF($A80="","",COUNTIFS(Registro!$K$2:$K$501,$A80,Registro!$O$2:$O$501,"Sí"))</f>
      </c>
      <c r="D80" s="5">
        <f>IF($A80="","",$B80+$C80)</f>
      </c>
      <c r="E80" s="6">
        <f>IF($A80="","",IF($B80=0,"—",$G80&amp;IF($H80&lt;&gt;""," | "&amp;$H80,"")&amp;IF($I80&lt;&gt;""," | "&amp;$I80,"")&amp;IF($J80&lt;&gt;""," | "&amp;$J80,"")&amp;IF($K80&lt;&gt;""," | "&amp;$K80,"")&amp;IF($L80&lt;&gt;""," | "&amp;$L80,"")&amp;IF($M80&lt;&gt;""," | "&amp;$M80,"")&amp;IF($N80&lt;&gt;""," | "&amp;$N80,"")&amp;IF($O80&lt;&gt;""," | "&amp;$O80,"")&amp;IF($P80&lt;&gt;""," | "&amp;$P80,"")&amp;IF($B80&gt;10," | (+"&amp;($B80-10)&amp;" más)","")))</f>
      </c>
      <c r="G80" s="0">
        <f>IFERROR(INDEX(Registro!$M$2:$M$501,MATCH($A80&amp;"|"&amp;1,Registro!$AJ$2:$AJ$501,0)),"")</f>
      </c>
      <c r="H80" s="0">
        <f>IFERROR(INDEX(Registro!$M$2:$M$501,MATCH($A80&amp;"|"&amp;2,Registro!$AJ$2:$AJ$501,0)),"")</f>
      </c>
      <c r="I80" s="0">
        <f>IFERROR(INDEX(Registro!$M$2:$M$501,MATCH($A80&amp;"|"&amp;3,Registro!$AJ$2:$AJ$501,0)),"")</f>
      </c>
      <c r="J80" s="0">
        <f>IFERROR(INDEX(Registro!$M$2:$M$501,MATCH($A80&amp;"|"&amp;4,Registro!$AJ$2:$AJ$501,0)),"")</f>
      </c>
      <c r="K80" s="0">
        <f>IFERROR(INDEX(Registro!$M$2:$M$501,MATCH($A80&amp;"|"&amp;5,Registro!$AJ$2:$AJ$501,0)),"")</f>
      </c>
      <c r="L80" s="0">
        <f>IFERROR(INDEX(Registro!$M$2:$M$501,MATCH($A80&amp;"|"&amp;6,Registro!$AJ$2:$AJ$501,0)),"")</f>
      </c>
      <c r="M80" s="0">
        <f>IFERROR(INDEX(Registro!$M$2:$M$501,MATCH($A80&amp;"|"&amp;7,Registro!$AJ$2:$AJ$501,0)),"")</f>
      </c>
      <c r="N80" s="0">
        <f>IFERROR(INDEX(Registro!$M$2:$M$501,MATCH($A80&amp;"|"&amp;8,Registro!$AJ$2:$AJ$501,0)),"")</f>
      </c>
      <c r="O80" s="0">
        <f>IFERROR(INDEX(Registro!$M$2:$M$501,MATCH($A80&amp;"|"&amp;9,Registro!$AJ$2:$AJ$501,0)),"")</f>
      </c>
      <c r="P80" s="0">
        <f>IFERROR(INDEX(Registro!$M$2:$M$501,MATCH($A80&amp;"|"&amp;10,Registro!$AJ$2:$AJ$501,0)),"")</f>
      </c>
    </row>
    <row r="81" spans="1:16">
      <c r="A81" s="6">
        <f>IF(Docentes!$A$76="","",Docentes!$A$76)</f>
      </c>
      <c r="B81" s="5">
        <f>IF($A81="","",COUNTIFS(Registro!$K$2:$K$501,$A81,Registro!$Q$2:$Q$501,"Disponible"))</f>
      </c>
      <c r="C81" s="5">
        <f>IF($A81="","",COUNTIFS(Registro!$K$2:$K$501,$A81,Registro!$O$2:$O$501,"Sí"))</f>
      </c>
      <c r="D81" s="5">
        <f>IF($A81="","",$B81+$C81)</f>
      </c>
      <c r="E81" s="6">
        <f>IF($A81="","",IF($B81=0,"—",$G81&amp;IF($H81&lt;&gt;""," | "&amp;$H81,"")&amp;IF($I81&lt;&gt;""," | "&amp;$I81,"")&amp;IF($J81&lt;&gt;""," | "&amp;$J81,"")&amp;IF($K81&lt;&gt;""," | "&amp;$K81,"")&amp;IF($L81&lt;&gt;""," | "&amp;$L81,"")&amp;IF($M81&lt;&gt;""," | "&amp;$M81,"")&amp;IF($N81&lt;&gt;""," | "&amp;$N81,"")&amp;IF($O81&lt;&gt;""," | "&amp;$O81,"")&amp;IF($P81&lt;&gt;""," | "&amp;$P81,"")&amp;IF($B81&gt;10," | (+"&amp;($B81-10)&amp;" más)","")))</f>
      </c>
      <c r="G81" s="0">
        <f>IFERROR(INDEX(Registro!$M$2:$M$501,MATCH($A81&amp;"|"&amp;1,Registro!$AJ$2:$AJ$501,0)),"")</f>
      </c>
      <c r="H81" s="0">
        <f>IFERROR(INDEX(Registro!$M$2:$M$501,MATCH($A81&amp;"|"&amp;2,Registro!$AJ$2:$AJ$501,0)),"")</f>
      </c>
      <c r="I81" s="0">
        <f>IFERROR(INDEX(Registro!$M$2:$M$501,MATCH($A81&amp;"|"&amp;3,Registro!$AJ$2:$AJ$501,0)),"")</f>
      </c>
      <c r="J81" s="0">
        <f>IFERROR(INDEX(Registro!$M$2:$M$501,MATCH($A81&amp;"|"&amp;4,Registro!$AJ$2:$AJ$501,0)),"")</f>
      </c>
      <c r="K81" s="0">
        <f>IFERROR(INDEX(Registro!$M$2:$M$501,MATCH($A81&amp;"|"&amp;5,Registro!$AJ$2:$AJ$501,0)),"")</f>
      </c>
      <c r="L81" s="0">
        <f>IFERROR(INDEX(Registro!$M$2:$M$501,MATCH($A81&amp;"|"&amp;6,Registro!$AJ$2:$AJ$501,0)),"")</f>
      </c>
      <c r="M81" s="0">
        <f>IFERROR(INDEX(Registro!$M$2:$M$501,MATCH($A81&amp;"|"&amp;7,Registro!$AJ$2:$AJ$501,0)),"")</f>
      </c>
      <c r="N81" s="0">
        <f>IFERROR(INDEX(Registro!$M$2:$M$501,MATCH($A81&amp;"|"&amp;8,Registro!$AJ$2:$AJ$501,0)),"")</f>
      </c>
      <c r="O81" s="0">
        <f>IFERROR(INDEX(Registro!$M$2:$M$501,MATCH($A81&amp;"|"&amp;9,Registro!$AJ$2:$AJ$501,0)),"")</f>
      </c>
      <c r="P81" s="0">
        <f>IFERROR(INDEX(Registro!$M$2:$M$501,MATCH($A81&amp;"|"&amp;10,Registro!$AJ$2:$AJ$501,0)),"")</f>
      </c>
    </row>
    <row r="82" spans="1:16">
      <c r="A82" s="6">
        <f>IF(Docentes!$A$77="","",Docentes!$A$77)</f>
      </c>
      <c r="B82" s="5">
        <f>IF($A82="","",COUNTIFS(Registro!$K$2:$K$501,$A82,Registro!$Q$2:$Q$501,"Disponible"))</f>
      </c>
      <c r="C82" s="5">
        <f>IF($A82="","",COUNTIFS(Registro!$K$2:$K$501,$A82,Registro!$O$2:$O$501,"Sí"))</f>
      </c>
      <c r="D82" s="5">
        <f>IF($A82="","",$B82+$C82)</f>
      </c>
      <c r="E82" s="6">
        <f>IF($A82="","",IF($B82=0,"—",$G82&amp;IF($H82&lt;&gt;""," | "&amp;$H82,"")&amp;IF($I82&lt;&gt;""," | "&amp;$I82,"")&amp;IF($J82&lt;&gt;""," | "&amp;$J82,"")&amp;IF($K82&lt;&gt;""," | "&amp;$K82,"")&amp;IF($L82&lt;&gt;""," | "&amp;$L82,"")&amp;IF($M82&lt;&gt;""," | "&amp;$M82,"")&amp;IF($N82&lt;&gt;""," | "&amp;$N82,"")&amp;IF($O82&lt;&gt;""," | "&amp;$O82,"")&amp;IF($P82&lt;&gt;""," | "&amp;$P82,"")&amp;IF($B82&gt;10," | (+"&amp;($B82-10)&amp;" más)","")))</f>
      </c>
      <c r="G82" s="0">
        <f>IFERROR(INDEX(Registro!$M$2:$M$501,MATCH($A82&amp;"|"&amp;1,Registro!$AJ$2:$AJ$501,0)),"")</f>
      </c>
      <c r="H82" s="0">
        <f>IFERROR(INDEX(Registro!$M$2:$M$501,MATCH($A82&amp;"|"&amp;2,Registro!$AJ$2:$AJ$501,0)),"")</f>
      </c>
      <c r="I82" s="0">
        <f>IFERROR(INDEX(Registro!$M$2:$M$501,MATCH($A82&amp;"|"&amp;3,Registro!$AJ$2:$AJ$501,0)),"")</f>
      </c>
      <c r="J82" s="0">
        <f>IFERROR(INDEX(Registro!$M$2:$M$501,MATCH($A82&amp;"|"&amp;4,Registro!$AJ$2:$AJ$501,0)),"")</f>
      </c>
      <c r="K82" s="0">
        <f>IFERROR(INDEX(Registro!$M$2:$M$501,MATCH($A82&amp;"|"&amp;5,Registro!$AJ$2:$AJ$501,0)),"")</f>
      </c>
      <c r="L82" s="0">
        <f>IFERROR(INDEX(Registro!$M$2:$M$501,MATCH($A82&amp;"|"&amp;6,Registro!$AJ$2:$AJ$501,0)),"")</f>
      </c>
      <c r="M82" s="0">
        <f>IFERROR(INDEX(Registro!$M$2:$M$501,MATCH($A82&amp;"|"&amp;7,Registro!$AJ$2:$AJ$501,0)),"")</f>
      </c>
      <c r="N82" s="0">
        <f>IFERROR(INDEX(Registro!$M$2:$M$501,MATCH($A82&amp;"|"&amp;8,Registro!$AJ$2:$AJ$501,0)),"")</f>
      </c>
      <c r="O82" s="0">
        <f>IFERROR(INDEX(Registro!$M$2:$M$501,MATCH($A82&amp;"|"&amp;9,Registro!$AJ$2:$AJ$501,0)),"")</f>
      </c>
      <c r="P82" s="0">
        <f>IFERROR(INDEX(Registro!$M$2:$M$501,MATCH($A82&amp;"|"&amp;10,Registro!$AJ$2:$AJ$501,0)),"")</f>
      </c>
    </row>
    <row r="83" spans="1:16">
      <c r="A83" s="6">
        <f>IF(Docentes!$A$78="","",Docentes!$A$78)</f>
      </c>
      <c r="B83" s="5">
        <f>IF($A83="","",COUNTIFS(Registro!$K$2:$K$501,$A83,Registro!$Q$2:$Q$501,"Disponible"))</f>
      </c>
      <c r="C83" s="5">
        <f>IF($A83="","",COUNTIFS(Registro!$K$2:$K$501,$A83,Registro!$O$2:$O$501,"Sí"))</f>
      </c>
      <c r="D83" s="5">
        <f>IF($A83="","",$B83+$C83)</f>
      </c>
      <c r="E83" s="6">
        <f>IF($A83="","",IF($B83=0,"—",$G83&amp;IF($H83&lt;&gt;""," | "&amp;$H83,"")&amp;IF($I83&lt;&gt;""," | "&amp;$I83,"")&amp;IF($J83&lt;&gt;""," | "&amp;$J83,"")&amp;IF($K83&lt;&gt;""," | "&amp;$K83,"")&amp;IF($L83&lt;&gt;""," | "&amp;$L83,"")&amp;IF($M83&lt;&gt;""," | "&amp;$M83,"")&amp;IF($N83&lt;&gt;""," | "&amp;$N83,"")&amp;IF($O83&lt;&gt;""," | "&amp;$O83,"")&amp;IF($P83&lt;&gt;""," | "&amp;$P83,"")&amp;IF($B83&gt;10," | (+"&amp;($B83-10)&amp;" más)","")))</f>
      </c>
      <c r="G83" s="0">
        <f>IFERROR(INDEX(Registro!$M$2:$M$501,MATCH($A83&amp;"|"&amp;1,Registro!$AJ$2:$AJ$501,0)),"")</f>
      </c>
      <c r="H83" s="0">
        <f>IFERROR(INDEX(Registro!$M$2:$M$501,MATCH($A83&amp;"|"&amp;2,Registro!$AJ$2:$AJ$501,0)),"")</f>
      </c>
      <c r="I83" s="0">
        <f>IFERROR(INDEX(Registro!$M$2:$M$501,MATCH($A83&amp;"|"&amp;3,Registro!$AJ$2:$AJ$501,0)),"")</f>
      </c>
      <c r="J83" s="0">
        <f>IFERROR(INDEX(Registro!$M$2:$M$501,MATCH($A83&amp;"|"&amp;4,Registro!$AJ$2:$AJ$501,0)),"")</f>
      </c>
      <c r="K83" s="0">
        <f>IFERROR(INDEX(Registro!$M$2:$M$501,MATCH($A83&amp;"|"&amp;5,Registro!$AJ$2:$AJ$501,0)),"")</f>
      </c>
      <c r="L83" s="0">
        <f>IFERROR(INDEX(Registro!$M$2:$M$501,MATCH($A83&amp;"|"&amp;6,Registro!$AJ$2:$AJ$501,0)),"")</f>
      </c>
      <c r="M83" s="0">
        <f>IFERROR(INDEX(Registro!$M$2:$M$501,MATCH($A83&amp;"|"&amp;7,Registro!$AJ$2:$AJ$501,0)),"")</f>
      </c>
      <c r="N83" s="0">
        <f>IFERROR(INDEX(Registro!$M$2:$M$501,MATCH($A83&amp;"|"&amp;8,Registro!$AJ$2:$AJ$501,0)),"")</f>
      </c>
      <c r="O83" s="0">
        <f>IFERROR(INDEX(Registro!$M$2:$M$501,MATCH($A83&amp;"|"&amp;9,Registro!$AJ$2:$AJ$501,0)),"")</f>
      </c>
      <c r="P83" s="0">
        <f>IFERROR(INDEX(Registro!$M$2:$M$501,MATCH($A83&amp;"|"&amp;10,Registro!$AJ$2:$AJ$501,0)),"")</f>
      </c>
    </row>
    <row r="84" spans="1:16">
      <c r="A84" s="6">
        <f>IF(Docentes!$A$79="","",Docentes!$A$79)</f>
      </c>
      <c r="B84" s="5">
        <f>IF($A84="","",COUNTIFS(Registro!$K$2:$K$501,$A84,Registro!$Q$2:$Q$501,"Disponible"))</f>
      </c>
      <c r="C84" s="5">
        <f>IF($A84="","",COUNTIFS(Registro!$K$2:$K$501,$A84,Registro!$O$2:$O$501,"Sí"))</f>
      </c>
      <c r="D84" s="5">
        <f>IF($A84="","",$B84+$C84)</f>
      </c>
      <c r="E84" s="6">
        <f>IF($A84="","",IF($B84=0,"—",$G84&amp;IF($H84&lt;&gt;""," | "&amp;$H84,"")&amp;IF($I84&lt;&gt;""," | "&amp;$I84,"")&amp;IF($J84&lt;&gt;""," | "&amp;$J84,"")&amp;IF($K84&lt;&gt;""," | "&amp;$K84,"")&amp;IF($L84&lt;&gt;""," | "&amp;$L84,"")&amp;IF($M84&lt;&gt;""," | "&amp;$M84,"")&amp;IF($N84&lt;&gt;""," | "&amp;$N84,"")&amp;IF($O84&lt;&gt;""," | "&amp;$O84,"")&amp;IF($P84&lt;&gt;""," | "&amp;$P84,"")&amp;IF($B84&gt;10," | (+"&amp;($B84-10)&amp;" más)","")))</f>
      </c>
      <c r="G84" s="0">
        <f>IFERROR(INDEX(Registro!$M$2:$M$501,MATCH($A84&amp;"|"&amp;1,Registro!$AJ$2:$AJ$501,0)),"")</f>
      </c>
      <c r="H84" s="0">
        <f>IFERROR(INDEX(Registro!$M$2:$M$501,MATCH($A84&amp;"|"&amp;2,Registro!$AJ$2:$AJ$501,0)),"")</f>
      </c>
      <c r="I84" s="0">
        <f>IFERROR(INDEX(Registro!$M$2:$M$501,MATCH($A84&amp;"|"&amp;3,Registro!$AJ$2:$AJ$501,0)),"")</f>
      </c>
      <c r="J84" s="0">
        <f>IFERROR(INDEX(Registro!$M$2:$M$501,MATCH($A84&amp;"|"&amp;4,Registro!$AJ$2:$AJ$501,0)),"")</f>
      </c>
      <c r="K84" s="0">
        <f>IFERROR(INDEX(Registro!$M$2:$M$501,MATCH($A84&amp;"|"&amp;5,Registro!$AJ$2:$AJ$501,0)),"")</f>
      </c>
      <c r="L84" s="0">
        <f>IFERROR(INDEX(Registro!$M$2:$M$501,MATCH($A84&amp;"|"&amp;6,Registro!$AJ$2:$AJ$501,0)),"")</f>
      </c>
      <c r="M84" s="0">
        <f>IFERROR(INDEX(Registro!$M$2:$M$501,MATCH($A84&amp;"|"&amp;7,Registro!$AJ$2:$AJ$501,0)),"")</f>
      </c>
      <c r="N84" s="0">
        <f>IFERROR(INDEX(Registro!$M$2:$M$501,MATCH($A84&amp;"|"&amp;8,Registro!$AJ$2:$AJ$501,0)),"")</f>
      </c>
      <c r="O84" s="0">
        <f>IFERROR(INDEX(Registro!$M$2:$M$501,MATCH($A84&amp;"|"&amp;9,Registro!$AJ$2:$AJ$501,0)),"")</f>
      </c>
      <c r="P84" s="0">
        <f>IFERROR(INDEX(Registro!$M$2:$M$501,MATCH($A84&amp;"|"&amp;10,Registro!$AJ$2:$AJ$501,0)),"")</f>
      </c>
    </row>
    <row r="85" spans="1:16">
      <c r="A85" s="6">
        <f>IF(Docentes!$A$80="","",Docentes!$A$80)</f>
      </c>
      <c r="B85" s="5">
        <f>IF($A85="","",COUNTIFS(Registro!$K$2:$K$501,$A85,Registro!$Q$2:$Q$501,"Disponible"))</f>
      </c>
      <c r="C85" s="5">
        <f>IF($A85="","",COUNTIFS(Registro!$K$2:$K$501,$A85,Registro!$O$2:$O$501,"Sí"))</f>
      </c>
      <c r="D85" s="5">
        <f>IF($A85="","",$B85+$C85)</f>
      </c>
      <c r="E85" s="6">
        <f>IF($A85="","",IF($B85=0,"—",$G85&amp;IF($H85&lt;&gt;""," | "&amp;$H85,"")&amp;IF($I85&lt;&gt;""," | "&amp;$I85,"")&amp;IF($J85&lt;&gt;""," | "&amp;$J85,"")&amp;IF($K85&lt;&gt;""," | "&amp;$K85,"")&amp;IF($L85&lt;&gt;""," | "&amp;$L85,"")&amp;IF($M85&lt;&gt;""," | "&amp;$M85,"")&amp;IF($N85&lt;&gt;""," | "&amp;$N85,"")&amp;IF($O85&lt;&gt;""," | "&amp;$O85,"")&amp;IF($P85&lt;&gt;""," | "&amp;$P85,"")&amp;IF($B85&gt;10," | (+"&amp;($B85-10)&amp;" más)","")))</f>
      </c>
      <c r="G85" s="0">
        <f>IFERROR(INDEX(Registro!$M$2:$M$501,MATCH($A85&amp;"|"&amp;1,Registro!$AJ$2:$AJ$501,0)),"")</f>
      </c>
      <c r="H85" s="0">
        <f>IFERROR(INDEX(Registro!$M$2:$M$501,MATCH($A85&amp;"|"&amp;2,Registro!$AJ$2:$AJ$501,0)),"")</f>
      </c>
      <c r="I85" s="0">
        <f>IFERROR(INDEX(Registro!$M$2:$M$501,MATCH($A85&amp;"|"&amp;3,Registro!$AJ$2:$AJ$501,0)),"")</f>
      </c>
      <c r="J85" s="0">
        <f>IFERROR(INDEX(Registro!$M$2:$M$501,MATCH($A85&amp;"|"&amp;4,Registro!$AJ$2:$AJ$501,0)),"")</f>
      </c>
      <c r="K85" s="0">
        <f>IFERROR(INDEX(Registro!$M$2:$M$501,MATCH($A85&amp;"|"&amp;5,Registro!$AJ$2:$AJ$501,0)),"")</f>
      </c>
      <c r="L85" s="0">
        <f>IFERROR(INDEX(Registro!$M$2:$M$501,MATCH($A85&amp;"|"&amp;6,Registro!$AJ$2:$AJ$501,0)),"")</f>
      </c>
      <c r="M85" s="0">
        <f>IFERROR(INDEX(Registro!$M$2:$M$501,MATCH($A85&amp;"|"&amp;7,Registro!$AJ$2:$AJ$501,0)),"")</f>
      </c>
      <c r="N85" s="0">
        <f>IFERROR(INDEX(Registro!$M$2:$M$501,MATCH($A85&amp;"|"&amp;8,Registro!$AJ$2:$AJ$501,0)),"")</f>
      </c>
      <c r="O85" s="0">
        <f>IFERROR(INDEX(Registro!$M$2:$M$501,MATCH($A85&amp;"|"&amp;9,Registro!$AJ$2:$AJ$501,0)),"")</f>
      </c>
      <c r="P85" s="0">
        <f>IFERROR(INDEX(Registro!$M$2:$M$501,MATCH($A85&amp;"|"&amp;10,Registro!$AJ$2:$AJ$501,0)),"")</f>
      </c>
    </row>
    <row r="86" spans="1:16">
      <c r="A86" s="6">
        <f>IF(Docentes!$A$81="","",Docentes!$A$81)</f>
      </c>
      <c r="B86" s="5">
        <f>IF($A86="","",COUNTIFS(Registro!$K$2:$K$501,$A86,Registro!$Q$2:$Q$501,"Disponible"))</f>
      </c>
      <c r="C86" s="5">
        <f>IF($A86="","",COUNTIFS(Registro!$K$2:$K$501,$A86,Registro!$O$2:$O$501,"Sí"))</f>
      </c>
      <c r="D86" s="5">
        <f>IF($A86="","",$B86+$C86)</f>
      </c>
      <c r="E86" s="6">
        <f>IF($A86="","",IF($B86=0,"—",$G86&amp;IF($H86&lt;&gt;""," | "&amp;$H86,"")&amp;IF($I86&lt;&gt;""," | "&amp;$I86,"")&amp;IF($J86&lt;&gt;""," | "&amp;$J86,"")&amp;IF($K86&lt;&gt;""," | "&amp;$K86,"")&amp;IF($L86&lt;&gt;""," | "&amp;$L86,"")&amp;IF($M86&lt;&gt;""," | "&amp;$M86,"")&amp;IF($N86&lt;&gt;""," | "&amp;$N86,"")&amp;IF($O86&lt;&gt;""," | "&amp;$O86,"")&amp;IF($P86&lt;&gt;""," | "&amp;$P86,"")&amp;IF($B86&gt;10," | (+"&amp;($B86-10)&amp;" más)","")))</f>
      </c>
      <c r="G86" s="0">
        <f>IFERROR(INDEX(Registro!$M$2:$M$501,MATCH($A86&amp;"|"&amp;1,Registro!$AJ$2:$AJ$501,0)),"")</f>
      </c>
      <c r="H86" s="0">
        <f>IFERROR(INDEX(Registro!$M$2:$M$501,MATCH($A86&amp;"|"&amp;2,Registro!$AJ$2:$AJ$501,0)),"")</f>
      </c>
      <c r="I86" s="0">
        <f>IFERROR(INDEX(Registro!$M$2:$M$501,MATCH($A86&amp;"|"&amp;3,Registro!$AJ$2:$AJ$501,0)),"")</f>
      </c>
      <c r="J86" s="0">
        <f>IFERROR(INDEX(Registro!$M$2:$M$501,MATCH($A86&amp;"|"&amp;4,Registro!$AJ$2:$AJ$501,0)),"")</f>
      </c>
      <c r="K86" s="0">
        <f>IFERROR(INDEX(Registro!$M$2:$M$501,MATCH($A86&amp;"|"&amp;5,Registro!$AJ$2:$AJ$501,0)),"")</f>
      </c>
      <c r="L86" s="0">
        <f>IFERROR(INDEX(Registro!$M$2:$M$501,MATCH($A86&amp;"|"&amp;6,Registro!$AJ$2:$AJ$501,0)),"")</f>
      </c>
      <c r="M86" s="0">
        <f>IFERROR(INDEX(Registro!$M$2:$M$501,MATCH($A86&amp;"|"&amp;7,Registro!$AJ$2:$AJ$501,0)),"")</f>
      </c>
      <c r="N86" s="0">
        <f>IFERROR(INDEX(Registro!$M$2:$M$501,MATCH($A86&amp;"|"&amp;8,Registro!$AJ$2:$AJ$501,0)),"")</f>
      </c>
      <c r="O86" s="0">
        <f>IFERROR(INDEX(Registro!$M$2:$M$501,MATCH($A86&amp;"|"&amp;9,Registro!$AJ$2:$AJ$501,0)),"")</f>
      </c>
      <c r="P86" s="0">
        <f>IFERROR(INDEX(Registro!$M$2:$M$501,MATCH($A86&amp;"|"&amp;10,Registro!$AJ$2:$AJ$501,0)),"")</f>
      </c>
    </row>
    <row r="87" spans="1:16">
      <c r="A87" s="6">
        <f>IF(Docentes!$A$82="","",Docentes!$A$82)</f>
      </c>
      <c r="B87" s="5">
        <f>IF($A87="","",COUNTIFS(Registro!$K$2:$K$501,$A87,Registro!$Q$2:$Q$501,"Disponible"))</f>
      </c>
      <c r="C87" s="5">
        <f>IF($A87="","",COUNTIFS(Registro!$K$2:$K$501,$A87,Registro!$O$2:$O$501,"Sí"))</f>
      </c>
      <c r="D87" s="5">
        <f>IF($A87="","",$B87+$C87)</f>
      </c>
      <c r="E87" s="6">
        <f>IF($A87="","",IF($B87=0,"—",$G87&amp;IF($H87&lt;&gt;""," | "&amp;$H87,"")&amp;IF($I87&lt;&gt;""," | "&amp;$I87,"")&amp;IF($J87&lt;&gt;""," | "&amp;$J87,"")&amp;IF($K87&lt;&gt;""," | "&amp;$K87,"")&amp;IF($L87&lt;&gt;""," | "&amp;$L87,"")&amp;IF($M87&lt;&gt;""," | "&amp;$M87,"")&amp;IF($N87&lt;&gt;""," | "&amp;$N87,"")&amp;IF($O87&lt;&gt;""," | "&amp;$O87,"")&amp;IF($P87&lt;&gt;""," | "&amp;$P87,"")&amp;IF($B87&gt;10," | (+"&amp;($B87-10)&amp;" más)","")))</f>
      </c>
      <c r="G87" s="0">
        <f>IFERROR(INDEX(Registro!$M$2:$M$501,MATCH($A87&amp;"|"&amp;1,Registro!$AJ$2:$AJ$501,0)),"")</f>
      </c>
      <c r="H87" s="0">
        <f>IFERROR(INDEX(Registro!$M$2:$M$501,MATCH($A87&amp;"|"&amp;2,Registro!$AJ$2:$AJ$501,0)),"")</f>
      </c>
      <c r="I87" s="0">
        <f>IFERROR(INDEX(Registro!$M$2:$M$501,MATCH($A87&amp;"|"&amp;3,Registro!$AJ$2:$AJ$501,0)),"")</f>
      </c>
      <c r="J87" s="0">
        <f>IFERROR(INDEX(Registro!$M$2:$M$501,MATCH($A87&amp;"|"&amp;4,Registro!$AJ$2:$AJ$501,0)),"")</f>
      </c>
      <c r="K87" s="0">
        <f>IFERROR(INDEX(Registro!$M$2:$M$501,MATCH($A87&amp;"|"&amp;5,Registro!$AJ$2:$AJ$501,0)),"")</f>
      </c>
      <c r="L87" s="0">
        <f>IFERROR(INDEX(Registro!$M$2:$M$501,MATCH($A87&amp;"|"&amp;6,Registro!$AJ$2:$AJ$501,0)),"")</f>
      </c>
      <c r="M87" s="0">
        <f>IFERROR(INDEX(Registro!$M$2:$M$501,MATCH($A87&amp;"|"&amp;7,Registro!$AJ$2:$AJ$501,0)),"")</f>
      </c>
      <c r="N87" s="0">
        <f>IFERROR(INDEX(Registro!$M$2:$M$501,MATCH($A87&amp;"|"&amp;8,Registro!$AJ$2:$AJ$501,0)),"")</f>
      </c>
      <c r="O87" s="0">
        <f>IFERROR(INDEX(Registro!$M$2:$M$501,MATCH($A87&amp;"|"&amp;9,Registro!$AJ$2:$AJ$501,0)),"")</f>
      </c>
      <c r="P87" s="0">
        <f>IFERROR(INDEX(Registro!$M$2:$M$501,MATCH($A87&amp;"|"&amp;10,Registro!$AJ$2:$AJ$501,0)),"")</f>
      </c>
    </row>
    <row r="88" spans="1:16">
      <c r="A88" s="6">
        <f>IF(Docentes!$A$83="","",Docentes!$A$83)</f>
      </c>
      <c r="B88" s="5">
        <f>IF($A88="","",COUNTIFS(Registro!$K$2:$K$501,$A88,Registro!$Q$2:$Q$501,"Disponible"))</f>
      </c>
      <c r="C88" s="5">
        <f>IF($A88="","",COUNTIFS(Registro!$K$2:$K$501,$A88,Registro!$O$2:$O$501,"Sí"))</f>
      </c>
      <c r="D88" s="5">
        <f>IF($A88="","",$B88+$C88)</f>
      </c>
      <c r="E88" s="6">
        <f>IF($A88="","",IF($B88=0,"—",$G88&amp;IF($H88&lt;&gt;""," | "&amp;$H88,"")&amp;IF($I88&lt;&gt;""," | "&amp;$I88,"")&amp;IF($J88&lt;&gt;""," | "&amp;$J88,"")&amp;IF($K88&lt;&gt;""," | "&amp;$K88,"")&amp;IF($L88&lt;&gt;""," | "&amp;$L88,"")&amp;IF($M88&lt;&gt;""," | "&amp;$M88,"")&amp;IF($N88&lt;&gt;""," | "&amp;$N88,"")&amp;IF($O88&lt;&gt;""," | "&amp;$O88,"")&amp;IF($P88&lt;&gt;""," | "&amp;$P88,"")&amp;IF($B88&gt;10," | (+"&amp;($B88-10)&amp;" más)","")))</f>
      </c>
      <c r="G88" s="0">
        <f>IFERROR(INDEX(Registro!$M$2:$M$501,MATCH($A88&amp;"|"&amp;1,Registro!$AJ$2:$AJ$501,0)),"")</f>
      </c>
      <c r="H88" s="0">
        <f>IFERROR(INDEX(Registro!$M$2:$M$501,MATCH($A88&amp;"|"&amp;2,Registro!$AJ$2:$AJ$501,0)),"")</f>
      </c>
      <c r="I88" s="0">
        <f>IFERROR(INDEX(Registro!$M$2:$M$501,MATCH($A88&amp;"|"&amp;3,Registro!$AJ$2:$AJ$501,0)),"")</f>
      </c>
      <c r="J88" s="0">
        <f>IFERROR(INDEX(Registro!$M$2:$M$501,MATCH($A88&amp;"|"&amp;4,Registro!$AJ$2:$AJ$501,0)),"")</f>
      </c>
      <c r="K88" s="0">
        <f>IFERROR(INDEX(Registro!$M$2:$M$501,MATCH($A88&amp;"|"&amp;5,Registro!$AJ$2:$AJ$501,0)),"")</f>
      </c>
      <c r="L88" s="0">
        <f>IFERROR(INDEX(Registro!$M$2:$M$501,MATCH($A88&amp;"|"&amp;6,Registro!$AJ$2:$AJ$501,0)),"")</f>
      </c>
      <c r="M88" s="0">
        <f>IFERROR(INDEX(Registro!$M$2:$M$501,MATCH($A88&amp;"|"&amp;7,Registro!$AJ$2:$AJ$501,0)),"")</f>
      </c>
      <c r="N88" s="0">
        <f>IFERROR(INDEX(Registro!$M$2:$M$501,MATCH($A88&amp;"|"&amp;8,Registro!$AJ$2:$AJ$501,0)),"")</f>
      </c>
      <c r="O88" s="0">
        <f>IFERROR(INDEX(Registro!$M$2:$M$501,MATCH($A88&amp;"|"&amp;9,Registro!$AJ$2:$AJ$501,0)),"")</f>
      </c>
      <c r="P88" s="0">
        <f>IFERROR(INDEX(Registro!$M$2:$M$501,MATCH($A88&amp;"|"&amp;10,Registro!$AJ$2:$AJ$501,0)),"")</f>
      </c>
    </row>
    <row r="89" spans="1:16">
      <c r="A89" s="6">
        <f>IF(Docentes!$A$84="","",Docentes!$A$84)</f>
      </c>
      <c r="B89" s="5">
        <f>IF($A89="","",COUNTIFS(Registro!$K$2:$K$501,$A89,Registro!$Q$2:$Q$501,"Disponible"))</f>
      </c>
      <c r="C89" s="5">
        <f>IF($A89="","",COUNTIFS(Registro!$K$2:$K$501,$A89,Registro!$O$2:$O$501,"Sí"))</f>
      </c>
      <c r="D89" s="5">
        <f>IF($A89="","",$B89+$C89)</f>
      </c>
      <c r="E89" s="6">
        <f>IF($A89="","",IF($B89=0,"—",$G89&amp;IF($H89&lt;&gt;""," | "&amp;$H89,"")&amp;IF($I89&lt;&gt;""," | "&amp;$I89,"")&amp;IF($J89&lt;&gt;""," | "&amp;$J89,"")&amp;IF($K89&lt;&gt;""," | "&amp;$K89,"")&amp;IF($L89&lt;&gt;""," | "&amp;$L89,"")&amp;IF($M89&lt;&gt;""," | "&amp;$M89,"")&amp;IF($N89&lt;&gt;""," | "&amp;$N89,"")&amp;IF($O89&lt;&gt;""," | "&amp;$O89,"")&amp;IF($P89&lt;&gt;""," | "&amp;$P89,"")&amp;IF($B89&gt;10," | (+"&amp;($B89-10)&amp;" más)","")))</f>
      </c>
      <c r="G89" s="0">
        <f>IFERROR(INDEX(Registro!$M$2:$M$501,MATCH($A89&amp;"|"&amp;1,Registro!$AJ$2:$AJ$501,0)),"")</f>
      </c>
      <c r="H89" s="0">
        <f>IFERROR(INDEX(Registro!$M$2:$M$501,MATCH($A89&amp;"|"&amp;2,Registro!$AJ$2:$AJ$501,0)),"")</f>
      </c>
      <c r="I89" s="0">
        <f>IFERROR(INDEX(Registro!$M$2:$M$501,MATCH($A89&amp;"|"&amp;3,Registro!$AJ$2:$AJ$501,0)),"")</f>
      </c>
      <c r="J89" s="0">
        <f>IFERROR(INDEX(Registro!$M$2:$M$501,MATCH($A89&amp;"|"&amp;4,Registro!$AJ$2:$AJ$501,0)),"")</f>
      </c>
      <c r="K89" s="0">
        <f>IFERROR(INDEX(Registro!$M$2:$M$501,MATCH($A89&amp;"|"&amp;5,Registro!$AJ$2:$AJ$501,0)),"")</f>
      </c>
      <c r="L89" s="0">
        <f>IFERROR(INDEX(Registro!$M$2:$M$501,MATCH($A89&amp;"|"&amp;6,Registro!$AJ$2:$AJ$501,0)),"")</f>
      </c>
      <c r="M89" s="0">
        <f>IFERROR(INDEX(Registro!$M$2:$M$501,MATCH($A89&amp;"|"&amp;7,Registro!$AJ$2:$AJ$501,0)),"")</f>
      </c>
      <c r="N89" s="0">
        <f>IFERROR(INDEX(Registro!$M$2:$M$501,MATCH($A89&amp;"|"&amp;8,Registro!$AJ$2:$AJ$501,0)),"")</f>
      </c>
      <c r="O89" s="0">
        <f>IFERROR(INDEX(Registro!$M$2:$M$501,MATCH($A89&amp;"|"&amp;9,Registro!$AJ$2:$AJ$501,0)),"")</f>
      </c>
      <c r="P89" s="0">
        <f>IFERROR(INDEX(Registro!$M$2:$M$501,MATCH($A89&amp;"|"&amp;10,Registro!$AJ$2:$AJ$501,0)),"")</f>
      </c>
    </row>
    <row r="90" spans="1:16">
      <c r="A90" s="6">
        <f>IF(Docentes!$A$85="","",Docentes!$A$85)</f>
      </c>
      <c r="B90" s="5">
        <f>IF($A90="","",COUNTIFS(Registro!$K$2:$K$501,$A90,Registro!$Q$2:$Q$501,"Disponible"))</f>
      </c>
      <c r="C90" s="5">
        <f>IF($A90="","",COUNTIFS(Registro!$K$2:$K$501,$A90,Registro!$O$2:$O$501,"Sí"))</f>
      </c>
      <c r="D90" s="5">
        <f>IF($A90="","",$B90+$C90)</f>
      </c>
      <c r="E90" s="6">
        <f>IF($A90="","",IF($B90=0,"—",$G90&amp;IF($H90&lt;&gt;""," | "&amp;$H90,"")&amp;IF($I90&lt;&gt;""," | "&amp;$I90,"")&amp;IF($J90&lt;&gt;""," | "&amp;$J90,"")&amp;IF($K90&lt;&gt;""," | "&amp;$K90,"")&amp;IF($L90&lt;&gt;""," | "&amp;$L90,"")&amp;IF($M90&lt;&gt;""," | "&amp;$M90,"")&amp;IF($N90&lt;&gt;""," | "&amp;$N90,"")&amp;IF($O90&lt;&gt;""," | "&amp;$O90,"")&amp;IF($P90&lt;&gt;""," | "&amp;$P90,"")&amp;IF($B90&gt;10," | (+"&amp;($B90-10)&amp;" más)","")))</f>
      </c>
      <c r="G90" s="0">
        <f>IFERROR(INDEX(Registro!$M$2:$M$501,MATCH($A90&amp;"|"&amp;1,Registro!$AJ$2:$AJ$501,0)),"")</f>
      </c>
      <c r="H90" s="0">
        <f>IFERROR(INDEX(Registro!$M$2:$M$501,MATCH($A90&amp;"|"&amp;2,Registro!$AJ$2:$AJ$501,0)),"")</f>
      </c>
      <c r="I90" s="0">
        <f>IFERROR(INDEX(Registro!$M$2:$M$501,MATCH($A90&amp;"|"&amp;3,Registro!$AJ$2:$AJ$501,0)),"")</f>
      </c>
      <c r="J90" s="0">
        <f>IFERROR(INDEX(Registro!$M$2:$M$501,MATCH($A90&amp;"|"&amp;4,Registro!$AJ$2:$AJ$501,0)),"")</f>
      </c>
      <c r="K90" s="0">
        <f>IFERROR(INDEX(Registro!$M$2:$M$501,MATCH($A90&amp;"|"&amp;5,Registro!$AJ$2:$AJ$501,0)),"")</f>
      </c>
      <c r="L90" s="0">
        <f>IFERROR(INDEX(Registro!$M$2:$M$501,MATCH($A90&amp;"|"&amp;6,Registro!$AJ$2:$AJ$501,0)),"")</f>
      </c>
      <c r="M90" s="0">
        <f>IFERROR(INDEX(Registro!$M$2:$M$501,MATCH($A90&amp;"|"&amp;7,Registro!$AJ$2:$AJ$501,0)),"")</f>
      </c>
      <c r="N90" s="0">
        <f>IFERROR(INDEX(Registro!$M$2:$M$501,MATCH($A90&amp;"|"&amp;8,Registro!$AJ$2:$AJ$501,0)),"")</f>
      </c>
      <c r="O90" s="0">
        <f>IFERROR(INDEX(Registro!$M$2:$M$501,MATCH($A90&amp;"|"&amp;9,Registro!$AJ$2:$AJ$501,0)),"")</f>
      </c>
      <c r="P90" s="0">
        <f>IFERROR(INDEX(Registro!$M$2:$M$501,MATCH($A90&amp;"|"&amp;10,Registro!$AJ$2:$AJ$501,0)),"")</f>
      </c>
    </row>
    <row r="91" spans="1:16">
      <c r="A91" s="6">
        <f>IF(Docentes!$A$86="","",Docentes!$A$86)</f>
      </c>
      <c r="B91" s="5">
        <f>IF($A91="","",COUNTIFS(Registro!$K$2:$K$501,$A91,Registro!$Q$2:$Q$501,"Disponible"))</f>
      </c>
      <c r="C91" s="5">
        <f>IF($A91="","",COUNTIFS(Registro!$K$2:$K$501,$A91,Registro!$O$2:$O$501,"Sí"))</f>
      </c>
      <c r="D91" s="5">
        <f>IF($A91="","",$B91+$C91)</f>
      </c>
      <c r="E91" s="6">
        <f>IF($A91="","",IF($B91=0,"—",$G91&amp;IF($H91&lt;&gt;""," | "&amp;$H91,"")&amp;IF($I91&lt;&gt;""," | "&amp;$I91,"")&amp;IF($J91&lt;&gt;""," | "&amp;$J91,"")&amp;IF($K91&lt;&gt;""," | "&amp;$K91,"")&amp;IF($L91&lt;&gt;""," | "&amp;$L91,"")&amp;IF($M91&lt;&gt;""," | "&amp;$M91,"")&amp;IF($N91&lt;&gt;""," | "&amp;$N91,"")&amp;IF($O91&lt;&gt;""," | "&amp;$O91,"")&amp;IF($P91&lt;&gt;""," | "&amp;$P91,"")&amp;IF($B91&gt;10," | (+"&amp;($B91-10)&amp;" más)","")))</f>
      </c>
      <c r="G91" s="0">
        <f>IFERROR(INDEX(Registro!$M$2:$M$501,MATCH($A91&amp;"|"&amp;1,Registro!$AJ$2:$AJ$501,0)),"")</f>
      </c>
      <c r="H91" s="0">
        <f>IFERROR(INDEX(Registro!$M$2:$M$501,MATCH($A91&amp;"|"&amp;2,Registro!$AJ$2:$AJ$501,0)),"")</f>
      </c>
      <c r="I91" s="0">
        <f>IFERROR(INDEX(Registro!$M$2:$M$501,MATCH($A91&amp;"|"&amp;3,Registro!$AJ$2:$AJ$501,0)),"")</f>
      </c>
      <c r="J91" s="0">
        <f>IFERROR(INDEX(Registro!$M$2:$M$501,MATCH($A91&amp;"|"&amp;4,Registro!$AJ$2:$AJ$501,0)),"")</f>
      </c>
      <c r="K91" s="0">
        <f>IFERROR(INDEX(Registro!$M$2:$M$501,MATCH($A91&amp;"|"&amp;5,Registro!$AJ$2:$AJ$501,0)),"")</f>
      </c>
      <c r="L91" s="0">
        <f>IFERROR(INDEX(Registro!$M$2:$M$501,MATCH($A91&amp;"|"&amp;6,Registro!$AJ$2:$AJ$501,0)),"")</f>
      </c>
      <c r="M91" s="0">
        <f>IFERROR(INDEX(Registro!$M$2:$M$501,MATCH($A91&amp;"|"&amp;7,Registro!$AJ$2:$AJ$501,0)),"")</f>
      </c>
      <c r="N91" s="0">
        <f>IFERROR(INDEX(Registro!$M$2:$M$501,MATCH($A91&amp;"|"&amp;8,Registro!$AJ$2:$AJ$501,0)),"")</f>
      </c>
      <c r="O91" s="0">
        <f>IFERROR(INDEX(Registro!$M$2:$M$501,MATCH($A91&amp;"|"&amp;9,Registro!$AJ$2:$AJ$501,0)),"")</f>
      </c>
      <c r="P91" s="0">
        <f>IFERROR(INDEX(Registro!$M$2:$M$501,MATCH($A91&amp;"|"&amp;10,Registro!$AJ$2:$AJ$501,0)),"")</f>
      </c>
    </row>
    <row r="92" spans="1:16">
      <c r="A92" s="6">
        <f>IF(Docentes!$A$87="","",Docentes!$A$87)</f>
      </c>
      <c r="B92" s="5">
        <f>IF($A92="","",COUNTIFS(Registro!$K$2:$K$501,$A92,Registro!$Q$2:$Q$501,"Disponible"))</f>
      </c>
      <c r="C92" s="5">
        <f>IF($A92="","",COUNTIFS(Registro!$K$2:$K$501,$A92,Registro!$O$2:$O$501,"Sí"))</f>
      </c>
      <c r="D92" s="5">
        <f>IF($A92="","",$B92+$C92)</f>
      </c>
      <c r="E92" s="6">
        <f>IF($A92="","",IF($B92=0,"—",$G92&amp;IF($H92&lt;&gt;""," | "&amp;$H92,"")&amp;IF($I92&lt;&gt;""," | "&amp;$I92,"")&amp;IF($J92&lt;&gt;""," | "&amp;$J92,"")&amp;IF($K92&lt;&gt;""," | "&amp;$K92,"")&amp;IF($L92&lt;&gt;""," | "&amp;$L92,"")&amp;IF($M92&lt;&gt;""," | "&amp;$M92,"")&amp;IF($N92&lt;&gt;""," | "&amp;$N92,"")&amp;IF($O92&lt;&gt;""," | "&amp;$O92,"")&amp;IF($P92&lt;&gt;""," | "&amp;$P92,"")&amp;IF($B92&gt;10," | (+"&amp;($B92-10)&amp;" más)","")))</f>
      </c>
      <c r="G92" s="0">
        <f>IFERROR(INDEX(Registro!$M$2:$M$501,MATCH($A92&amp;"|"&amp;1,Registro!$AJ$2:$AJ$501,0)),"")</f>
      </c>
      <c r="H92" s="0">
        <f>IFERROR(INDEX(Registro!$M$2:$M$501,MATCH($A92&amp;"|"&amp;2,Registro!$AJ$2:$AJ$501,0)),"")</f>
      </c>
      <c r="I92" s="0">
        <f>IFERROR(INDEX(Registro!$M$2:$M$501,MATCH($A92&amp;"|"&amp;3,Registro!$AJ$2:$AJ$501,0)),"")</f>
      </c>
      <c r="J92" s="0">
        <f>IFERROR(INDEX(Registro!$M$2:$M$501,MATCH($A92&amp;"|"&amp;4,Registro!$AJ$2:$AJ$501,0)),"")</f>
      </c>
      <c r="K92" s="0">
        <f>IFERROR(INDEX(Registro!$M$2:$M$501,MATCH($A92&amp;"|"&amp;5,Registro!$AJ$2:$AJ$501,0)),"")</f>
      </c>
      <c r="L92" s="0">
        <f>IFERROR(INDEX(Registro!$M$2:$M$501,MATCH($A92&amp;"|"&amp;6,Registro!$AJ$2:$AJ$501,0)),"")</f>
      </c>
      <c r="M92" s="0">
        <f>IFERROR(INDEX(Registro!$M$2:$M$501,MATCH($A92&amp;"|"&amp;7,Registro!$AJ$2:$AJ$501,0)),"")</f>
      </c>
      <c r="N92" s="0">
        <f>IFERROR(INDEX(Registro!$M$2:$M$501,MATCH($A92&amp;"|"&amp;8,Registro!$AJ$2:$AJ$501,0)),"")</f>
      </c>
      <c r="O92" s="0">
        <f>IFERROR(INDEX(Registro!$M$2:$M$501,MATCH($A92&amp;"|"&amp;9,Registro!$AJ$2:$AJ$501,0)),"")</f>
      </c>
      <c r="P92" s="0">
        <f>IFERROR(INDEX(Registro!$M$2:$M$501,MATCH($A92&amp;"|"&amp;10,Registro!$AJ$2:$AJ$501,0)),"")</f>
      </c>
    </row>
    <row r="93" spans="1:16">
      <c r="A93" s="6">
        <f>IF(Docentes!$A$88="","",Docentes!$A$88)</f>
      </c>
      <c r="B93" s="5">
        <f>IF($A93="","",COUNTIFS(Registro!$K$2:$K$501,$A93,Registro!$Q$2:$Q$501,"Disponible"))</f>
      </c>
      <c r="C93" s="5">
        <f>IF($A93="","",COUNTIFS(Registro!$K$2:$K$501,$A93,Registro!$O$2:$O$501,"Sí"))</f>
      </c>
      <c r="D93" s="5">
        <f>IF($A93="","",$B93+$C93)</f>
      </c>
      <c r="E93" s="6">
        <f>IF($A93="","",IF($B93=0,"—",$G93&amp;IF($H93&lt;&gt;""," | "&amp;$H93,"")&amp;IF($I93&lt;&gt;""," | "&amp;$I93,"")&amp;IF($J93&lt;&gt;""," | "&amp;$J93,"")&amp;IF($K93&lt;&gt;""," | "&amp;$K93,"")&amp;IF($L93&lt;&gt;""," | "&amp;$L93,"")&amp;IF($M93&lt;&gt;""," | "&amp;$M93,"")&amp;IF($N93&lt;&gt;""," | "&amp;$N93,"")&amp;IF($O93&lt;&gt;""," | "&amp;$O93,"")&amp;IF($P93&lt;&gt;""," | "&amp;$P93,"")&amp;IF($B93&gt;10," | (+"&amp;($B93-10)&amp;" más)","")))</f>
      </c>
      <c r="G93" s="0">
        <f>IFERROR(INDEX(Registro!$M$2:$M$501,MATCH($A93&amp;"|"&amp;1,Registro!$AJ$2:$AJ$501,0)),"")</f>
      </c>
      <c r="H93" s="0">
        <f>IFERROR(INDEX(Registro!$M$2:$M$501,MATCH($A93&amp;"|"&amp;2,Registro!$AJ$2:$AJ$501,0)),"")</f>
      </c>
      <c r="I93" s="0">
        <f>IFERROR(INDEX(Registro!$M$2:$M$501,MATCH($A93&amp;"|"&amp;3,Registro!$AJ$2:$AJ$501,0)),"")</f>
      </c>
      <c r="J93" s="0">
        <f>IFERROR(INDEX(Registro!$M$2:$M$501,MATCH($A93&amp;"|"&amp;4,Registro!$AJ$2:$AJ$501,0)),"")</f>
      </c>
      <c r="K93" s="0">
        <f>IFERROR(INDEX(Registro!$M$2:$M$501,MATCH($A93&amp;"|"&amp;5,Registro!$AJ$2:$AJ$501,0)),"")</f>
      </c>
      <c r="L93" s="0">
        <f>IFERROR(INDEX(Registro!$M$2:$M$501,MATCH($A93&amp;"|"&amp;6,Registro!$AJ$2:$AJ$501,0)),"")</f>
      </c>
      <c r="M93" s="0">
        <f>IFERROR(INDEX(Registro!$M$2:$M$501,MATCH($A93&amp;"|"&amp;7,Registro!$AJ$2:$AJ$501,0)),"")</f>
      </c>
      <c r="N93" s="0">
        <f>IFERROR(INDEX(Registro!$M$2:$M$501,MATCH($A93&amp;"|"&amp;8,Registro!$AJ$2:$AJ$501,0)),"")</f>
      </c>
      <c r="O93" s="0">
        <f>IFERROR(INDEX(Registro!$M$2:$M$501,MATCH($A93&amp;"|"&amp;9,Registro!$AJ$2:$AJ$501,0)),"")</f>
      </c>
      <c r="P93" s="0">
        <f>IFERROR(INDEX(Registro!$M$2:$M$501,MATCH($A93&amp;"|"&amp;10,Registro!$AJ$2:$AJ$501,0)),"")</f>
      </c>
    </row>
    <row r="94" spans="1:16">
      <c r="A94" s="6">
        <f>IF(Docentes!$A$89="","",Docentes!$A$89)</f>
      </c>
      <c r="B94" s="5">
        <f>IF($A94="","",COUNTIFS(Registro!$K$2:$K$501,$A94,Registro!$Q$2:$Q$501,"Disponible"))</f>
      </c>
      <c r="C94" s="5">
        <f>IF($A94="","",COUNTIFS(Registro!$K$2:$K$501,$A94,Registro!$O$2:$O$501,"Sí"))</f>
      </c>
      <c r="D94" s="5">
        <f>IF($A94="","",$B94+$C94)</f>
      </c>
      <c r="E94" s="6">
        <f>IF($A94="","",IF($B94=0,"—",$G94&amp;IF($H94&lt;&gt;""," | "&amp;$H94,"")&amp;IF($I94&lt;&gt;""," | "&amp;$I94,"")&amp;IF($J94&lt;&gt;""," | "&amp;$J94,"")&amp;IF($K94&lt;&gt;""," | "&amp;$K94,"")&amp;IF($L94&lt;&gt;""," | "&amp;$L94,"")&amp;IF($M94&lt;&gt;""," | "&amp;$M94,"")&amp;IF($N94&lt;&gt;""," | "&amp;$N94,"")&amp;IF($O94&lt;&gt;""," | "&amp;$O94,"")&amp;IF($P94&lt;&gt;""," | "&amp;$P94,"")&amp;IF($B94&gt;10," | (+"&amp;($B94-10)&amp;" más)","")))</f>
      </c>
      <c r="G94" s="0">
        <f>IFERROR(INDEX(Registro!$M$2:$M$501,MATCH($A94&amp;"|"&amp;1,Registro!$AJ$2:$AJ$501,0)),"")</f>
      </c>
      <c r="H94" s="0">
        <f>IFERROR(INDEX(Registro!$M$2:$M$501,MATCH($A94&amp;"|"&amp;2,Registro!$AJ$2:$AJ$501,0)),"")</f>
      </c>
      <c r="I94" s="0">
        <f>IFERROR(INDEX(Registro!$M$2:$M$501,MATCH($A94&amp;"|"&amp;3,Registro!$AJ$2:$AJ$501,0)),"")</f>
      </c>
      <c r="J94" s="0">
        <f>IFERROR(INDEX(Registro!$M$2:$M$501,MATCH($A94&amp;"|"&amp;4,Registro!$AJ$2:$AJ$501,0)),"")</f>
      </c>
      <c r="K94" s="0">
        <f>IFERROR(INDEX(Registro!$M$2:$M$501,MATCH($A94&amp;"|"&amp;5,Registro!$AJ$2:$AJ$501,0)),"")</f>
      </c>
      <c r="L94" s="0">
        <f>IFERROR(INDEX(Registro!$M$2:$M$501,MATCH($A94&amp;"|"&amp;6,Registro!$AJ$2:$AJ$501,0)),"")</f>
      </c>
      <c r="M94" s="0">
        <f>IFERROR(INDEX(Registro!$M$2:$M$501,MATCH($A94&amp;"|"&amp;7,Registro!$AJ$2:$AJ$501,0)),"")</f>
      </c>
      <c r="N94" s="0">
        <f>IFERROR(INDEX(Registro!$M$2:$M$501,MATCH($A94&amp;"|"&amp;8,Registro!$AJ$2:$AJ$501,0)),"")</f>
      </c>
      <c r="O94" s="0">
        <f>IFERROR(INDEX(Registro!$M$2:$M$501,MATCH($A94&amp;"|"&amp;9,Registro!$AJ$2:$AJ$501,0)),"")</f>
      </c>
      <c r="P94" s="0">
        <f>IFERROR(INDEX(Registro!$M$2:$M$501,MATCH($A94&amp;"|"&amp;10,Registro!$AJ$2:$AJ$501,0)),"")</f>
      </c>
    </row>
    <row r="95" spans="1:16">
      <c r="A95" s="6">
        <f>IF(Docentes!$A$90="","",Docentes!$A$90)</f>
      </c>
      <c r="B95" s="5">
        <f>IF($A95="","",COUNTIFS(Registro!$K$2:$K$501,$A95,Registro!$Q$2:$Q$501,"Disponible"))</f>
      </c>
      <c r="C95" s="5">
        <f>IF($A95="","",COUNTIFS(Registro!$K$2:$K$501,$A95,Registro!$O$2:$O$501,"Sí"))</f>
      </c>
      <c r="D95" s="5">
        <f>IF($A95="","",$B95+$C95)</f>
      </c>
      <c r="E95" s="6">
        <f>IF($A95="","",IF($B95=0,"—",$G95&amp;IF($H95&lt;&gt;""," | "&amp;$H95,"")&amp;IF($I95&lt;&gt;""," | "&amp;$I95,"")&amp;IF($J95&lt;&gt;""," | "&amp;$J95,"")&amp;IF($K95&lt;&gt;""," | "&amp;$K95,"")&amp;IF($L95&lt;&gt;""," | "&amp;$L95,"")&amp;IF($M95&lt;&gt;""," | "&amp;$M95,"")&amp;IF($N95&lt;&gt;""," | "&amp;$N95,"")&amp;IF($O95&lt;&gt;""," | "&amp;$O95,"")&amp;IF($P95&lt;&gt;""," | "&amp;$P95,"")&amp;IF($B95&gt;10," | (+"&amp;($B95-10)&amp;" más)","")))</f>
      </c>
      <c r="G95" s="0">
        <f>IFERROR(INDEX(Registro!$M$2:$M$501,MATCH($A95&amp;"|"&amp;1,Registro!$AJ$2:$AJ$501,0)),"")</f>
      </c>
      <c r="H95" s="0">
        <f>IFERROR(INDEX(Registro!$M$2:$M$501,MATCH($A95&amp;"|"&amp;2,Registro!$AJ$2:$AJ$501,0)),"")</f>
      </c>
      <c r="I95" s="0">
        <f>IFERROR(INDEX(Registro!$M$2:$M$501,MATCH($A95&amp;"|"&amp;3,Registro!$AJ$2:$AJ$501,0)),"")</f>
      </c>
      <c r="J95" s="0">
        <f>IFERROR(INDEX(Registro!$M$2:$M$501,MATCH($A95&amp;"|"&amp;4,Registro!$AJ$2:$AJ$501,0)),"")</f>
      </c>
      <c r="K95" s="0">
        <f>IFERROR(INDEX(Registro!$M$2:$M$501,MATCH($A95&amp;"|"&amp;5,Registro!$AJ$2:$AJ$501,0)),"")</f>
      </c>
      <c r="L95" s="0">
        <f>IFERROR(INDEX(Registro!$M$2:$M$501,MATCH($A95&amp;"|"&amp;6,Registro!$AJ$2:$AJ$501,0)),"")</f>
      </c>
      <c r="M95" s="0">
        <f>IFERROR(INDEX(Registro!$M$2:$M$501,MATCH($A95&amp;"|"&amp;7,Registro!$AJ$2:$AJ$501,0)),"")</f>
      </c>
      <c r="N95" s="0">
        <f>IFERROR(INDEX(Registro!$M$2:$M$501,MATCH($A95&amp;"|"&amp;8,Registro!$AJ$2:$AJ$501,0)),"")</f>
      </c>
      <c r="O95" s="0">
        <f>IFERROR(INDEX(Registro!$M$2:$M$501,MATCH($A95&amp;"|"&amp;9,Registro!$AJ$2:$AJ$501,0)),"")</f>
      </c>
      <c r="P95" s="0">
        <f>IFERROR(INDEX(Registro!$M$2:$M$501,MATCH($A95&amp;"|"&amp;10,Registro!$AJ$2:$AJ$501,0)),"")</f>
      </c>
    </row>
    <row r="96" spans="1:16">
      <c r="A96" s="6">
        <f>IF(Docentes!$A$91="","",Docentes!$A$91)</f>
      </c>
      <c r="B96" s="5">
        <f>IF($A96="","",COUNTIFS(Registro!$K$2:$K$501,$A96,Registro!$Q$2:$Q$501,"Disponible"))</f>
      </c>
      <c r="C96" s="5">
        <f>IF($A96="","",COUNTIFS(Registro!$K$2:$K$501,$A96,Registro!$O$2:$O$501,"Sí"))</f>
      </c>
      <c r="D96" s="5">
        <f>IF($A96="","",$B96+$C96)</f>
      </c>
      <c r="E96" s="6">
        <f>IF($A96="","",IF($B96=0,"—",$G96&amp;IF($H96&lt;&gt;""," | "&amp;$H96,"")&amp;IF($I96&lt;&gt;""," | "&amp;$I96,"")&amp;IF($J96&lt;&gt;""," | "&amp;$J96,"")&amp;IF($K96&lt;&gt;""," | "&amp;$K96,"")&amp;IF($L96&lt;&gt;""," | "&amp;$L96,"")&amp;IF($M96&lt;&gt;""," | "&amp;$M96,"")&amp;IF($N96&lt;&gt;""," | "&amp;$N96,"")&amp;IF($O96&lt;&gt;""," | "&amp;$O96,"")&amp;IF($P96&lt;&gt;""," | "&amp;$P96,"")&amp;IF($B96&gt;10," | (+"&amp;($B96-10)&amp;" más)","")))</f>
      </c>
      <c r="G96" s="0">
        <f>IFERROR(INDEX(Registro!$M$2:$M$501,MATCH($A96&amp;"|"&amp;1,Registro!$AJ$2:$AJ$501,0)),"")</f>
      </c>
      <c r="H96" s="0">
        <f>IFERROR(INDEX(Registro!$M$2:$M$501,MATCH($A96&amp;"|"&amp;2,Registro!$AJ$2:$AJ$501,0)),"")</f>
      </c>
      <c r="I96" s="0">
        <f>IFERROR(INDEX(Registro!$M$2:$M$501,MATCH($A96&amp;"|"&amp;3,Registro!$AJ$2:$AJ$501,0)),"")</f>
      </c>
      <c r="J96" s="0">
        <f>IFERROR(INDEX(Registro!$M$2:$M$501,MATCH($A96&amp;"|"&amp;4,Registro!$AJ$2:$AJ$501,0)),"")</f>
      </c>
      <c r="K96" s="0">
        <f>IFERROR(INDEX(Registro!$M$2:$M$501,MATCH($A96&amp;"|"&amp;5,Registro!$AJ$2:$AJ$501,0)),"")</f>
      </c>
      <c r="L96" s="0">
        <f>IFERROR(INDEX(Registro!$M$2:$M$501,MATCH($A96&amp;"|"&amp;6,Registro!$AJ$2:$AJ$501,0)),"")</f>
      </c>
      <c r="M96" s="0">
        <f>IFERROR(INDEX(Registro!$M$2:$M$501,MATCH($A96&amp;"|"&amp;7,Registro!$AJ$2:$AJ$501,0)),"")</f>
      </c>
      <c r="N96" s="0">
        <f>IFERROR(INDEX(Registro!$M$2:$M$501,MATCH($A96&amp;"|"&amp;8,Registro!$AJ$2:$AJ$501,0)),"")</f>
      </c>
      <c r="O96" s="0">
        <f>IFERROR(INDEX(Registro!$M$2:$M$501,MATCH($A96&amp;"|"&amp;9,Registro!$AJ$2:$AJ$501,0)),"")</f>
      </c>
      <c r="P96" s="0">
        <f>IFERROR(INDEX(Registro!$M$2:$M$501,MATCH($A96&amp;"|"&amp;10,Registro!$AJ$2:$AJ$501,0)),"")</f>
      </c>
    </row>
    <row r="97" spans="1:16">
      <c r="A97" s="6">
        <f>IF(Docentes!$A$92="","",Docentes!$A$92)</f>
      </c>
      <c r="B97" s="5">
        <f>IF($A97="","",COUNTIFS(Registro!$K$2:$K$501,$A97,Registro!$Q$2:$Q$501,"Disponible"))</f>
      </c>
      <c r="C97" s="5">
        <f>IF($A97="","",COUNTIFS(Registro!$K$2:$K$501,$A97,Registro!$O$2:$O$501,"Sí"))</f>
      </c>
      <c r="D97" s="5">
        <f>IF($A97="","",$B97+$C97)</f>
      </c>
      <c r="E97" s="6">
        <f>IF($A97="","",IF($B97=0,"—",$G97&amp;IF($H97&lt;&gt;""," | "&amp;$H97,"")&amp;IF($I97&lt;&gt;""," | "&amp;$I97,"")&amp;IF($J97&lt;&gt;""," | "&amp;$J97,"")&amp;IF($K97&lt;&gt;""," | "&amp;$K97,"")&amp;IF($L97&lt;&gt;""," | "&amp;$L97,"")&amp;IF($M97&lt;&gt;""," | "&amp;$M97,"")&amp;IF($N97&lt;&gt;""," | "&amp;$N97,"")&amp;IF($O97&lt;&gt;""," | "&amp;$O97,"")&amp;IF($P97&lt;&gt;""," | "&amp;$P97,"")&amp;IF($B97&gt;10," | (+"&amp;($B97-10)&amp;" más)","")))</f>
      </c>
      <c r="G97" s="0">
        <f>IFERROR(INDEX(Registro!$M$2:$M$501,MATCH($A97&amp;"|"&amp;1,Registro!$AJ$2:$AJ$501,0)),"")</f>
      </c>
      <c r="H97" s="0">
        <f>IFERROR(INDEX(Registro!$M$2:$M$501,MATCH($A97&amp;"|"&amp;2,Registro!$AJ$2:$AJ$501,0)),"")</f>
      </c>
      <c r="I97" s="0">
        <f>IFERROR(INDEX(Registro!$M$2:$M$501,MATCH($A97&amp;"|"&amp;3,Registro!$AJ$2:$AJ$501,0)),"")</f>
      </c>
      <c r="J97" s="0">
        <f>IFERROR(INDEX(Registro!$M$2:$M$501,MATCH($A97&amp;"|"&amp;4,Registro!$AJ$2:$AJ$501,0)),"")</f>
      </c>
      <c r="K97" s="0">
        <f>IFERROR(INDEX(Registro!$M$2:$M$501,MATCH($A97&amp;"|"&amp;5,Registro!$AJ$2:$AJ$501,0)),"")</f>
      </c>
      <c r="L97" s="0">
        <f>IFERROR(INDEX(Registro!$M$2:$M$501,MATCH($A97&amp;"|"&amp;6,Registro!$AJ$2:$AJ$501,0)),"")</f>
      </c>
      <c r="M97" s="0">
        <f>IFERROR(INDEX(Registro!$M$2:$M$501,MATCH($A97&amp;"|"&amp;7,Registro!$AJ$2:$AJ$501,0)),"")</f>
      </c>
      <c r="N97" s="0">
        <f>IFERROR(INDEX(Registro!$M$2:$M$501,MATCH($A97&amp;"|"&amp;8,Registro!$AJ$2:$AJ$501,0)),"")</f>
      </c>
      <c r="O97" s="0">
        <f>IFERROR(INDEX(Registro!$M$2:$M$501,MATCH($A97&amp;"|"&amp;9,Registro!$AJ$2:$AJ$501,0)),"")</f>
      </c>
      <c r="P97" s="0">
        <f>IFERROR(INDEX(Registro!$M$2:$M$501,MATCH($A97&amp;"|"&amp;10,Registro!$AJ$2:$AJ$501,0)),"")</f>
      </c>
    </row>
    <row r="98" spans="1:16">
      <c r="A98" s="6">
        <f>IF(Docentes!$A$93="","",Docentes!$A$93)</f>
      </c>
      <c r="B98" s="5">
        <f>IF($A98="","",COUNTIFS(Registro!$K$2:$K$501,$A98,Registro!$Q$2:$Q$501,"Disponible"))</f>
      </c>
      <c r="C98" s="5">
        <f>IF($A98="","",COUNTIFS(Registro!$K$2:$K$501,$A98,Registro!$O$2:$O$501,"Sí"))</f>
      </c>
      <c r="D98" s="5">
        <f>IF($A98="","",$B98+$C98)</f>
      </c>
      <c r="E98" s="6">
        <f>IF($A98="","",IF($B98=0,"—",$G98&amp;IF($H98&lt;&gt;""," | "&amp;$H98,"")&amp;IF($I98&lt;&gt;""," | "&amp;$I98,"")&amp;IF($J98&lt;&gt;""," | "&amp;$J98,"")&amp;IF($K98&lt;&gt;""," | "&amp;$K98,"")&amp;IF($L98&lt;&gt;""," | "&amp;$L98,"")&amp;IF($M98&lt;&gt;""," | "&amp;$M98,"")&amp;IF($N98&lt;&gt;""," | "&amp;$N98,"")&amp;IF($O98&lt;&gt;""," | "&amp;$O98,"")&amp;IF($P98&lt;&gt;""," | "&amp;$P98,"")&amp;IF($B98&gt;10," | (+"&amp;($B98-10)&amp;" más)","")))</f>
      </c>
      <c r="G98" s="0">
        <f>IFERROR(INDEX(Registro!$M$2:$M$501,MATCH($A98&amp;"|"&amp;1,Registro!$AJ$2:$AJ$501,0)),"")</f>
      </c>
      <c r="H98" s="0">
        <f>IFERROR(INDEX(Registro!$M$2:$M$501,MATCH($A98&amp;"|"&amp;2,Registro!$AJ$2:$AJ$501,0)),"")</f>
      </c>
      <c r="I98" s="0">
        <f>IFERROR(INDEX(Registro!$M$2:$M$501,MATCH($A98&amp;"|"&amp;3,Registro!$AJ$2:$AJ$501,0)),"")</f>
      </c>
      <c r="J98" s="0">
        <f>IFERROR(INDEX(Registro!$M$2:$M$501,MATCH($A98&amp;"|"&amp;4,Registro!$AJ$2:$AJ$501,0)),"")</f>
      </c>
      <c r="K98" s="0">
        <f>IFERROR(INDEX(Registro!$M$2:$M$501,MATCH($A98&amp;"|"&amp;5,Registro!$AJ$2:$AJ$501,0)),"")</f>
      </c>
      <c r="L98" s="0">
        <f>IFERROR(INDEX(Registro!$M$2:$M$501,MATCH($A98&amp;"|"&amp;6,Registro!$AJ$2:$AJ$501,0)),"")</f>
      </c>
      <c r="M98" s="0">
        <f>IFERROR(INDEX(Registro!$M$2:$M$501,MATCH($A98&amp;"|"&amp;7,Registro!$AJ$2:$AJ$501,0)),"")</f>
      </c>
      <c r="N98" s="0">
        <f>IFERROR(INDEX(Registro!$M$2:$M$501,MATCH($A98&amp;"|"&amp;8,Registro!$AJ$2:$AJ$501,0)),"")</f>
      </c>
      <c r="O98" s="0">
        <f>IFERROR(INDEX(Registro!$M$2:$M$501,MATCH($A98&amp;"|"&amp;9,Registro!$AJ$2:$AJ$501,0)),"")</f>
      </c>
      <c r="P98" s="0">
        <f>IFERROR(INDEX(Registro!$M$2:$M$501,MATCH($A98&amp;"|"&amp;10,Registro!$AJ$2:$AJ$501,0)),"")</f>
      </c>
    </row>
    <row r="99" spans="1:16">
      <c r="A99" s="6">
        <f>IF(Docentes!$A$94="","",Docentes!$A$94)</f>
      </c>
      <c r="B99" s="5">
        <f>IF($A99="","",COUNTIFS(Registro!$K$2:$K$501,$A99,Registro!$Q$2:$Q$501,"Disponible"))</f>
      </c>
      <c r="C99" s="5">
        <f>IF($A99="","",COUNTIFS(Registro!$K$2:$K$501,$A99,Registro!$O$2:$O$501,"Sí"))</f>
      </c>
      <c r="D99" s="5">
        <f>IF($A99="","",$B99+$C99)</f>
      </c>
      <c r="E99" s="6">
        <f>IF($A99="","",IF($B99=0,"—",$G99&amp;IF($H99&lt;&gt;""," | "&amp;$H99,"")&amp;IF($I99&lt;&gt;""," | "&amp;$I99,"")&amp;IF($J99&lt;&gt;""," | "&amp;$J99,"")&amp;IF($K99&lt;&gt;""," | "&amp;$K99,"")&amp;IF($L99&lt;&gt;""," | "&amp;$L99,"")&amp;IF($M99&lt;&gt;""," | "&amp;$M99,"")&amp;IF($N99&lt;&gt;""," | "&amp;$N99,"")&amp;IF($O99&lt;&gt;""," | "&amp;$O99,"")&amp;IF($P99&lt;&gt;""," | "&amp;$P99,"")&amp;IF($B99&gt;10," | (+"&amp;($B99-10)&amp;" más)","")))</f>
      </c>
      <c r="G99" s="0">
        <f>IFERROR(INDEX(Registro!$M$2:$M$501,MATCH($A99&amp;"|"&amp;1,Registro!$AJ$2:$AJ$501,0)),"")</f>
      </c>
      <c r="H99" s="0">
        <f>IFERROR(INDEX(Registro!$M$2:$M$501,MATCH($A99&amp;"|"&amp;2,Registro!$AJ$2:$AJ$501,0)),"")</f>
      </c>
      <c r="I99" s="0">
        <f>IFERROR(INDEX(Registro!$M$2:$M$501,MATCH($A99&amp;"|"&amp;3,Registro!$AJ$2:$AJ$501,0)),"")</f>
      </c>
      <c r="J99" s="0">
        <f>IFERROR(INDEX(Registro!$M$2:$M$501,MATCH($A99&amp;"|"&amp;4,Registro!$AJ$2:$AJ$501,0)),"")</f>
      </c>
      <c r="K99" s="0">
        <f>IFERROR(INDEX(Registro!$M$2:$M$501,MATCH($A99&amp;"|"&amp;5,Registro!$AJ$2:$AJ$501,0)),"")</f>
      </c>
      <c r="L99" s="0">
        <f>IFERROR(INDEX(Registro!$M$2:$M$501,MATCH($A99&amp;"|"&amp;6,Registro!$AJ$2:$AJ$501,0)),"")</f>
      </c>
      <c r="M99" s="0">
        <f>IFERROR(INDEX(Registro!$M$2:$M$501,MATCH($A99&amp;"|"&amp;7,Registro!$AJ$2:$AJ$501,0)),"")</f>
      </c>
      <c r="N99" s="0">
        <f>IFERROR(INDEX(Registro!$M$2:$M$501,MATCH($A99&amp;"|"&amp;8,Registro!$AJ$2:$AJ$501,0)),"")</f>
      </c>
      <c r="O99" s="0">
        <f>IFERROR(INDEX(Registro!$M$2:$M$501,MATCH($A99&amp;"|"&amp;9,Registro!$AJ$2:$AJ$501,0)),"")</f>
      </c>
      <c r="P99" s="0">
        <f>IFERROR(INDEX(Registro!$M$2:$M$501,MATCH($A99&amp;"|"&amp;10,Registro!$AJ$2:$AJ$501,0)),"")</f>
      </c>
    </row>
    <row r="100" spans="1:16">
      <c r="A100" s="6">
        <f>IF(Docentes!$A$95="","",Docentes!$A$95)</f>
      </c>
      <c r="B100" s="5">
        <f>IF($A100="","",COUNTIFS(Registro!$K$2:$K$501,$A100,Registro!$Q$2:$Q$501,"Disponible"))</f>
      </c>
      <c r="C100" s="5">
        <f>IF($A100="","",COUNTIFS(Registro!$K$2:$K$501,$A100,Registro!$O$2:$O$501,"Sí"))</f>
      </c>
      <c r="D100" s="5">
        <f>IF($A100="","",$B100+$C100)</f>
      </c>
      <c r="E100" s="6">
        <f>IF($A100="","",IF($B100=0,"—",$G100&amp;IF($H100&lt;&gt;""," | "&amp;$H100,"")&amp;IF($I100&lt;&gt;""," | "&amp;$I100,"")&amp;IF($J100&lt;&gt;""," | "&amp;$J100,"")&amp;IF($K100&lt;&gt;""," | "&amp;$K100,"")&amp;IF($L100&lt;&gt;""," | "&amp;$L100,"")&amp;IF($M100&lt;&gt;""," | "&amp;$M100,"")&amp;IF($N100&lt;&gt;""," | "&amp;$N100,"")&amp;IF($O100&lt;&gt;""," | "&amp;$O100,"")&amp;IF($P100&lt;&gt;""," | "&amp;$P100,"")&amp;IF($B100&gt;10," | (+"&amp;($B100-10)&amp;" más)","")))</f>
      </c>
      <c r="G100" s="0">
        <f>IFERROR(INDEX(Registro!$M$2:$M$501,MATCH($A100&amp;"|"&amp;1,Registro!$AJ$2:$AJ$501,0)),"")</f>
      </c>
      <c r="H100" s="0">
        <f>IFERROR(INDEX(Registro!$M$2:$M$501,MATCH($A100&amp;"|"&amp;2,Registro!$AJ$2:$AJ$501,0)),"")</f>
      </c>
      <c r="I100" s="0">
        <f>IFERROR(INDEX(Registro!$M$2:$M$501,MATCH($A100&amp;"|"&amp;3,Registro!$AJ$2:$AJ$501,0)),"")</f>
      </c>
      <c r="J100" s="0">
        <f>IFERROR(INDEX(Registro!$M$2:$M$501,MATCH($A100&amp;"|"&amp;4,Registro!$AJ$2:$AJ$501,0)),"")</f>
      </c>
      <c r="K100" s="0">
        <f>IFERROR(INDEX(Registro!$M$2:$M$501,MATCH($A100&amp;"|"&amp;5,Registro!$AJ$2:$AJ$501,0)),"")</f>
      </c>
      <c r="L100" s="0">
        <f>IFERROR(INDEX(Registro!$M$2:$M$501,MATCH($A100&amp;"|"&amp;6,Registro!$AJ$2:$AJ$501,0)),"")</f>
      </c>
      <c r="M100" s="0">
        <f>IFERROR(INDEX(Registro!$M$2:$M$501,MATCH($A100&amp;"|"&amp;7,Registro!$AJ$2:$AJ$501,0)),"")</f>
      </c>
      <c r="N100" s="0">
        <f>IFERROR(INDEX(Registro!$M$2:$M$501,MATCH($A100&amp;"|"&amp;8,Registro!$AJ$2:$AJ$501,0)),"")</f>
      </c>
      <c r="O100" s="0">
        <f>IFERROR(INDEX(Registro!$M$2:$M$501,MATCH($A100&amp;"|"&amp;9,Registro!$AJ$2:$AJ$501,0)),"")</f>
      </c>
      <c r="P100" s="0">
        <f>IFERROR(INDEX(Registro!$M$2:$M$501,MATCH($A100&amp;"|"&amp;10,Registro!$AJ$2:$AJ$501,0)),"")</f>
      </c>
    </row>
    <row r="101" spans="1:16">
      <c r="A101" s="6">
        <f>IF(Docentes!$A$96="","",Docentes!$A$96)</f>
      </c>
      <c r="B101" s="5">
        <f>IF($A101="","",COUNTIFS(Registro!$K$2:$K$501,$A101,Registro!$Q$2:$Q$501,"Disponible"))</f>
      </c>
      <c r="C101" s="5">
        <f>IF($A101="","",COUNTIFS(Registro!$K$2:$K$501,$A101,Registro!$O$2:$O$501,"Sí"))</f>
      </c>
      <c r="D101" s="5">
        <f>IF($A101="","",$B101+$C101)</f>
      </c>
      <c r="E101" s="6">
        <f>IF($A101="","",IF($B101=0,"—",$G101&amp;IF($H101&lt;&gt;""," | "&amp;$H101,"")&amp;IF($I101&lt;&gt;""," | "&amp;$I101,"")&amp;IF($J101&lt;&gt;""," | "&amp;$J101,"")&amp;IF($K101&lt;&gt;""," | "&amp;$K101,"")&amp;IF($L101&lt;&gt;""," | "&amp;$L101,"")&amp;IF($M101&lt;&gt;""," | "&amp;$M101,"")&amp;IF($N101&lt;&gt;""," | "&amp;$N101,"")&amp;IF($O101&lt;&gt;""," | "&amp;$O101,"")&amp;IF($P101&lt;&gt;""," | "&amp;$P101,"")&amp;IF($B101&gt;10," | (+"&amp;($B101-10)&amp;" más)","")))</f>
      </c>
      <c r="G101" s="0">
        <f>IFERROR(INDEX(Registro!$M$2:$M$501,MATCH($A101&amp;"|"&amp;1,Registro!$AJ$2:$AJ$501,0)),"")</f>
      </c>
      <c r="H101" s="0">
        <f>IFERROR(INDEX(Registro!$M$2:$M$501,MATCH($A101&amp;"|"&amp;2,Registro!$AJ$2:$AJ$501,0)),"")</f>
      </c>
      <c r="I101" s="0">
        <f>IFERROR(INDEX(Registro!$M$2:$M$501,MATCH($A101&amp;"|"&amp;3,Registro!$AJ$2:$AJ$501,0)),"")</f>
      </c>
      <c r="J101" s="0">
        <f>IFERROR(INDEX(Registro!$M$2:$M$501,MATCH($A101&amp;"|"&amp;4,Registro!$AJ$2:$AJ$501,0)),"")</f>
      </c>
      <c r="K101" s="0">
        <f>IFERROR(INDEX(Registro!$M$2:$M$501,MATCH($A101&amp;"|"&amp;5,Registro!$AJ$2:$AJ$501,0)),"")</f>
      </c>
      <c r="L101" s="0">
        <f>IFERROR(INDEX(Registro!$M$2:$M$501,MATCH($A101&amp;"|"&amp;6,Registro!$AJ$2:$AJ$501,0)),"")</f>
      </c>
      <c r="M101" s="0">
        <f>IFERROR(INDEX(Registro!$M$2:$M$501,MATCH($A101&amp;"|"&amp;7,Registro!$AJ$2:$AJ$501,0)),"")</f>
      </c>
      <c r="N101" s="0">
        <f>IFERROR(INDEX(Registro!$M$2:$M$501,MATCH($A101&amp;"|"&amp;8,Registro!$AJ$2:$AJ$501,0)),"")</f>
      </c>
      <c r="O101" s="0">
        <f>IFERROR(INDEX(Registro!$M$2:$M$501,MATCH($A101&amp;"|"&amp;9,Registro!$AJ$2:$AJ$501,0)),"")</f>
      </c>
      <c r="P101" s="0">
        <f>IFERROR(INDEX(Registro!$M$2:$M$501,MATCH($A101&amp;"|"&amp;10,Registro!$AJ$2:$AJ$501,0)),"")</f>
      </c>
    </row>
    <row r="102" spans="1:16">
      <c r="A102" s="6">
        <f>IF(Docentes!$A$97="","",Docentes!$A$97)</f>
      </c>
      <c r="B102" s="5">
        <f>IF($A102="","",COUNTIFS(Registro!$K$2:$K$501,$A102,Registro!$Q$2:$Q$501,"Disponible"))</f>
      </c>
      <c r="C102" s="5">
        <f>IF($A102="","",COUNTIFS(Registro!$K$2:$K$501,$A102,Registro!$O$2:$O$501,"Sí"))</f>
      </c>
      <c r="D102" s="5">
        <f>IF($A102="","",$B102+$C102)</f>
      </c>
      <c r="E102" s="6">
        <f>IF($A102="","",IF($B102=0,"—",$G102&amp;IF($H102&lt;&gt;""," | "&amp;$H102,"")&amp;IF($I102&lt;&gt;""," | "&amp;$I102,"")&amp;IF($J102&lt;&gt;""," | "&amp;$J102,"")&amp;IF($K102&lt;&gt;""," | "&amp;$K102,"")&amp;IF($L102&lt;&gt;""," | "&amp;$L102,"")&amp;IF($M102&lt;&gt;""," | "&amp;$M102,"")&amp;IF($N102&lt;&gt;""," | "&amp;$N102,"")&amp;IF($O102&lt;&gt;""," | "&amp;$O102,"")&amp;IF($P102&lt;&gt;""," | "&amp;$P102,"")&amp;IF($B102&gt;10," | (+"&amp;($B102-10)&amp;" más)","")))</f>
      </c>
      <c r="G102" s="0">
        <f>IFERROR(INDEX(Registro!$M$2:$M$501,MATCH($A102&amp;"|"&amp;1,Registro!$AJ$2:$AJ$501,0)),"")</f>
      </c>
      <c r="H102" s="0">
        <f>IFERROR(INDEX(Registro!$M$2:$M$501,MATCH($A102&amp;"|"&amp;2,Registro!$AJ$2:$AJ$501,0)),"")</f>
      </c>
      <c r="I102" s="0">
        <f>IFERROR(INDEX(Registro!$M$2:$M$501,MATCH($A102&amp;"|"&amp;3,Registro!$AJ$2:$AJ$501,0)),"")</f>
      </c>
      <c r="J102" s="0">
        <f>IFERROR(INDEX(Registro!$M$2:$M$501,MATCH($A102&amp;"|"&amp;4,Registro!$AJ$2:$AJ$501,0)),"")</f>
      </c>
      <c r="K102" s="0">
        <f>IFERROR(INDEX(Registro!$M$2:$M$501,MATCH($A102&amp;"|"&amp;5,Registro!$AJ$2:$AJ$501,0)),"")</f>
      </c>
      <c r="L102" s="0">
        <f>IFERROR(INDEX(Registro!$M$2:$M$501,MATCH($A102&amp;"|"&amp;6,Registro!$AJ$2:$AJ$501,0)),"")</f>
      </c>
      <c r="M102" s="0">
        <f>IFERROR(INDEX(Registro!$M$2:$M$501,MATCH($A102&amp;"|"&amp;7,Registro!$AJ$2:$AJ$501,0)),"")</f>
      </c>
      <c r="N102" s="0">
        <f>IFERROR(INDEX(Registro!$M$2:$M$501,MATCH($A102&amp;"|"&amp;8,Registro!$AJ$2:$AJ$501,0)),"")</f>
      </c>
      <c r="O102" s="0">
        <f>IFERROR(INDEX(Registro!$M$2:$M$501,MATCH($A102&amp;"|"&amp;9,Registro!$AJ$2:$AJ$501,0)),"")</f>
      </c>
      <c r="P102" s="0">
        <f>IFERROR(INDEX(Registro!$M$2:$M$501,MATCH($A102&amp;"|"&amp;10,Registro!$AJ$2:$AJ$501,0)),"")</f>
      </c>
    </row>
    <row r="103" spans="1:16">
      <c r="A103" s="6">
        <f>IF(Docentes!$A$98="","",Docentes!$A$98)</f>
      </c>
      <c r="B103" s="5">
        <f>IF($A103="","",COUNTIFS(Registro!$K$2:$K$501,$A103,Registro!$Q$2:$Q$501,"Disponible"))</f>
      </c>
      <c r="C103" s="5">
        <f>IF($A103="","",COUNTIFS(Registro!$K$2:$K$501,$A103,Registro!$O$2:$O$501,"Sí"))</f>
      </c>
      <c r="D103" s="5">
        <f>IF($A103="","",$B103+$C103)</f>
      </c>
      <c r="E103" s="6">
        <f>IF($A103="","",IF($B103=0,"—",$G103&amp;IF($H103&lt;&gt;""," | "&amp;$H103,"")&amp;IF($I103&lt;&gt;""," | "&amp;$I103,"")&amp;IF($J103&lt;&gt;""," | "&amp;$J103,"")&amp;IF($K103&lt;&gt;""," | "&amp;$K103,"")&amp;IF($L103&lt;&gt;""," | "&amp;$L103,"")&amp;IF($M103&lt;&gt;""," | "&amp;$M103,"")&amp;IF($N103&lt;&gt;""," | "&amp;$N103,"")&amp;IF($O103&lt;&gt;""," | "&amp;$O103,"")&amp;IF($P103&lt;&gt;""," | "&amp;$P103,"")&amp;IF($B103&gt;10," | (+"&amp;($B103-10)&amp;" más)","")))</f>
      </c>
      <c r="G103" s="0">
        <f>IFERROR(INDEX(Registro!$M$2:$M$501,MATCH($A103&amp;"|"&amp;1,Registro!$AJ$2:$AJ$501,0)),"")</f>
      </c>
      <c r="H103" s="0">
        <f>IFERROR(INDEX(Registro!$M$2:$M$501,MATCH($A103&amp;"|"&amp;2,Registro!$AJ$2:$AJ$501,0)),"")</f>
      </c>
      <c r="I103" s="0">
        <f>IFERROR(INDEX(Registro!$M$2:$M$501,MATCH($A103&amp;"|"&amp;3,Registro!$AJ$2:$AJ$501,0)),"")</f>
      </c>
      <c r="J103" s="0">
        <f>IFERROR(INDEX(Registro!$M$2:$M$501,MATCH($A103&amp;"|"&amp;4,Registro!$AJ$2:$AJ$501,0)),"")</f>
      </c>
      <c r="K103" s="0">
        <f>IFERROR(INDEX(Registro!$M$2:$M$501,MATCH($A103&amp;"|"&amp;5,Registro!$AJ$2:$AJ$501,0)),"")</f>
      </c>
      <c r="L103" s="0">
        <f>IFERROR(INDEX(Registro!$M$2:$M$501,MATCH($A103&amp;"|"&amp;6,Registro!$AJ$2:$AJ$501,0)),"")</f>
      </c>
      <c r="M103" s="0">
        <f>IFERROR(INDEX(Registro!$M$2:$M$501,MATCH($A103&amp;"|"&amp;7,Registro!$AJ$2:$AJ$501,0)),"")</f>
      </c>
      <c r="N103" s="0">
        <f>IFERROR(INDEX(Registro!$M$2:$M$501,MATCH($A103&amp;"|"&amp;8,Registro!$AJ$2:$AJ$501,0)),"")</f>
      </c>
      <c r="O103" s="0">
        <f>IFERROR(INDEX(Registro!$M$2:$M$501,MATCH($A103&amp;"|"&amp;9,Registro!$AJ$2:$AJ$501,0)),"")</f>
      </c>
      <c r="P103" s="0">
        <f>IFERROR(INDEX(Registro!$M$2:$M$501,MATCH($A103&amp;"|"&amp;10,Registro!$AJ$2:$AJ$501,0)),"")</f>
      </c>
    </row>
    <row r="104" spans="1:16">
      <c r="A104" s="6">
        <f>IF(Docentes!$A$99="","",Docentes!$A$99)</f>
      </c>
      <c r="B104" s="5">
        <f>IF($A104="","",COUNTIFS(Registro!$K$2:$K$501,$A104,Registro!$Q$2:$Q$501,"Disponible"))</f>
      </c>
      <c r="C104" s="5">
        <f>IF($A104="","",COUNTIFS(Registro!$K$2:$K$501,$A104,Registro!$O$2:$O$501,"Sí"))</f>
      </c>
      <c r="D104" s="5">
        <f>IF($A104="","",$B104+$C104)</f>
      </c>
      <c r="E104" s="6">
        <f>IF($A104="","",IF($B104=0,"—",$G104&amp;IF($H104&lt;&gt;""," | "&amp;$H104,"")&amp;IF($I104&lt;&gt;""," | "&amp;$I104,"")&amp;IF($J104&lt;&gt;""," | "&amp;$J104,"")&amp;IF($K104&lt;&gt;""," | "&amp;$K104,"")&amp;IF($L104&lt;&gt;""," | "&amp;$L104,"")&amp;IF($M104&lt;&gt;""," | "&amp;$M104,"")&amp;IF($N104&lt;&gt;""," | "&amp;$N104,"")&amp;IF($O104&lt;&gt;""," | "&amp;$O104,"")&amp;IF($P104&lt;&gt;""," | "&amp;$P104,"")&amp;IF($B104&gt;10," | (+"&amp;($B104-10)&amp;" más)","")))</f>
      </c>
      <c r="G104" s="0">
        <f>IFERROR(INDEX(Registro!$M$2:$M$501,MATCH($A104&amp;"|"&amp;1,Registro!$AJ$2:$AJ$501,0)),"")</f>
      </c>
      <c r="H104" s="0">
        <f>IFERROR(INDEX(Registro!$M$2:$M$501,MATCH($A104&amp;"|"&amp;2,Registro!$AJ$2:$AJ$501,0)),"")</f>
      </c>
      <c r="I104" s="0">
        <f>IFERROR(INDEX(Registro!$M$2:$M$501,MATCH($A104&amp;"|"&amp;3,Registro!$AJ$2:$AJ$501,0)),"")</f>
      </c>
      <c r="J104" s="0">
        <f>IFERROR(INDEX(Registro!$M$2:$M$501,MATCH($A104&amp;"|"&amp;4,Registro!$AJ$2:$AJ$501,0)),"")</f>
      </c>
      <c r="K104" s="0">
        <f>IFERROR(INDEX(Registro!$M$2:$M$501,MATCH($A104&amp;"|"&amp;5,Registro!$AJ$2:$AJ$501,0)),"")</f>
      </c>
      <c r="L104" s="0">
        <f>IFERROR(INDEX(Registro!$M$2:$M$501,MATCH($A104&amp;"|"&amp;6,Registro!$AJ$2:$AJ$501,0)),"")</f>
      </c>
      <c r="M104" s="0">
        <f>IFERROR(INDEX(Registro!$M$2:$M$501,MATCH($A104&amp;"|"&amp;7,Registro!$AJ$2:$AJ$501,0)),"")</f>
      </c>
      <c r="N104" s="0">
        <f>IFERROR(INDEX(Registro!$M$2:$M$501,MATCH($A104&amp;"|"&amp;8,Registro!$AJ$2:$AJ$501,0)),"")</f>
      </c>
      <c r="O104" s="0">
        <f>IFERROR(INDEX(Registro!$M$2:$M$501,MATCH($A104&amp;"|"&amp;9,Registro!$AJ$2:$AJ$501,0)),"")</f>
      </c>
      <c r="P104" s="0">
        <f>IFERROR(INDEX(Registro!$M$2:$M$501,MATCH($A104&amp;"|"&amp;10,Registro!$AJ$2:$AJ$501,0)),"")</f>
      </c>
    </row>
    <row r="105" spans="1:16">
      <c r="A105" s="6">
        <f>IF(Docentes!$A$100="","",Docentes!$A$100)</f>
      </c>
      <c r="B105" s="5">
        <f>IF($A105="","",COUNTIFS(Registro!$K$2:$K$501,$A105,Registro!$Q$2:$Q$501,"Disponible"))</f>
      </c>
      <c r="C105" s="5">
        <f>IF($A105="","",COUNTIFS(Registro!$K$2:$K$501,$A105,Registro!$O$2:$O$501,"Sí"))</f>
      </c>
      <c r="D105" s="5">
        <f>IF($A105="","",$B105+$C105)</f>
      </c>
      <c r="E105" s="6">
        <f>IF($A105="","",IF($B105=0,"—",$G105&amp;IF($H105&lt;&gt;""," | "&amp;$H105,"")&amp;IF($I105&lt;&gt;""," | "&amp;$I105,"")&amp;IF($J105&lt;&gt;""," | "&amp;$J105,"")&amp;IF($K105&lt;&gt;""," | "&amp;$K105,"")&amp;IF($L105&lt;&gt;""," | "&amp;$L105,"")&amp;IF($M105&lt;&gt;""," | "&amp;$M105,"")&amp;IF($N105&lt;&gt;""," | "&amp;$N105,"")&amp;IF($O105&lt;&gt;""," | "&amp;$O105,"")&amp;IF($P105&lt;&gt;""," | "&amp;$P105,"")&amp;IF($B105&gt;10," | (+"&amp;($B105-10)&amp;" más)","")))</f>
      </c>
      <c r="G105" s="0">
        <f>IFERROR(INDEX(Registro!$M$2:$M$501,MATCH($A105&amp;"|"&amp;1,Registro!$AJ$2:$AJ$501,0)),"")</f>
      </c>
      <c r="H105" s="0">
        <f>IFERROR(INDEX(Registro!$M$2:$M$501,MATCH($A105&amp;"|"&amp;2,Registro!$AJ$2:$AJ$501,0)),"")</f>
      </c>
      <c r="I105" s="0">
        <f>IFERROR(INDEX(Registro!$M$2:$M$501,MATCH($A105&amp;"|"&amp;3,Registro!$AJ$2:$AJ$501,0)),"")</f>
      </c>
      <c r="J105" s="0">
        <f>IFERROR(INDEX(Registro!$M$2:$M$501,MATCH($A105&amp;"|"&amp;4,Registro!$AJ$2:$AJ$501,0)),"")</f>
      </c>
      <c r="K105" s="0">
        <f>IFERROR(INDEX(Registro!$M$2:$M$501,MATCH($A105&amp;"|"&amp;5,Registro!$AJ$2:$AJ$501,0)),"")</f>
      </c>
      <c r="L105" s="0">
        <f>IFERROR(INDEX(Registro!$M$2:$M$501,MATCH($A105&amp;"|"&amp;6,Registro!$AJ$2:$AJ$501,0)),"")</f>
      </c>
      <c r="M105" s="0">
        <f>IFERROR(INDEX(Registro!$M$2:$M$501,MATCH($A105&amp;"|"&amp;7,Registro!$AJ$2:$AJ$501,0)),"")</f>
      </c>
      <c r="N105" s="0">
        <f>IFERROR(INDEX(Registro!$M$2:$M$501,MATCH($A105&amp;"|"&amp;8,Registro!$AJ$2:$AJ$501,0)),"")</f>
      </c>
      <c r="O105" s="0">
        <f>IFERROR(INDEX(Registro!$M$2:$M$501,MATCH($A105&amp;"|"&amp;9,Registro!$AJ$2:$AJ$501,0)),"")</f>
      </c>
      <c r="P105" s="0">
        <f>IFERROR(INDEX(Registro!$M$2:$M$501,MATCH($A105&amp;"|"&amp;10,Registro!$AJ$2:$AJ$501,0)),"")</f>
      </c>
    </row>
    <row r="106" spans="1:16">
      <c r="A106" s="6">
        <f>IF(Docentes!$A$101="","",Docentes!$A$101)</f>
      </c>
      <c r="B106" s="5">
        <f>IF($A106="","",COUNTIFS(Registro!$K$2:$K$501,$A106,Registro!$Q$2:$Q$501,"Disponible"))</f>
      </c>
      <c r="C106" s="5">
        <f>IF($A106="","",COUNTIFS(Registro!$K$2:$K$501,$A106,Registro!$O$2:$O$501,"Sí"))</f>
      </c>
      <c r="D106" s="5">
        <f>IF($A106="","",$B106+$C106)</f>
      </c>
      <c r="E106" s="6">
        <f>IF($A106="","",IF($B106=0,"—",$G106&amp;IF($H106&lt;&gt;""," | "&amp;$H106,"")&amp;IF($I106&lt;&gt;""," | "&amp;$I106,"")&amp;IF($J106&lt;&gt;""," | "&amp;$J106,"")&amp;IF($K106&lt;&gt;""," | "&amp;$K106,"")&amp;IF($L106&lt;&gt;""," | "&amp;$L106,"")&amp;IF($M106&lt;&gt;""," | "&amp;$M106,"")&amp;IF($N106&lt;&gt;""," | "&amp;$N106,"")&amp;IF($O106&lt;&gt;""," | "&amp;$O106,"")&amp;IF($P106&lt;&gt;""," | "&amp;$P106,"")&amp;IF($B106&gt;10," | (+"&amp;($B106-10)&amp;" más)","")))</f>
      </c>
      <c r="G106" s="0">
        <f>IFERROR(INDEX(Registro!$M$2:$M$501,MATCH($A106&amp;"|"&amp;1,Registro!$AJ$2:$AJ$501,0)),"")</f>
      </c>
      <c r="H106" s="0">
        <f>IFERROR(INDEX(Registro!$M$2:$M$501,MATCH($A106&amp;"|"&amp;2,Registro!$AJ$2:$AJ$501,0)),"")</f>
      </c>
      <c r="I106" s="0">
        <f>IFERROR(INDEX(Registro!$M$2:$M$501,MATCH($A106&amp;"|"&amp;3,Registro!$AJ$2:$AJ$501,0)),"")</f>
      </c>
      <c r="J106" s="0">
        <f>IFERROR(INDEX(Registro!$M$2:$M$501,MATCH($A106&amp;"|"&amp;4,Registro!$AJ$2:$AJ$501,0)),"")</f>
      </c>
      <c r="K106" s="0">
        <f>IFERROR(INDEX(Registro!$M$2:$M$501,MATCH($A106&amp;"|"&amp;5,Registro!$AJ$2:$AJ$501,0)),"")</f>
      </c>
      <c r="L106" s="0">
        <f>IFERROR(INDEX(Registro!$M$2:$M$501,MATCH($A106&amp;"|"&amp;6,Registro!$AJ$2:$AJ$501,0)),"")</f>
      </c>
      <c r="M106" s="0">
        <f>IFERROR(INDEX(Registro!$M$2:$M$501,MATCH($A106&amp;"|"&amp;7,Registro!$AJ$2:$AJ$501,0)),"")</f>
      </c>
      <c r="N106" s="0">
        <f>IFERROR(INDEX(Registro!$M$2:$M$501,MATCH($A106&amp;"|"&amp;8,Registro!$AJ$2:$AJ$501,0)),"")</f>
      </c>
      <c r="O106" s="0">
        <f>IFERROR(INDEX(Registro!$M$2:$M$501,MATCH($A106&amp;"|"&amp;9,Registro!$AJ$2:$AJ$501,0)),"")</f>
      </c>
      <c r="P106" s="0">
        <f>IFERROR(INDEX(Registro!$M$2:$M$501,MATCH($A106&amp;"|"&amp;10,Registro!$AJ$2:$AJ$501,0)),"")</f>
      </c>
    </row>
    <row r="107" spans="1:16">
      <c r="A107" s="6">
        <f>IF(Docentes!$A$102="","",Docentes!$A$102)</f>
      </c>
      <c r="B107" s="5">
        <f>IF($A107="","",COUNTIFS(Registro!$K$2:$K$501,$A107,Registro!$Q$2:$Q$501,"Disponible"))</f>
      </c>
      <c r="C107" s="5">
        <f>IF($A107="","",COUNTIFS(Registro!$K$2:$K$501,$A107,Registro!$O$2:$O$501,"Sí"))</f>
      </c>
      <c r="D107" s="5">
        <f>IF($A107="","",$B107+$C107)</f>
      </c>
      <c r="E107" s="6">
        <f>IF($A107="","",IF($B107=0,"—",$G107&amp;IF($H107&lt;&gt;""," | "&amp;$H107,"")&amp;IF($I107&lt;&gt;""," | "&amp;$I107,"")&amp;IF($J107&lt;&gt;""," | "&amp;$J107,"")&amp;IF($K107&lt;&gt;""," | "&amp;$K107,"")&amp;IF($L107&lt;&gt;""," | "&amp;$L107,"")&amp;IF($M107&lt;&gt;""," | "&amp;$M107,"")&amp;IF($N107&lt;&gt;""," | "&amp;$N107,"")&amp;IF($O107&lt;&gt;""," | "&amp;$O107,"")&amp;IF($P107&lt;&gt;""," | "&amp;$P107,"")&amp;IF($B107&gt;10," | (+"&amp;($B107-10)&amp;" más)","")))</f>
      </c>
      <c r="G107" s="0">
        <f>IFERROR(INDEX(Registro!$M$2:$M$501,MATCH($A107&amp;"|"&amp;1,Registro!$AJ$2:$AJ$501,0)),"")</f>
      </c>
      <c r="H107" s="0">
        <f>IFERROR(INDEX(Registro!$M$2:$M$501,MATCH($A107&amp;"|"&amp;2,Registro!$AJ$2:$AJ$501,0)),"")</f>
      </c>
      <c r="I107" s="0">
        <f>IFERROR(INDEX(Registro!$M$2:$M$501,MATCH($A107&amp;"|"&amp;3,Registro!$AJ$2:$AJ$501,0)),"")</f>
      </c>
      <c r="J107" s="0">
        <f>IFERROR(INDEX(Registro!$M$2:$M$501,MATCH($A107&amp;"|"&amp;4,Registro!$AJ$2:$AJ$501,0)),"")</f>
      </c>
      <c r="K107" s="0">
        <f>IFERROR(INDEX(Registro!$M$2:$M$501,MATCH($A107&amp;"|"&amp;5,Registro!$AJ$2:$AJ$501,0)),"")</f>
      </c>
      <c r="L107" s="0">
        <f>IFERROR(INDEX(Registro!$M$2:$M$501,MATCH($A107&amp;"|"&amp;6,Registro!$AJ$2:$AJ$501,0)),"")</f>
      </c>
      <c r="M107" s="0">
        <f>IFERROR(INDEX(Registro!$M$2:$M$501,MATCH($A107&amp;"|"&amp;7,Registro!$AJ$2:$AJ$501,0)),"")</f>
      </c>
      <c r="N107" s="0">
        <f>IFERROR(INDEX(Registro!$M$2:$M$501,MATCH($A107&amp;"|"&amp;8,Registro!$AJ$2:$AJ$501,0)),"")</f>
      </c>
      <c r="O107" s="0">
        <f>IFERROR(INDEX(Registro!$M$2:$M$501,MATCH($A107&amp;"|"&amp;9,Registro!$AJ$2:$AJ$501,0)),"")</f>
      </c>
      <c r="P107" s="0">
        <f>IFERROR(INDEX(Registro!$M$2:$M$501,MATCH($A107&amp;"|"&amp;10,Registro!$AJ$2:$AJ$501,0)),"")</f>
      </c>
    </row>
    <row r="108" spans="1:16">
      <c r="A108" s="6">
        <f>IF(Docentes!$A$103="","",Docentes!$A$103)</f>
      </c>
      <c r="B108" s="5">
        <f>IF($A108="","",COUNTIFS(Registro!$K$2:$K$501,$A108,Registro!$Q$2:$Q$501,"Disponible"))</f>
      </c>
      <c r="C108" s="5">
        <f>IF($A108="","",COUNTIFS(Registro!$K$2:$K$501,$A108,Registro!$O$2:$O$501,"Sí"))</f>
      </c>
      <c r="D108" s="5">
        <f>IF($A108="","",$B108+$C108)</f>
      </c>
      <c r="E108" s="6">
        <f>IF($A108="","",IF($B108=0,"—",$G108&amp;IF($H108&lt;&gt;""," | "&amp;$H108,"")&amp;IF($I108&lt;&gt;""," | "&amp;$I108,"")&amp;IF($J108&lt;&gt;""," | "&amp;$J108,"")&amp;IF($K108&lt;&gt;""," | "&amp;$K108,"")&amp;IF($L108&lt;&gt;""," | "&amp;$L108,"")&amp;IF($M108&lt;&gt;""," | "&amp;$M108,"")&amp;IF($N108&lt;&gt;""," | "&amp;$N108,"")&amp;IF($O108&lt;&gt;""," | "&amp;$O108,"")&amp;IF($P108&lt;&gt;""," | "&amp;$P108,"")&amp;IF($B108&gt;10," | (+"&amp;($B108-10)&amp;" más)","")))</f>
      </c>
      <c r="G108" s="0">
        <f>IFERROR(INDEX(Registro!$M$2:$M$501,MATCH($A108&amp;"|"&amp;1,Registro!$AJ$2:$AJ$501,0)),"")</f>
      </c>
      <c r="H108" s="0">
        <f>IFERROR(INDEX(Registro!$M$2:$M$501,MATCH($A108&amp;"|"&amp;2,Registro!$AJ$2:$AJ$501,0)),"")</f>
      </c>
      <c r="I108" s="0">
        <f>IFERROR(INDEX(Registro!$M$2:$M$501,MATCH($A108&amp;"|"&amp;3,Registro!$AJ$2:$AJ$501,0)),"")</f>
      </c>
      <c r="J108" s="0">
        <f>IFERROR(INDEX(Registro!$M$2:$M$501,MATCH($A108&amp;"|"&amp;4,Registro!$AJ$2:$AJ$501,0)),"")</f>
      </c>
      <c r="K108" s="0">
        <f>IFERROR(INDEX(Registro!$M$2:$M$501,MATCH($A108&amp;"|"&amp;5,Registro!$AJ$2:$AJ$501,0)),"")</f>
      </c>
      <c r="L108" s="0">
        <f>IFERROR(INDEX(Registro!$M$2:$M$501,MATCH($A108&amp;"|"&amp;6,Registro!$AJ$2:$AJ$501,0)),"")</f>
      </c>
      <c r="M108" s="0">
        <f>IFERROR(INDEX(Registro!$M$2:$M$501,MATCH($A108&amp;"|"&amp;7,Registro!$AJ$2:$AJ$501,0)),"")</f>
      </c>
      <c r="N108" s="0">
        <f>IFERROR(INDEX(Registro!$M$2:$M$501,MATCH($A108&amp;"|"&amp;8,Registro!$AJ$2:$AJ$501,0)),"")</f>
      </c>
      <c r="O108" s="0">
        <f>IFERROR(INDEX(Registro!$M$2:$M$501,MATCH($A108&amp;"|"&amp;9,Registro!$AJ$2:$AJ$501,0)),"")</f>
      </c>
      <c r="P108" s="0">
        <f>IFERROR(INDEX(Registro!$M$2:$M$501,MATCH($A108&amp;"|"&amp;10,Registro!$AJ$2:$AJ$501,0)),"")</f>
      </c>
    </row>
    <row r="109" spans="1:16">
      <c r="A109" s="6">
        <f>IF(Docentes!$A$104="","",Docentes!$A$104)</f>
      </c>
      <c r="B109" s="5">
        <f>IF($A109="","",COUNTIFS(Registro!$K$2:$K$501,$A109,Registro!$Q$2:$Q$501,"Disponible"))</f>
      </c>
      <c r="C109" s="5">
        <f>IF($A109="","",COUNTIFS(Registro!$K$2:$K$501,$A109,Registro!$O$2:$O$501,"Sí"))</f>
      </c>
      <c r="D109" s="5">
        <f>IF($A109="","",$B109+$C109)</f>
      </c>
      <c r="E109" s="6">
        <f>IF($A109="","",IF($B109=0,"—",$G109&amp;IF($H109&lt;&gt;""," | "&amp;$H109,"")&amp;IF($I109&lt;&gt;""," | "&amp;$I109,"")&amp;IF($J109&lt;&gt;""," | "&amp;$J109,"")&amp;IF($K109&lt;&gt;""," | "&amp;$K109,"")&amp;IF($L109&lt;&gt;""," | "&amp;$L109,"")&amp;IF($M109&lt;&gt;""," | "&amp;$M109,"")&amp;IF($N109&lt;&gt;""," | "&amp;$N109,"")&amp;IF($O109&lt;&gt;""," | "&amp;$O109,"")&amp;IF($P109&lt;&gt;""," | "&amp;$P109,"")&amp;IF($B109&gt;10," | (+"&amp;($B109-10)&amp;" más)","")))</f>
      </c>
      <c r="G109" s="0">
        <f>IFERROR(INDEX(Registro!$M$2:$M$501,MATCH($A109&amp;"|"&amp;1,Registro!$AJ$2:$AJ$501,0)),"")</f>
      </c>
      <c r="H109" s="0">
        <f>IFERROR(INDEX(Registro!$M$2:$M$501,MATCH($A109&amp;"|"&amp;2,Registro!$AJ$2:$AJ$501,0)),"")</f>
      </c>
      <c r="I109" s="0">
        <f>IFERROR(INDEX(Registro!$M$2:$M$501,MATCH($A109&amp;"|"&amp;3,Registro!$AJ$2:$AJ$501,0)),"")</f>
      </c>
      <c r="J109" s="0">
        <f>IFERROR(INDEX(Registro!$M$2:$M$501,MATCH($A109&amp;"|"&amp;4,Registro!$AJ$2:$AJ$501,0)),"")</f>
      </c>
      <c r="K109" s="0">
        <f>IFERROR(INDEX(Registro!$M$2:$M$501,MATCH($A109&amp;"|"&amp;5,Registro!$AJ$2:$AJ$501,0)),"")</f>
      </c>
      <c r="L109" s="0">
        <f>IFERROR(INDEX(Registro!$M$2:$M$501,MATCH($A109&amp;"|"&amp;6,Registro!$AJ$2:$AJ$501,0)),"")</f>
      </c>
      <c r="M109" s="0">
        <f>IFERROR(INDEX(Registro!$M$2:$M$501,MATCH($A109&amp;"|"&amp;7,Registro!$AJ$2:$AJ$501,0)),"")</f>
      </c>
      <c r="N109" s="0">
        <f>IFERROR(INDEX(Registro!$M$2:$M$501,MATCH($A109&amp;"|"&amp;8,Registro!$AJ$2:$AJ$501,0)),"")</f>
      </c>
      <c r="O109" s="0">
        <f>IFERROR(INDEX(Registro!$M$2:$M$501,MATCH($A109&amp;"|"&amp;9,Registro!$AJ$2:$AJ$501,0)),"")</f>
      </c>
      <c r="P109" s="0">
        <f>IFERROR(INDEX(Registro!$M$2:$M$501,MATCH($A109&amp;"|"&amp;10,Registro!$AJ$2:$AJ$501,0)),"")</f>
      </c>
    </row>
    <row r="110" spans="1:16">
      <c r="A110" s="6">
        <f>IF(Docentes!$A$105="","",Docentes!$A$105)</f>
      </c>
      <c r="B110" s="5">
        <f>IF($A110="","",COUNTIFS(Registro!$K$2:$K$501,$A110,Registro!$Q$2:$Q$501,"Disponible"))</f>
      </c>
      <c r="C110" s="5">
        <f>IF($A110="","",COUNTIFS(Registro!$K$2:$K$501,$A110,Registro!$O$2:$O$501,"Sí"))</f>
      </c>
      <c r="D110" s="5">
        <f>IF($A110="","",$B110+$C110)</f>
      </c>
      <c r="E110" s="6">
        <f>IF($A110="","",IF($B110=0,"—",$G110&amp;IF($H110&lt;&gt;""," | "&amp;$H110,"")&amp;IF($I110&lt;&gt;""," | "&amp;$I110,"")&amp;IF($J110&lt;&gt;""," | "&amp;$J110,"")&amp;IF($K110&lt;&gt;""," | "&amp;$K110,"")&amp;IF($L110&lt;&gt;""," | "&amp;$L110,"")&amp;IF($M110&lt;&gt;""," | "&amp;$M110,"")&amp;IF($N110&lt;&gt;""," | "&amp;$N110,"")&amp;IF($O110&lt;&gt;""," | "&amp;$O110,"")&amp;IF($P110&lt;&gt;""," | "&amp;$P110,"")&amp;IF($B110&gt;10," | (+"&amp;($B110-10)&amp;" más)","")))</f>
      </c>
      <c r="G110" s="0">
        <f>IFERROR(INDEX(Registro!$M$2:$M$501,MATCH($A110&amp;"|"&amp;1,Registro!$AJ$2:$AJ$501,0)),"")</f>
      </c>
      <c r="H110" s="0">
        <f>IFERROR(INDEX(Registro!$M$2:$M$501,MATCH($A110&amp;"|"&amp;2,Registro!$AJ$2:$AJ$501,0)),"")</f>
      </c>
      <c r="I110" s="0">
        <f>IFERROR(INDEX(Registro!$M$2:$M$501,MATCH($A110&amp;"|"&amp;3,Registro!$AJ$2:$AJ$501,0)),"")</f>
      </c>
      <c r="J110" s="0">
        <f>IFERROR(INDEX(Registro!$M$2:$M$501,MATCH($A110&amp;"|"&amp;4,Registro!$AJ$2:$AJ$501,0)),"")</f>
      </c>
      <c r="K110" s="0">
        <f>IFERROR(INDEX(Registro!$M$2:$M$501,MATCH($A110&amp;"|"&amp;5,Registro!$AJ$2:$AJ$501,0)),"")</f>
      </c>
      <c r="L110" s="0">
        <f>IFERROR(INDEX(Registro!$M$2:$M$501,MATCH($A110&amp;"|"&amp;6,Registro!$AJ$2:$AJ$501,0)),"")</f>
      </c>
      <c r="M110" s="0">
        <f>IFERROR(INDEX(Registro!$M$2:$M$501,MATCH($A110&amp;"|"&amp;7,Registro!$AJ$2:$AJ$501,0)),"")</f>
      </c>
      <c r="N110" s="0">
        <f>IFERROR(INDEX(Registro!$M$2:$M$501,MATCH($A110&amp;"|"&amp;8,Registro!$AJ$2:$AJ$501,0)),"")</f>
      </c>
      <c r="O110" s="0">
        <f>IFERROR(INDEX(Registro!$M$2:$M$501,MATCH($A110&amp;"|"&amp;9,Registro!$AJ$2:$AJ$501,0)),"")</f>
      </c>
      <c r="P110" s="0">
        <f>IFERROR(INDEX(Registro!$M$2:$M$501,MATCH($A110&amp;"|"&amp;10,Registro!$AJ$2:$AJ$501,0)),"")</f>
      </c>
    </row>
    <row r="111" spans="1:16">
      <c r="A111" s="6">
        <f>IF(Docentes!$A$106="","",Docentes!$A$106)</f>
      </c>
      <c r="B111" s="5">
        <f>IF($A111="","",COUNTIFS(Registro!$K$2:$K$501,$A111,Registro!$Q$2:$Q$501,"Disponible"))</f>
      </c>
      <c r="C111" s="5">
        <f>IF($A111="","",COUNTIFS(Registro!$K$2:$K$501,$A111,Registro!$O$2:$O$501,"Sí"))</f>
      </c>
      <c r="D111" s="5">
        <f>IF($A111="","",$B111+$C111)</f>
      </c>
      <c r="E111" s="6">
        <f>IF($A111="","",IF($B111=0,"—",$G111&amp;IF($H111&lt;&gt;""," | "&amp;$H111,"")&amp;IF($I111&lt;&gt;""," | "&amp;$I111,"")&amp;IF($J111&lt;&gt;""," | "&amp;$J111,"")&amp;IF($K111&lt;&gt;""," | "&amp;$K111,"")&amp;IF($L111&lt;&gt;""," | "&amp;$L111,"")&amp;IF($M111&lt;&gt;""," | "&amp;$M111,"")&amp;IF($N111&lt;&gt;""," | "&amp;$N111,"")&amp;IF($O111&lt;&gt;""," | "&amp;$O111,"")&amp;IF($P111&lt;&gt;""," | "&amp;$P111,"")&amp;IF($B111&gt;10," | (+"&amp;($B111-10)&amp;" más)","")))</f>
      </c>
      <c r="G111" s="0">
        <f>IFERROR(INDEX(Registro!$M$2:$M$501,MATCH($A111&amp;"|"&amp;1,Registro!$AJ$2:$AJ$501,0)),"")</f>
      </c>
      <c r="H111" s="0">
        <f>IFERROR(INDEX(Registro!$M$2:$M$501,MATCH($A111&amp;"|"&amp;2,Registro!$AJ$2:$AJ$501,0)),"")</f>
      </c>
      <c r="I111" s="0">
        <f>IFERROR(INDEX(Registro!$M$2:$M$501,MATCH($A111&amp;"|"&amp;3,Registro!$AJ$2:$AJ$501,0)),"")</f>
      </c>
      <c r="J111" s="0">
        <f>IFERROR(INDEX(Registro!$M$2:$M$501,MATCH($A111&amp;"|"&amp;4,Registro!$AJ$2:$AJ$501,0)),"")</f>
      </c>
      <c r="K111" s="0">
        <f>IFERROR(INDEX(Registro!$M$2:$M$501,MATCH($A111&amp;"|"&amp;5,Registro!$AJ$2:$AJ$501,0)),"")</f>
      </c>
      <c r="L111" s="0">
        <f>IFERROR(INDEX(Registro!$M$2:$M$501,MATCH($A111&amp;"|"&amp;6,Registro!$AJ$2:$AJ$501,0)),"")</f>
      </c>
      <c r="M111" s="0">
        <f>IFERROR(INDEX(Registro!$M$2:$M$501,MATCH($A111&amp;"|"&amp;7,Registro!$AJ$2:$AJ$501,0)),"")</f>
      </c>
      <c r="N111" s="0">
        <f>IFERROR(INDEX(Registro!$M$2:$M$501,MATCH($A111&amp;"|"&amp;8,Registro!$AJ$2:$AJ$501,0)),"")</f>
      </c>
      <c r="O111" s="0">
        <f>IFERROR(INDEX(Registro!$M$2:$M$501,MATCH($A111&amp;"|"&amp;9,Registro!$AJ$2:$AJ$501,0)),"")</f>
      </c>
      <c r="P111" s="0">
        <f>IFERROR(INDEX(Registro!$M$2:$M$501,MATCH($A111&amp;"|"&amp;10,Registro!$AJ$2:$AJ$501,0)),"")</f>
      </c>
    </row>
    <row r="112" spans="1:16">
      <c r="A112" s="6">
        <f>IF(Docentes!$A$107="","",Docentes!$A$107)</f>
      </c>
      <c r="B112" s="5">
        <f>IF($A112="","",COUNTIFS(Registro!$K$2:$K$501,$A112,Registro!$Q$2:$Q$501,"Disponible"))</f>
      </c>
      <c r="C112" s="5">
        <f>IF($A112="","",COUNTIFS(Registro!$K$2:$K$501,$A112,Registro!$O$2:$O$501,"Sí"))</f>
      </c>
      <c r="D112" s="5">
        <f>IF($A112="","",$B112+$C112)</f>
      </c>
      <c r="E112" s="6">
        <f>IF($A112="","",IF($B112=0,"—",$G112&amp;IF($H112&lt;&gt;""," | "&amp;$H112,"")&amp;IF($I112&lt;&gt;""," | "&amp;$I112,"")&amp;IF($J112&lt;&gt;""," | "&amp;$J112,"")&amp;IF($K112&lt;&gt;""," | "&amp;$K112,"")&amp;IF($L112&lt;&gt;""," | "&amp;$L112,"")&amp;IF($M112&lt;&gt;""," | "&amp;$M112,"")&amp;IF($N112&lt;&gt;""," | "&amp;$N112,"")&amp;IF($O112&lt;&gt;""," | "&amp;$O112,"")&amp;IF($P112&lt;&gt;""," | "&amp;$P112,"")&amp;IF($B112&gt;10," | (+"&amp;($B112-10)&amp;" más)","")))</f>
      </c>
      <c r="G112" s="0">
        <f>IFERROR(INDEX(Registro!$M$2:$M$501,MATCH($A112&amp;"|"&amp;1,Registro!$AJ$2:$AJ$501,0)),"")</f>
      </c>
      <c r="H112" s="0">
        <f>IFERROR(INDEX(Registro!$M$2:$M$501,MATCH($A112&amp;"|"&amp;2,Registro!$AJ$2:$AJ$501,0)),"")</f>
      </c>
      <c r="I112" s="0">
        <f>IFERROR(INDEX(Registro!$M$2:$M$501,MATCH($A112&amp;"|"&amp;3,Registro!$AJ$2:$AJ$501,0)),"")</f>
      </c>
      <c r="J112" s="0">
        <f>IFERROR(INDEX(Registro!$M$2:$M$501,MATCH($A112&amp;"|"&amp;4,Registro!$AJ$2:$AJ$501,0)),"")</f>
      </c>
      <c r="K112" s="0">
        <f>IFERROR(INDEX(Registro!$M$2:$M$501,MATCH($A112&amp;"|"&amp;5,Registro!$AJ$2:$AJ$501,0)),"")</f>
      </c>
      <c r="L112" s="0">
        <f>IFERROR(INDEX(Registro!$M$2:$M$501,MATCH($A112&amp;"|"&amp;6,Registro!$AJ$2:$AJ$501,0)),"")</f>
      </c>
      <c r="M112" s="0">
        <f>IFERROR(INDEX(Registro!$M$2:$M$501,MATCH($A112&amp;"|"&amp;7,Registro!$AJ$2:$AJ$501,0)),"")</f>
      </c>
      <c r="N112" s="0">
        <f>IFERROR(INDEX(Registro!$M$2:$M$501,MATCH($A112&amp;"|"&amp;8,Registro!$AJ$2:$AJ$501,0)),"")</f>
      </c>
      <c r="O112" s="0">
        <f>IFERROR(INDEX(Registro!$M$2:$M$501,MATCH($A112&amp;"|"&amp;9,Registro!$AJ$2:$AJ$501,0)),"")</f>
      </c>
      <c r="P112" s="0">
        <f>IFERROR(INDEX(Registro!$M$2:$M$501,MATCH($A112&amp;"|"&amp;10,Registro!$AJ$2:$AJ$501,0)),"")</f>
      </c>
    </row>
    <row r="113" spans="1:16">
      <c r="A113" s="6">
        <f>IF(Docentes!$A$108="","",Docentes!$A$108)</f>
      </c>
      <c r="B113" s="5">
        <f>IF($A113="","",COUNTIFS(Registro!$K$2:$K$501,$A113,Registro!$Q$2:$Q$501,"Disponible"))</f>
      </c>
      <c r="C113" s="5">
        <f>IF($A113="","",COUNTIFS(Registro!$K$2:$K$501,$A113,Registro!$O$2:$O$501,"Sí"))</f>
      </c>
      <c r="D113" s="5">
        <f>IF($A113="","",$B113+$C113)</f>
      </c>
      <c r="E113" s="6">
        <f>IF($A113="","",IF($B113=0,"—",$G113&amp;IF($H113&lt;&gt;""," | "&amp;$H113,"")&amp;IF($I113&lt;&gt;""," | "&amp;$I113,"")&amp;IF($J113&lt;&gt;""," | "&amp;$J113,"")&amp;IF($K113&lt;&gt;""," | "&amp;$K113,"")&amp;IF($L113&lt;&gt;""," | "&amp;$L113,"")&amp;IF($M113&lt;&gt;""," | "&amp;$M113,"")&amp;IF($N113&lt;&gt;""," | "&amp;$N113,"")&amp;IF($O113&lt;&gt;""," | "&amp;$O113,"")&amp;IF($P113&lt;&gt;""," | "&amp;$P113,"")&amp;IF($B113&gt;10," | (+"&amp;($B113-10)&amp;" más)","")))</f>
      </c>
      <c r="G113" s="0">
        <f>IFERROR(INDEX(Registro!$M$2:$M$501,MATCH($A113&amp;"|"&amp;1,Registro!$AJ$2:$AJ$501,0)),"")</f>
      </c>
      <c r="H113" s="0">
        <f>IFERROR(INDEX(Registro!$M$2:$M$501,MATCH($A113&amp;"|"&amp;2,Registro!$AJ$2:$AJ$501,0)),"")</f>
      </c>
      <c r="I113" s="0">
        <f>IFERROR(INDEX(Registro!$M$2:$M$501,MATCH($A113&amp;"|"&amp;3,Registro!$AJ$2:$AJ$501,0)),"")</f>
      </c>
      <c r="J113" s="0">
        <f>IFERROR(INDEX(Registro!$M$2:$M$501,MATCH($A113&amp;"|"&amp;4,Registro!$AJ$2:$AJ$501,0)),"")</f>
      </c>
      <c r="K113" s="0">
        <f>IFERROR(INDEX(Registro!$M$2:$M$501,MATCH($A113&amp;"|"&amp;5,Registro!$AJ$2:$AJ$501,0)),"")</f>
      </c>
      <c r="L113" s="0">
        <f>IFERROR(INDEX(Registro!$M$2:$M$501,MATCH($A113&amp;"|"&amp;6,Registro!$AJ$2:$AJ$501,0)),"")</f>
      </c>
      <c r="M113" s="0">
        <f>IFERROR(INDEX(Registro!$M$2:$M$501,MATCH($A113&amp;"|"&amp;7,Registro!$AJ$2:$AJ$501,0)),"")</f>
      </c>
      <c r="N113" s="0">
        <f>IFERROR(INDEX(Registro!$M$2:$M$501,MATCH($A113&amp;"|"&amp;8,Registro!$AJ$2:$AJ$501,0)),"")</f>
      </c>
      <c r="O113" s="0">
        <f>IFERROR(INDEX(Registro!$M$2:$M$501,MATCH($A113&amp;"|"&amp;9,Registro!$AJ$2:$AJ$501,0)),"")</f>
      </c>
      <c r="P113" s="0">
        <f>IFERROR(INDEX(Registro!$M$2:$M$501,MATCH($A113&amp;"|"&amp;10,Registro!$AJ$2:$AJ$501,0)),"")</f>
      </c>
    </row>
    <row r="114" spans="1:16">
      <c r="A114" s="6">
        <f>IF(Docentes!$A$109="","",Docentes!$A$109)</f>
      </c>
      <c r="B114" s="5">
        <f>IF($A114="","",COUNTIFS(Registro!$K$2:$K$501,$A114,Registro!$Q$2:$Q$501,"Disponible"))</f>
      </c>
      <c r="C114" s="5">
        <f>IF($A114="","",COUNTIFS(Registro!$K$2:$K$501,$A114,Registro!$O$2:$O$501,"Sí"))</f>
      </c>
      <c r="D114" s="5">
        <f>IF($A114="","",$B114+$C114)</f>
      </c>
      <c r="E114" s="6">
        <f>IF($A114="","",IF($B114=0,"—",$G114&amp;IF($H114&lt;&gt;""," | "&amp;$H114,"")&amp;IF($I114&lt;&gt;""," | "&amp;$I114,"")&amp;IF($J114&lt;&gt;""," | "&amp;$J114,"")&amp;IF($K114&lt;&gt;""," | "&amp;$K114,"")&amp;IF($L114&lt;&gt;""," | "&amp;$L114,"")&amp;IF($M114&lt;&gt;""," | "&amp;$M114,"")&amp;IF($N114&lt;&gt;""," | "&amp;$N114,"")&amp;IF($O114&lt;&gt;""," | "&amp;$O114,"")&amp;IF($P114&lt;&gt;""," | "&amp;$P114,"")&amp;IF($B114&gt;10," | (+"&amp;($B114-10)&amp;" más)","")))</f>
      </c>
      <c r="G114" s="0">
        <f>IFERROR(INDEX(Registro!$M$2:$M$501,MATCH($A114&amp;"|"&amp;1,Registro!$AJ$2:$AJ$501,0)),"")</f>
      </c>
      <c r="H114" s="0">
        <f>IFERROR(INDEX(Registro!$M$2:$M$501,MATCH($A114&amp;"|"&amp;2,Registro!$AJ$2:$AJ$501,0)),"")</f>
      </c>
      <c r="I114" s="0">
        <f>IFERROR(INDEX(Registro!$M$2:$M$501,MATCH($A114&amp;"|"&amp;3,Registro!$AJ$2:$AJ$501,0)),"")</f>
      </c>
      <c r="J114" s="0">
        <f>IFERROR(INDEX(Registro!$M$2:$M$501,MATCH($A114&amp;"|"&amp;4,Registro!$AJ$2:$AJ$501,0)),"")</f>
      </c>
      <c r="K114" s="0">
        <f>IFERROR(INDEX(Registro!$M$2:$M$501,MATCH($A114&amp;"|"&amp;5,Registro!$AJ$2:$AJ$501,0)),"")</f>
      </c>
      <c r="L114" s="0">
        <f>IFERROR(INDEX(Registro!$M$2:$M$501,MATCH($A114&amp;"|"&amp;6,Registro!$AJ$2:$AJ$501,0)),"")</f>
      </c>
      <c r="M114" s="0">
        <f>IFERROR(INDEX(Registro!$M$2:$M$501,MATCH($A114&amp;"|"&amp;7,Registro!$AJ$2:$AJ$501,0)),"")</f>
      </c>
      <c r="N114" s="0">
        <f>IFERROR(INDEX(Registro!$M$2:$M$501,MATCH($A114&amp;"|"&amp;8,Registro!$AJ$2:$AJ$501,0)),"")</f>
      </c>
      <c r="O114" s="0">
        <f>IFERROR(INDEX(Registro!$M$2:$M$501,MATCH($A114&amp;"|"&amp;9,Registro!$AJ$2:$AJ$501,0)),"")</f>
      </c>
      <c r="P114" s="0">
        <f>IFERROR(INDEX(Registro!$M$2:$M$501,MATCH($A114&amp;"|"&amp;10,Registro!$AJ$2:$AJ$501,0)),"")</f>
      </c>
    </row>
    <row r="115" spans="1:16">
      <c r="A115" s="6">
        <f>IF(Docentes!$A$110="","",Docentes!$A$110)</f>
      </c>
      <c r="B115" s="5">
        <f>IF($A115="","",COUNTIFS(Registro!$K$2:$K$501,$A115,Registro!$Q$2:$Q$501,"Disponible"))</f>
      </c>
      <c r="C115" s="5">
        <f>IF($A115="","",COUNTIFS(Registro!$K$2:$K$501,$A115,Registro!$O$2:$O$501,"Sí"))</f>
      </c>
      <c r="D115" s="5">
        <f>IF($A115="","",$B115+$C115)</f>
      </c>
      <c r="E115" s="6">
        <f>IF($A115="","",IF($B115=0,"—",$G115&amp;IF($H115&lt;&gt;""," | "&amp;$H115,"")&amp;IF($I115&lt;&gt;""," | "&amp;$I115,"")&amp;IF($J115&lt;&gt;""," | "&amp;$J115,"")&amp;IF($K115&lt;&gt;""," | "&amp;$K115,"")&amp;IF($L115&lt;&gt;""," | "&amp;$L115,"")&amp;IF($M115&lt;&gt;""," | "&amp;$M115,"")&amp;IF($N115&lt;&gt;""," | "&amp;$N115,"")&amp;IF($O115&lt;&gt;""," | "&amp;$O115,"")&amp;IF($P115&lt;&gt;""," | "&amp;$P115,"")&amp;IF($B115&gt;10," | (+"&amp;($B115-10)&amp;" más)","")))</f>
      </c>
      <c r="G115" s="0">
        <f>IFERROR(INDEX(Registro!$M$2:$M$501,MATCH($A115&amp;"|"&amp;1,Registro!$AJ$2:$AJ$501,0)),"")</f>
      </c>
      <c r="H115" s="0">
        <f>IFERROR(INDEX(Registro!$M$2:$M$501,MATCH($A115&amp;"|"&amp;2,Registro!$AJ$2:$AJ$501,0)),"")</f>
      </c>
      <c r="I115" s="0">
        <f>IFERROR(INDEX(Registro!$M$2:$M$501,MATCH($A115&amp;"|"&amp;3,Registro!$AJ$2:$AJ$501,0)),"")</f>
      </c>
      <c r="J115" s="0">
        <f>IFERROR(INDEX(Registro!$M$2:$M$501,MATCH($A115&amp;"|"&amp;4,Registro!$AJ$2:$AJ$501,0)),"")</f>
      </c>
      <c r="K115" s="0">
        <f>IFERROR(INDEX(Registro!$M$2:$M$501,MATCH($A115&amp;"|"&amp;5,Registro!$AJ$2:$AJ$501,0)),"")</f>
      </c>
      <c r="L115" s="0">
        <f>IFERROR(INDEX(Registro!$M$2:$M$501,MATCH($A115&amp;"|"&amp;6,Registro!$AJ$2:$AJ$501,0)),"")</f>
      </c>
      <c r="M115" s="0">
        <f>IFERROR(INDEX(Registro!$M$2:$M$501,MATCH($A115&amp;"|"&amp;7,Registro!$AJ$2:$AJ$501,0)),"")</f>
      </c>
      <c r="N115" s="0">
        <f>IFERROR(INDEX(Registro!$M$2:$M$501,MATCH($A115&amp;"|"&amp;8,Registro!$AJ$2:$AJ$501,0)),"")</f>
      </c>
      <c r="O115" s="0">
        <f>IFERROR(INDEX(Registro!$M$2:$M$501,MATCH($A115&amp;"|"&amp;9,Registro!$AJ$2:$AJ$501,0)),"")</f>
      </c>
      <c r="P115" s="0">
        <f>IFERROR(INDEX(Registro!$M$2:$M$501,MATCH($A115&amp;"|"&amp;10,Registro!$AJ$2:$AJ$501,0)),"")</f>
      </c>
    </row>
    <row r="116" spans="1:16">
      <c r="A116" s="6">
        <f>IF(Docentes!$A$111="","",Docentes!$A$111)</f>
      </c>
      <c r="B116" s="5">
        <f>IF($A116="","",COUNTIFS(Registro!$K$2:$K$501,$A116,Registro!$Q$2:$Q$501,"Disponible"))</f>
      </c>
      <c r="C116" s="5">
        <f>IF($A116="","",COUNTIFS(Registro!$K$2:$K$501,$A116,Registro!$O$2:$O$501,"Sí"))</f>
      </c>
      <c r="D116" s="5">
        <f>IF($A116="","",$B116+$C116)</f>
      </c>
      <c r="E116" s="6">
        <f>IF($A116="","",IF($B116=0,"—",$G116&amp;IF($H116&lt;&gt;""," | "&amp;$H116,"")&amp;IF($I116&lt;&gt;""," | "&amp;$I116,"")&amp;IF($J116&lt;&gt;""," | "&amp;$J116,"")&amp;IF($K116&lt;&gt;""," | "&amp;$K116,"")&amp;IF($L116&lt;&gt;""," | "&amp;$L116,"")&amp;IF($M116&lt;&gt;""," | "&amp;$M116,"")&amp;IF($N116&lt;&gt;""," | "&amp;$N116,"")&amp;IF($O116&lt;&gt;""," | "&amp;$O116,"")&amp;IF($P116&lt;&gt;""," | "&amp;$P116,"")&amp;IF($B116&gt;10," | (+"&amp;($B116-10)&amp;" más)","")))</f>
      </c>
      <c r="G116" s="0">
        <f>IFERROR(INDEX(Registro!$M$2:$M$501,MATCH($A116&amp;"|"&amp;1,Registro!$AJ$2:$AJ$501,0)),"")</f>
      </c>
      <c r="H116" s="0">
        <f>IFERROR(INDEX(Registro!$M$2:$M$501,MATCH($A116&amp;"|"&amp;2,Registro!$AJ$2:$AJ$501,0)),"")</f>
      </c>
      <c r="I116" s="0">
        <f>IFERROR(INDEX(Registro!$M$2:$M$501,MATCH($A116&amp;"|"&amp;3,Registro!$AJ$2:$AJ$501,0)),"")</f>
      </c>
      <c r="J116" s="0">
        <f>IFERROR(INDEX(Registro!$M$2:$M$501,MATCH($A116&amp;"|"&amp;4,Registro!$AJ$2:$AJ$501,0)),"")</f>
      </c>
      <c r="K116" s="0">
        <f>IFERROR(INDEX(Registro!$M$2:$M$501,MATCH($A116&amp;"|"&amp;5,Registro!$AJ$2:$AJ$501,0)),"")</f>
      </c>
      <c r="L116" s="0">
        <f>IFERROR(INDEX(Registro!$M$2:$M$501,MATCH($A116&amp;"|"&amp;6,Registro!$AJ$2:$AJ$501,0)),"")</f>
      </c>
      <c r="M116" s="0">
        <f>IFERROR(INDEX(Registro!$M$2:$M$501,MATCH($A116&amp;"|"&amp;7,Registro!$AJ$2:$AJ$501,0)),"")</f>
      </c>
      <c r="N116" s="0">
        <f>IFERROR(INDEX(Registro!$M$2:$M$501,MATCH($A116&amp;"|"&amp;8,Registro!$AJ$2:$AJ$501,0)),"")</f>
      </c>
      <c r="O116" s="0">
        <f>IFERROR(INDEX(Registro!$M$2:$M$501,MATCH($A116&amp;"|"&amp;9,Registro!$AJ$2:$AJ$501,0)),"")</f>
      </c>
      <c r="P116" s="0">
        <f>IFERROR(INDEX(Registro!$M$2:$M$501,MATCH($A116&amp;"|"&amp;10,Registro!$AJ$2:$AJ$501,0)),"")</f>
      </c>
    </row>
    <row r="117" spans="1:16">
      <c r="A117" s="6">
        <f>IF(Docentes!$A$112="","",Docentes!$A$112)</f>
      </c>
      <c r="B117" s="5">
        <f>IF($A117="","",COUNTIFS(Registro!$K$2:$K$501,$A117,Registro!$Q$2:$Q$501,"Disponible"))</f>
      </c>
      <c r="C117" s="5">
        <f>IF($A117="","",COUNTIFS(Registro!$K$2:$K$501,$A117,Registro!$O$2:$O$501,"Sí"))</f>
      </c>
      <c r="D117" s="5">
        <f>IF($A117="","",$B117+$C117)</f>
      </c>
      <c r="E117" s="6">
        <f>IF($A117="","",IF($B117=0,"—",$G117&amp;IF($H117&lt;&gt;""," | "&amp;$H117,"")&amp;IF($I117&lt;&gt;""," | "&amp;$I117,"")&amp;IF($J117&lt;&gt;""," | "&amp;$J117,"")&amp;IF($K117&lt;&gt;""," | "&amp;$K117,"")&amp;IF($L117&lt;&gt;""," | "&amp;$L117,"")&amp;IF($M117&lt;&gt;""," | "&amp;$M117,"")&amp;IF($N117&lt;&gt;""," | "&amp;$N117,"")&amp;IF($O117&lt;&gt;""," | "&amp;$O117,"")&amp;IF($P117&lt;&gt;""," | "&amp;$P117,"")&amp;IF($B117&gt;10," | (+"&amp;($B117-10)&amp;" más)","")))</f>
      </c>
      <c r="G117" s="0">
        <f>IFERROR(INDEX(Registro!$M$2:$M$501,MATCH($A117&amp;"|"&amp;1,Registro!$AJ$2:$AJ$501,0)),"")</f>
      </c>
      <c r="H117" s="0">
        <f>IFERROR(INDEX(Registro!$M$2:$M$501,MATCH($A117&amp;"|"&amp;2,Registro!$AJ$2:$AJ$501,0)),"")</f>
      </c>
      <c r="I117" s="0">
        <f>IFERROR(INDEX(Registro!$M$2:$M$501,MATCH($A117&amp;"|"&amp;3,Registro!$AJ$2:$AJ$501,0)),"")</f>
      </c>
      <c r="J117" s="0">
        <f>IFERROR(INDEX(Registro!$M$2:$M$501,MATCH($A117&amp;"|"&amp;4,Registro!$AJ$2:$AJ$501,0)),"")</f>
      </c>
      <c r="K117" s="0">
        <f>IFERROR(INDEX(Registro!$M$2:$M$501,MATCH($A117&amp;"|"&amp;5,Registro!$AJ$2:$AJ$501,0)),"")</f>
      </c>
      <c r="L117" s="0">
        <f>IFERROR(INDEX(Registro!$M$2:$M$501,MATCH($A117&amp;"|"&amp;6,Registro!$AJ$2:$AJ$501,0)),"")</f>
      </c>
      <c r="M117" s="0">
        <f>IFERROR(INDEX(Registro!$M$2:$M$501,MATCH($A117&amp;"|"&amp;7,Registro!$AJ$2:$AJ$501,0)),"")</f>
      </c>
      <c r="N117" s="0">
        <f>IFERROR(INDEX(Registro!$M$2:$M$501,MATCH($A117&amp;"|"&amp;8,Registro!$AJ$2:$AJ$501,0)),"")</f>
      </c>
      <c r="O117" s="0">
        <f>IFERROR(INDEX(Registro!$M$2:$M$501,MATCH($A117&amp;"|"&amp;9,Registro!$AJ$2:$AJ$501,0)),"")</f>
      </c>
      <c r="P117" s="0">
        <f>IFERROR(INDEX(Registro!$M$2:$M$501,MATCH($A117&amp;"|"&amp;10,Registro!$AJ$2:$AJ$501,0)),"")</f>
      </c>
    </row>
    <row r="118" spans="1:16">
      <c r="A118" s="6">
        <f>IF(Docentes!$A$113="","",Docentes!$A$113)</f>
      </c>
      <c r="B118" s="5">
        <f>IF($A118="","",COUNTIFS(Registro!$K$2:$K$501,$A118,Registro!$Q$2:$Q$501,"Disponible"))</f>
      </c>
      <c r="C118" s="5">
        <f>IF($A118="","",COUNTIFS(Registro!$K$2:$K$501,$A118,Registro!$O$2:$O$501,"Sí"))</f>
      </c>
      <c r="D118" s="5">
        <f>IF($A118="","",$B118+$C118)</f>
      </c>
      <c r="E118" s="6">
        <f>IF($A118="","",IF($B118=0,"—",$G118&amp;IF($H118&lt;&gt;""," | "&amp;$H118,"")&amp;IF($I118&lt;&gt;""," | "&amp;$I118,"")&amp;IF($J118&lt;&gt;""," | "&amp;$J118,"")&amp;IF($K118&lt;&gt;""," | "&amp;$K118,"")&amp;IF($L118&lt;&gt;""," | "&amp;$L118,"")&amp;IF($M118&lt;&gt;""," | "&amp;$M118,"")&amp;IF($N118&lt;&gt;""," | "&amp;$N118,"")&amp;IF($O118&lt;&gt;""," | "&amp;$O118,"")&amp;IF($P118&lt;&gt;""," | "&amp;$P118,"")&amp;IF($B118&gt;10," | (+"&amp;($B118-10)&amp;" más)","")))</f>
      </c>
      <c r="G118" s="0">
        <f>IFERROR(INDEX(Registro!$M$2:$M$501,MATCH($A118&amp;"|"&amp;1,Registro!$AJ$2:$AJ$501,0)),"")</f>
      </c>
      <c r="H118" s="0">
        <f>IFERROR(INDEX(Registro!$M$2:$M$501,MATCH($A118&amp;"|"&amp;2,Registro!$AJ$2:$AJ$501,0)),"")</f>
      </c>
      <c r="I118" s="0">
        <f>IFERROR(INDEX(Registro!$M$2:$M$501,MATCH($A118&amp;"|"&amp;3,Registro!$AJ$2:$AJ$501,0)),"")</f>
      </c>
      <c r="J118" s="0">
        <f>IFERROR(INDEX(Registro!$M$2:$M$501,MATCH($A118&amp;"|"&amp;4,Registro!$AJ$2:$AJ$501,0)),"")</f>
      </c>
      <c r="K118" s="0">
        <f>IFERROR(INDEX(Registro!$M$2:$M$501,MATCH($A118&amp;"|"&amp;5,Registro!$AJ$2:$AJ$501,0)),"")</f>
      </c>
      <c r="L118" s="0">
        <f>IFERROR(INDEX(Registro!$M$2:$M$501,MATCH($A118&amp;"|"&amp;6,Registro!$AJ$2:$AJ$501,0)),"")</f>
      </c>
      <c r="M118" s="0">
        <f>IFERROR(INDEX(Registro!$M$2:$M$501,MATCH($A118&amp;"|"&amp;7,Registro!$AJ$2:$AJ$501,0)),"")</f>
      </c>
      <c r="N118" s="0">
        <f>IFERROR(INDEX(Registro!$M$2:$M$501,MATCH($A118&amp;"|"&amp;8,Registro!$AJ$2:$AJ$501,0)),"")</f>
      </c>
      <c r="O118" s="0">
        <f>IFERROR(INDEX(Registro!$M$2:$M$501,MATCH($A118&amp;"|"&amp;9,Registro!$AJ$2:$AJ$501,0)),"")</f>
      </c>
      <c r="P118" s="0">
        <f>IFERROR(INDEX(Registro!$M$2:$M$501,MATCH($A118&amp;"|"&amp;10,Registro!$AJ$2:$AJ$501,0)),"")</f>
      </c>
    </row>
    <row r="119" spans="1:16">
      <c r="A119" s="6">
        <f>IF(Docentes!$A$114="","",Docentes!$A$114)</f>
      </c>
      <c r="B119" s="5">
        <f>IF($A119="","",COUNTIFS(Registro!$K$2:$K$501,$A119,Registro!$Q$2:$Q$501,"Disponible"))</f>
      </c>
      <c r="C119" s="5">
        <f>IF($A119="","",COUNTIFS(Registro!$K$2:$K$501,$A119,Registro!$O$2:$O$501,"Sí"))</f>
      </c>
      <c r="D119" s="5">
        <f>IF($A119="","",$B119+$C119)</f>
      </c>
      <c r="E119" s="6">
        <f>IF($A119="","",IF($B119=0,"—",$G119&amp;IF($H119&lt;&gt;""," | "&amp;$H119,"")&amp;IF($I119&lt;&gt;""," | "&amp;$I119,"")&amp;IF($J119&lt;&gt;""," | "&amp;$J119,"")&amp;IF($K119&lt;&gt;""," | "&amp;$K119,"")&amp;IF($L119&lt;&gt;""," | "&amp;$L119,"")&amp;IF($M119&lt;&gt;""," | "&amp;$M119,"")&amp;IF($N119&lt;&gt;""," | "&amp;$N119,"")&amp;IF($O119&lt;&gt;""," | "&amp;$O119,"")&amp;IF($P119&lt;&gt;""," | "&amp;$P119,"")&amp;IF($B119&gt;10," | (+"&amp;($B119-10)&amp;" más)","")))</f>
      </c>
      <c r="G119" s="0">
        <f>IFERROR(INDEX(Registro!$M$2:$M$501,MATCH($A119&amp;"|"&amp;1,Registro!$AJ$2:$AJ$501,0)),"")</f>
      </c>
      <c r="H119" s="0">
        <f>IFERROR(INDEX(Registro!$M$2:$M$501,MATCH($A119&amp;"|"&amp;2,Registro!$AJ$2:$AJ$501,0)),"")</f>
      </c>
      <c r="I119" s="0">
        <f>IFERROR(INDEX(Registro!$M$2:$M$501,MATCH($A119&amp;"|"&amp;3,Registro!$AJ$2:$AJ$501,0)),"")</f>
      </c>
      <c r="J119" s="0">
        <f>IFERROR(INDEX(Registro!$M$2:$M$501,MATCH($A119&amp;"|"&amp;4,Registro!$AJ$2:$AJ$501,0)),"")</f>
      </c>
      <c r="K119" s="0">
        <f>IFERROR(INDEX(Registro!$M$2:$M$501,MATCH($A119&amp;"|"&amp;5,Registro!$AJ$2:$AJ$501,0)),"")</f>
      </c>
      <c r="L119" s="0">
        <f>IFERROR(INDEX(Registro!$M$2:$M$501,MATCH($A119&amp;"|"&amp;6,Registro!$AJ$2:$AJ$501,0)),"")</f>
      </c>
      <c r="M119" s="0">
        <f>IFERROR(INDEX(Registro!$M$2:$M$501,MATCH($A119&amp;"|"&amp;7,Registro!$AJ$2:$AJ$501,0)),"")</f>
      </c>
      <c r="N119" s="0">
        <f>IFERROR(INDEX(Registro!$M$2:$M$501,MATCH($A119&amp;"|"&amp;8,Registro!$AJ$2:$AJ$501,0)),"")</f>
      </c>
      <c r="O119" s="0">
        <f>IFERROR(INDEX(Registro!$M$2:$M$501,MATCH($A119&amp;"|"&amp;9,Registro!$AJ$2:$AJ$501,0)),"")</f>
      </c>
      <c r="P119" s="0">
        <f>IFERROR(INDEX(Registro!$M$2:$M$501,MATCH($A119&amp;"|"&amp;10,Registro!$AJ$2:$AJ$501,0)),"")</f>
      </c>
    </row>
    <row r="120" spans="1:16">
      <c r="A120" s="6">
        <f>IF(Docentes!$A$115="","",Docentes!$A$115)</f>
      </c>
      <c r="B120" s="5">
        <f>IF($A120="","",COUNTIFS(Registro!$K$2:$K$501,$A120,Registro!$Q$2:$Q$501,"Disponible"))</f>
      </c>
      <c r="C120" s="5">
        <f>IF($A120="","",COUNTIFS(Registro!$K$2:$K$501,$A120,Registro!$O$2:$O$501,"Sí"))</f>
      </c>
      <c r="D120" s="5">
        <f>IF($A120="","",$B120+$C120)</f>
      </c>
      <c r="E120" s="6">
        <f>IF($A120="","",IF($B120=0,"—",$G120&amp;IF($H120&lt;&gt;""," | "&amp;$H120,"")&amp;IF($I120&lt;&gt;""," | "&amp;$I120,"")&amp;IF($J120&lt;&gt;""," | "&amp;$J120,"")&amp;IF($K120&lt;&gt;""," | "&amp;$K120,"")&amp;IF($L120&lt;&gt;""," | "&amp;$L120,"")&amp;IF($M120&lt;&gt;""," | "&amp;$M120,"")&amp;IF($N120&lt;&gt;""," | "&amp;$N120,"")&amp;IF($O120&lt;&gt;""," | "&amp;$O120,"")&amp;IF($P120&lt;&gt;""," | "&amp;$P120,"")&amp;IF($B120&gt;10," | (+"&amp;($B120-10)&amp;" más)","")))</f>
      </c>
      <c r="G120" s="0">
        <f>IFERROR(INDEX(Registro!$M$2:$M$501,MATCH($A120&amp;"|"&amp;1,Registro!$AJ$2:$AJ$501,0)),"")</f>
      </c>
      <c r="H120" s="0">
        <f>IFERROR(INDEX(Registro!$M$2:$M$501,MATCH($A120&amp;"|"&amp;2,Registro!$AJ$2:$AJ$501,0)),"")</f>
      </c>
      <c r="I120" s="0">
        <f>IFERROR(INDEX(Registro!$M$2:$M$501,MATCH($A120&amp;"|"&amp;3,Registro!$AJ$2:$AJ$501,0)),"")</f>
      </c>
      <c r="J120" s="0">
        <f>IFERROR(INDEX(Registro!$M$2:$M$501,MATCH($A120&amp;"|"&amp;4,Registro!$AJ$2:$AJ$501,0)),"")</f>
      </c>
      <c r="K120" s="0">
        <f>IFERROR(INDEX(Registro!$M$2:$M$501,MATCH($A120&amp;"|"&amp;5,Registro!$AJ$2:$AJ$501,0)),"")</f>
      </c>
      <c r="L120" s="0">
        <f>IFERROR(INDEX(Registro!$M$2:$M$501,MATCH($A120&amp;"|"&amp;6,Registro!$AJ$2:$AJ$501,0)),"")</f>
      </c>
      <c r="M120" s="0">
        <f>IFERROR(INDEX(Registro!$M$2:$M$501,MATCH($A120&amp;"|"&amp;7,Registro!$AJ$2:$AJ$501,0)),"")</f>
      </c>
      <c r="N120" s="0">
        <f>IFERROR(INDEX(Registro!$M$2:$M$501,MATCH($A120&amp;"|"&amp;8,Registro!$AJ$2:$AJ$501,0)),"")</f>
      </c>
      <c r="O120" s="0">
        <f>IFERROR(INDEX(Registro!$M$2:$M$501,MATCH($A120&amp;"|"&amp;9,Registro!$AJ$2:$AJ$501,0)),"")</f>
      </c>
      <c r="P120" s="0">
        <f>IFERROR(INDEX(Registro!$M$2:$M$501,MATCH($A120&amp;"|"&amp;10,Registro!$AJ$2:$AJ$501,0)),"")</f>
      </c>
    </row>
    <row r="121" spans="1:16">
      <c r="A121" s="6">
        <f>IF(Docentes!$A$116="","",Docentes!$A$116)</f>
      </c>
      <c r="B121" s="5">
        <f>IF($A121="","",COUNTIFS(Registro!$K$2:$K$501,$A121,Registro!$Q$2:$Q$501,"Disponible"))</f>
      </c>
      <c r="C121" s="5">
        <f>IF($A121="","",COUNTIFS(Registro!$K$2:$K$501,$A121,Registro!$O$2:$O$501,"Sí"))</f>
      </c>
      <c r="D121" s="5">
        <f>IF($A121="","",$B121+$C121)</f>
      </c>
      <c r="E121" s="6">
        <f>IF($A121="","",IF($B121=0,"—",$G121&amp;IF($H121&lt;&gt;""," | "&amp;$H121,"")&amp;IF($I121&lt;&gt;""," | "&amp;$I121,"")&amp;IF($J121&lt;&gt;""," | "&amp;$J121,"")&amp;IF($K121&lt;&gt;""," | "&amp;$K121,"")&amp;IF($L121&lt;&gt;""," | "&amp;$L121,"")&amp;IF($M121&lt;&gt;""," | "&amp;$M121,"")&amp;IF($N121&lt;&gt;""," | "&amp;$N121,"")&amp;IF($O121&lt;&gt;""," | "&amp;$O121,"")&amp;IF($P121&lt;&gt;""," | "&amp;$P121,"")&amp;IF($B121&gt;10," | (+"&amp;($B121-10)&amp;" más)","")))</f>
      </c>
      <c r="G121" s="0">
        <f>IFERROR(INDEX(Registro!$M$2:$M$501,MATCH($A121&amp;"|"&amp;1,Registro!$AJ$2:$AJ$501,0)),"")</f>
      </c>
      <c r="H121" s="0">
        <f>IFERROR(INDEX(Registro!$M$2:$M$501,MATCH($A121&amp;"|"&amp;2,Registro!$AJ$2:$AJ$501,0)),"")</f>
      </c>
      <c r="I121" s="0">
        <f>IFERROR(INDEX(Registro!$M$2:$M$501,MATCH($A121&amp;"|"&amp;3,Registro!$AJ$2:$AJ$501,0)),"")</f>
      </c>
      <c r="J121" s="0">
        <f>IFERROR(INDEX(Registro!$M$2:$M$501,MATCH($A121&amp;"|"&amp;4,Registro!$AJ$2:$AJ$501,0)),"")</f>
      </c>
      <c r="K121" s="0">
        <f>IFERROR(INDEX(Registro!$M$2:$M$501,MATCH($A121&amp;"|"&amp;5,Registro!$AJ$2:$AJ$501,0)),"")</f>
      </c>
      <c r="L121" s="0">
        <f>IFERROR(INDEX(Registro!$M$2:$M$501,MATCH($A121&amp;"|"&amp;6,Registro!$AJ$2:$AJ$501,0)),"")</f>
      </c>
      <c r="M121" s="0">
        <f>IFERROR(INDEX(Registro!$M$2:$M$501,MATCH($A121&amp;"|"&amp;7,Registro!$AJ$2:$AJ$501,0)),"")</f>
      </c>
      <c r="N121" s="0">
        <f>IFERROR(INDEX(Registro!$M$2:$M$501,MATCH($A121&amp;"|"&amp;8,Registro!$AJ$2:$AJ$501,0)),"")</f>
      </c>
      <c r="O121" s="0">
        <f>IFERROR(INDEX(Registro!$M$2:$M$501,MATCH($A121&amp;"|"&amp;9,Registro!$AJ$2:$AJ$501,0)),"")</f>
      </c>
      <c r="P121" s="0">
        <f>IFERROR(INDEX(Registro!$M$2:$M$501,MATCH($A121&amp;"|"&amp;10,Registro!$AJ$2:$AJ$501,0)),"")</f>
      </c>
    </row>
    <row r="122" spans="1:16">
      <c r="A122" s="6">
        <f>IF(Docentes!$A$117="","",Docentes!$A$117)</f>
      </c>
      <c r="B122" s="5">
        <f>IF($A122="","",COUNTIFS(Registro!$K$2:$K$501,$A122,Registro!$Q$2:$Q$501,"Disponible"))</f>
      </c>
      <c r="C122" s="5">
        <f>IF($A122="","",COUNTIFS(Registro!$K$2:$K$501,$A122,Registro!$O$2:$O$501,"Sí"))</f>
      </c>
      <c r="D122" s="5">
        <f>IF($A122="","",$B122+$C122)</f>
      </c>
      <c r="E122" s="6">
        <f>IF($A122="","",IF($B122=0,"—",$G122&amp;IF($H122&lt;&gt;""," | "&amp;$H122,"")&amp;IF($I122&lt;&gt;""," | "&amp;$I122,"")&amp;IF($J122&lt;&gt;""," | "&amp;$J122,"")&amp;IF($K122&lt;&gt;""," | "&amp;$K122,"")&amp;IF($L122&lt;&gt;""," | "&amp;$L122,"")&amp;IF($M122&lt;&gt;""," | "&amp;$M122,"")&amp;IF($N122&lt;&gt;""," | "&amp;$N122,"")&amp;IF($O122&lt;&gt;""," | "&amp;$O122,"")&amp;IF($P122&lt;&gt;""," | "&amp;$P122,"")&amp;IF($B122&gt;10," | (+"&amp;($B122-10)&amp;" más)","")))</f>
      </c>
      <c r="G122" s="0">
        <f>IFERROR(INDEX(Registro!$M$2:$M$501,MATCH($A122&amp;"|"&amp;1,Registro!$AJ$2:$AJ$501,0)),"")</f>
      </c>
      <c r="H122" s="0">
        <f>IFERROR(INDEX(Registro!$M$2:$M$501,MATCH($A122&amp;"|"&amp;2,Registro!$AJ$2:$AJ$501,0)),"")</f>
      </c>
      <c r="I122" s="0">
        <f>IFERROR(INDEX(Registro!$M$2:$M$501,MATCH($A122&amp;"|"&amp;3,Registro!$AJ$2:$AJ$501,0)),"")</f>
      </c>
      <c r="J122" s="0">
        <f>IFERROR(INDEX(Registro!$M$2:$M$501,MATCH($A122&amp;"|"&amp;4,Registro!$AJ$2:$AJ$501,0)),"")</f>
      </c>
      <c r="K122" s="0">
        <f>IFERROR(INDEX(Registro!$M$2:$M$501,MATCH($A122&amp;"|"&amp;5,Registro!$AJ$2:$AJ$501,0)),"")</f>
      </c>
      <c r="L122" s="0">
        <f>IFERROR(INDEX(Registro!$M$2:$M$501,MATCH($A122&amp;"|"&amp;6,Registro!$AJ$2:$AJ$501,0)),"")</f>
      </c>
      <c r="M122" s="0">
        <f>IFERROR(INDEX(Registro!$M$2:$M$501,MATCH($A122&amp;"|"&amp;7,Registro!$AJ$2:$AJ$501,0)),"")</f>
      </c>
      <c r="N122" s="0">
        <f>IFERROR(INDEX(Registro!$M$2:$M$501,MATCH($A122&amp;"|"&amp;8,Registro!$AJ$2:$AJ$501,0)),"")</f>
      </c>
      <c r="O122" s="0">
        <f>IFERROR(INDEX(Registro!$M$2:$M$501,MATCH($A122&amp;"|"&amp;9,Registro!$AJ$2:$AJ$501,0)),"")</f>
      </c>
      <c r="P122" s="0">
        <f>IFERROR(INDEX(Registro!$M$2:$M$501,MATCH($A122&amp;"|"&amp;10,Registro!$AJ$2:$AJ$501,0)),"")</f>
      </c>
    </row>
    <row r="123" spans="1:16">
      <c r="A123" s="6">
        <f>IF(Docentes!$A$118="","",Docentes!$A$118)</f>
      </c>
      <c r="B123" s="5">
        <f>IF($A123="","",COUNTIFS(Registro!$K$2:$K$501,$A123,Registro!$Q$2:$Q$501,"Disponible"))</f>
      </c>
      <c r="C123" s="5">
        <f>IF($A123="","",COUNTIFS(Registro!$K$2:$K$501,$A123,Registro!$O$2:$O$501,"Sí"))</f>
      </c>
      <c r="D123" s="5">
        <f>IF($A123="","",$B123+$C123)</f>
      </c>
      <c r="E123" s="6">
        <f>IF($A123="","",IF($B123=0,"—",$G123&amp;IF($H123&lt;&gt;""," | "&amp;$H123,"")&amp;IF($I123&lt;&gt;""," | "&amp;$I123,"")&amp;IF($J123&lt;&gt;""," | "&amp;$J123,"")&amp;IF($K123&lt;&gt;""," | "&amp;$K123,"")&amp;IF($L123&lt;&gt;""," | "&amp;$L123,"")&amp;IF($M123&lt;&gt;""," | "&amp;$M123,"")&amp;IF($N123&lt;&gt;""," | "&amp;$N123,"")&amp;IF($O123&lt;&gt;""," | "&amp;$O123,"")&amp;IF($P123&lt;&gt;""," | "&amp;$P123,"")&amp;IF($B123&gt;10," | (+"&amp;($B123-10)&amp;" más)","")))</f>
      </c>
      <c r="G123" s="0">
        <f>IFERROR(INDEX(Registro!$M$2:$M$501,MATCH($A123&amp;"|"&amp;1,Registro!$AJ$2:$AJ$501,0)),"")</f>
      </c>
      <c r="H123" s="0">
        <f>IFERROR(INDEX(Registro!$M$2:$M$501,MATCH($A123&amp;"|"&amp;2,Registro!$AJ$2:$AJ$501,0)),"")</f>
      </c>
      <c r="I123" s="0">
        <f>IFERROR(INDEX(Registro!$M$2:$M$501,MATCH($A123&amp;"|"&amp;3,Registro!$AJ$2:$AJ$501,0)),"")</f>
      </c>
      <c r="J123" s="0">
        <f>IFERROR(INDEX(Registro!$M$2:$M$501,MATCH($A123&amp;"|"&amp;4,Registro!$AJ$2:$AJ$501,0)),"")</f>
      </c>
      <c r="K123" s="0">
        <f>IFERROR(INDEX(Registro!$M$2:$M$501,MATCH($A123&amp;"|"&amp;5,Registro!$AJ$2:$AJ$501,0)),"")</f>
      </c>
      <c r="L123" s="0">
        <f>IFERROR(INDEX(Registro!$M$2:$M$501,MATCH($A123&amp;"|"&amp;6,Registro!$AJ$2:$AJ$501,0)),"")</f>
      </c>
      <c r="M123" s="0">
        <f>IFERROR(INDEX(Registro!$M$2:$M$501,MATCH($A123&amp;"|"&amp;7,Registro!$AJ$2:$AJ$501,0)),"")</f>
      </c>
      <c r="N123" s="0">
        <f>IFERROR(INDEX(Registro!$M$2:$M$501,MATCH($A123&amp;"|"&amp;8,Registro!$AJ$2:$AJ$501,0)),"")</f>
      </c>
      <c r="O123" s="0">
        <f>IFERROR(INDEX(Registro!$M$2:$M$501,MATCH($A123&amp;"|"&amp;9,Registro!$AJ$2:$AJ$501,0)),"")</f>
      </c>
      <c r="P123" s="0">
        <f>IFERROR(INDEX(Registro!$M$2:$M$501,MATCH($A123&amp;"|"&amp;10,Registro!$AJ$2:$AJ$501,0)),"")</f>
      </c>
    </row>
    <row r="124" spans="1:16">
      <c r="A124" s="6">
        <f>IF(Docentes!$A$119="","",Docentes!$A$119)</f>
      </c>
      <c r="B124" s="5">
        <f>IF($A124="","",COUNTIFS(Registro!$K$2:$K$501,$A124,Registro!$Q$2:$Q$501,"Disponible"))</f>
      </c>
      <c r="C124" s="5">
        <f>IF($A124="","",COUNTIFS(Registro!$K$2:$K$501,$A124,Registro!$O$2:$O$501,"Sí"))</f>
      </c>
      <c r="D124" s="5">
        <f>IF($A124="","",$B124+$C124)</f>
      </c>
      <c r="E124" s="6">
        <f>IF($A124="","",IF($B124=0,"—",$G124&amp;IF($H124&lt;&gt;""," | "&amp;$H124,"")&amp;IF($I124&lt;&gt;""," | "&amp;$I124,"")&amp;IF($J124&lt;&gt;""," | "&amp;$J124,"")&amp;IF($K124&lt;&gt;""," | "&amp;$K124,"")&amp;IF($L124&lt;&gt;""," | "&amp;$L124,"")&amp;IF($M124&lt;&gt;""," | "&amp;$M124,"")&amp;IF($N124&lt;&gt;""," | "&amp;$N124,"")&amp;IF($O124&lt;&gt;""," | "&amp;$O124,"")&amp;IF($P124&lt;&gt;""," | "&amp;$P124,"")&amp;IF($B124&gt;10," | (+"&amp;($B124-10)&amp;" más)","")))</f>
      </c>
      <c r="G124" s="0">
        <f>IFERROR(INDEX(Registro!$M$2:$M$501,MATCH($A124&amp;"|"&amp;1,Registro!$AJ$2:$AJ$501,0)),"")</f>
      </c>
      <c r="H124" s="0">
        <f>IFERROR(INDEX(Registro!$M$2:$M$501,MATCH($A124&amp;"|"&amp;2,Registro!$AJ$2:$AJ$501,0)),"")</f>
      </c>
      <c r="I124" s="0">
        <f>IFERROR(INDEX(Registro!$M$2:$M$501,MATCH($A124&amp;"|"&amp;3,Registro!$AJ$2:$AJ$501,0)),"")</f>
      </c>
      <c r="J124" s="0">
        <f>IFERROR(INDEX(Registro!$M$2:$M$501,MATCH($A124&amp;"|"&amp;4,Registro!$AJ$2:$AJ$501,0)),"")</f>
      </c>
      <c r="K124" s="0">
        <f>IFERROR(INDEX(Registro!$M$2:$M$501,MATCH($A124&amp;"|"&amp;5,Registro!$AJ$2:$AJ$501,0)),"")</f>
      </c>
      <c r="L124" s="0">
        <f>IFERROR(INDEX(Registro!$M$2:$M$501,MATCH($A124&amp;"|"&amp;6,Registro!$AJ$2:$AJ$501,0)),"")</f>
      </c>
      <c r="M124" s="0">
        <f>IFERROR(INDEX(Registro!$M$2:$M$501,MATCH($A124&amp;"|"&amp;7,Registro!$AJ$2:$AJ$501,0)),"")</f>
      </c>
      <c r="N124" s="0">
        <f>IFERROR(INDEX(Registro!$M$2:$M$501,MATCH($A124&amp;"|"&amp;8,Registro!$AJ$2:$AJ$501,0)),"")</f>
      </c>
      <c r="O124" s="0">
        <f>IFERROR(INDEX(Registro!$M$2:$M$501,MATCH($A124&amp;"|"&amp;9,Registro!$AJ$2:$AJ$501,0)),"")</f>
      </c>
      <c r="P124" s="0">
        <f>IFERROR(INDEX(Registro!$M$2:$M$501,MATCH($A124&amp;"|"&amp;10,Registro!$AJ$2:$AJ$501,0)),"")</f>
      </c>
    </row>
    <row r="125" spans="1:16">
      <c r="A125" s="6">
        <f>IF(Docentes!$A$120="","",Docentes!$A$120)</f>
      </c>
      <c r="B125" s="5">
        <f>IF($A125="","",COUNTIFS(Registro!$K$2:$K$501,$A125,Registro!$Q$2:$Q$501,"Disponible"))</f>
      </c>
      <c r="C125" s="5">
        <f>IF($A125="","",COUNTIFS(Registro!$K$2:$K$501,$A125,Registro!$O$2:$O$501,"Sí"))</f>
      </c>
      <c r="D125" s="5">
        <f>IF($A125="","",$B125+$C125)</f>
      </c>
      <c r="E125" s="6">
        <f>IF($A125="","",IF($B125=0,"—",$G125&amp;IF($H125&lt;&gt;""," | "&amp;$H125,"")&amp;IF($I125&lt;&gt;""," | "&amp;$I125,"")&amp;IF($J125&lt;&gt;""," | "&amp;$J125,"")&amp;IF($K125&lt;&gt;""," | "&amp;$K125,"")&amp;IF($L125&lt;&gt;""," | "&amp;$L125,"")&amp;IF($M125&lt;&gt;""," | "&amp;$M125,"")&amp;IF($N125&lt;&gt;""," | "&amp;$N125,"")&amp;IF($O125&lt;&gt;""," | "&amp;$O125,"")&amp;IF($P125&lt;&gt;""," | "&amp;$P125,"")&amp;IF($B125&gt;10," | (+"&amp;($B125-10)&amp;" más)","")))</f>
      </c>
      <c r="G125" s="0">
        <f>IFERROR(INDEX(Registro!$M$2:$M$501,MATCH($A125&amp;"|"&amp;1,Registro!$AJ$2:$AJ$501,0)),"")</f>
      </c>
      <c r="H125" s="0">
        <f>IFERROR(INDEX(Registro!$M$2:$M$501,MATCH($A125&amp;"|"&amp;2,Registro!$AJ$2:$AJ$501,0)),"")</f>
      </c>
      <c r="I125" s="0">
        <f>IFERROR(INDEX(Registro!$M$2:$M$501,MATCH($A125&amp;"|"&amp;3,Registro!$AJ$2:$AJ$501,0)),"")</f>
      </c>
      <c r="J125" s="0">
        <f>IFERROR(INDEX(Registro!$M$2:$M$501,MATCH($A125&amp;"|"&amp;4,Registro!$AJ$2:$AJ$501,0)),"")</f>
      </c>
      <c r="K125" s="0">
        <f>IFERROR(INDEX(Registro!$M$2:$M$501,MATCH($A125&amp;"|"&amp;5,Registro!$AJ$2:$AJ$501,0)),"")</f>
      </c>
      <c r="L125" s="0">
        <f>IFERROR(INDEX(Registro!$M$2:$M$501,MATCH($A125&amp;"|"&amp;6,Registro!$AJ$2:$AJ$501,0)),"")</f>
      </c>
      <c r="M125" s="0">
        <f>IFERROR(INDEX(Registro!$M$2:$M$501,MATCH($A125&amp;"|"&amp;7,Registro!$AJ$2:$AJ$501,0)),"")</f>
      </c>
      <c r="N125" s="0">
        <f>IFERROR(INDEX(Registro!$M$2:$M$501,MATCH($A125&amp;"|"&amp;8,Registro!$AJ$2:$AJ$501,0)),"")</f>
      </c>
      <c r="O125" s="0">
        <f>IFERROR(INDEX(Registro!$M$2:$M$501,MATCH($A125&amp;"|"&amp;9,Registro!$AJ$2:$AJ$501,0)),"")</f>
      </c>
      <c r="P125" s="0">
        <f>IFERROR(INDEX(Registro!$M$2:$M$501,MATCH($A125&amp;"|"&amp;10,Registro!$AJ$2:$AJ$501,0)),"")</f>
      </c>
    </row>
    <row r="126" spans="1:16">
      <c r="A126" s="6">
        <f>IF(Docentes!$A$121="","",Docentes!$A$121)</f>
      </c>
      <c r="B126" s="5">
        <f>IF($A126="","",COUNTIFS(Registro!$K$2:$K$501,$A126,Registro!$Q$2:$Q$501,"Disponible"))</f>
      </c>
      <c r="C126" s="5">
        <f>IF($A126="","",COUNTIFS(Registro!$K$2:$K$501,$A126,Registro!$O$2:$O$501,"Sí"))</f>
      </c>
      <c r="D126" s="5">
        <f>IF($A126="","",$B126+$C126)</f>
      </c>
      <c r="E126" s="6">
        <f>IF($A126="","",IF($B126=0,"—",$G126&amp;IF($H126&lt;&gt;""," | "&amp;$H126,"")&amp;IF($I126&lt;&gt;""," | "&amp;$I126,"")&amp;IF($J126&lt;&gt;""," | "&amp;$J126,"")&amp;IF($K126&lt;&gt;""," | "&amp;$K126,"")&amp;IF($L126&lt;&gt;""," | "&amp;$L126,"")&amp;IF($M126&lt;&gt;""," | "&amp;$M126,"")&amp;IF($N126&lt;&gt;""," | "&amp;$N126,"")&amp;IF($O126&lt;&gt;""," | "&amp;$O126,"")&amp;IF($P126&lt;&gt;""," | "&amp;$P126,"")&amp;IF($B126&gt;10," | (+"&amp;($B126-10)&amp;" más)","")))</f>
      </c>
      <c r="G126" s="0">
        <f>IFERROR(INDEX(Registro!$M$2:$M$501,MATCH($A126&amp;"|"&amp;1,Registro!$AJ$2:$AJ$501,0)),"")</f>
      </c>
      <c r="H126" s="0">
        <f>IFERROR(INDEX(Registro!$M$2:$M$501,MATCH($A126&amp;"|"&amp;2,Registro!$AJ$2:$AJ$501,0)),"")</f>
      </c>
      <c r="I126" s="0">
        <f>IFERROR(INDEX(Registro!$M$2:$M$501,MATCH($A126&amp;"|"&amp;3,Registro!$AJ$2:$AJ$501,0)),"")</f>
      </c>
      <c r="J126" s="0">
        <f>IFERROR(INDEX(Registro!$M$2:$M$501,MATCH($A126&amp;"|"&amp;4,Registro!$AJ$2:$AJ$501,0)),"")</f>
      </c>
      <c r="K126" s="0">
        <f>IFERROR(INDEX(Registro!$M$2:$M$501,MATCH($A126&amp;"|"&amp;5,Registro!$AJ$2:$AJ$501,0)),"")</f>
      </c>
      <c r="L126" s="0">
        <f>IFERROR(INDEX(Registro!$M$2:$M$501,MATCH($A126&amp;"|"&amp;6,Registro!$AJ$2:$AJ$501,0)),"")</f>
      </c>
      <c r="M126" s="0">
        <f>IFERROR(INDEX(Registro!$M$2:$M$501,MATCH($A126&amp;"|"&amp;7,Registro!$AJ$2:$AJ$501,0)),"")</f>
      </c>
      <c r="N126" s="0">
        <f>IFERROR(INDEX(Registro!$M$2:$M$501,MATCH($A126&amp;"|"&amp;8,Registro!$AJ$2:$AJ$501,0)),"")</f>
      </c>
      <c r="O126" s="0">
        <f>IFERROR(INDEX(Registro!$M$2:$M$501,MATCH($A126&amp;"|"&amp;9,Registro!$AJ$2:$AJ$501,0)),"")</f>
      </c>
      <c r="P126" s="0">
        <f>IFERROR(INDEX(Registro!$M$2:$M$501,MATCH($A126&amp;"|"&amp;10,Registro!$AJ$2:$AJ$501,0)),"")</f>
      </c>
    </row>
  </sheetData>
  <sheetProtection sheet="1" objects="1" scenarios="1" formatCells="1" formatColumns="1" formatRows="1" insertColumns="1" insertRows="1" insertHyperlinks="1" deleteColumns="1" deleteRows="1" sort="1" autoFilter="0" pivotTables="1" selectLockedCells="0" selectUnlockedCells="0"/>
  <mergeCells count="3">
    <mergeCell ref="A4:B4"/>
    <mergeCell ref="A1:E1"/>
    <mergeCell ref="A2:E2"/>
  </mergeCells>
  <printOptions horizontalCentered="1"/>
  <pageMargins left="0.5" right="0.5" top="0.6" bottom="0.6" header="0.3" footer="0.3"/>
  <pageSetup paperSize="9" orientation="landscape" fitToWidth="1" fitToHeight="0" horizontalDpi="300" verticalDpi="300"/>
  <headerFooter>
    <oddFooter>&amp;L&amp;"Arial,Regular"&amp;8Informe · Horas libres por docente&amp;C&amp;"Arial,Regular"&amp;8&amp;D&amp;R&amp;"Arial,Regular"&amp;8Página &amp;P de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A1:C40"/>
  <sheetViews>
    <sheetView showGridLines="0" workbookViewId="0">
      <pane ySplit="3" topLeftCell="A4" activePane="bottomLeft" state="frozen"/>
    </sheetView>
  </sheetViews>
  <sheetFormatPr baseColWidth="10" defaultRowHeight="16"/>
  <cols>
    <col min="1" max="1" width="48" customWidth="1"/>
    <col min="2" max="2" width="14" customWidth="1"/>
    <col min="3" max="3" width="52" customWidth="1"/>
  </cols>
  <sheetData>
    <row r="1" spans="1:3" ht="30" customHeight="1">
      <c r="A1" s="46" t="inlineStr">
        <is>
          <t xml:space="preserve">MEMORIA ANUAL · VACANTES Y REFUERZOS</t>
        </is>
      </c>
      <c r="B1" s="46"/>
      <c r="C1" s="46"/>
    </row>
    <row r="2" spans="1:3" ht="20" customHeight="1">
      <c r="A2" s="7">
        <f>"Centro: "&amp;IF(Portada!$B$4="","(sin indicar)",Portada!$B$4)&amp;"      ·      Código: "&amp;IF(Portada!$B$5="","(sin indicar)",Portada!$B$5)&amp;"      ·      Curso "&amp;Portada!$B$6</f>
      </c>
      <c r="B2" s="7"/>
      <c r="C2" s="7"/>
    </row>
    <row r="4" spans="1:3" ht="26" customHeight="1">
      <c r="A4" s="51" t="inlineStr">
        <is>
          <t xml:space="preserve">VACANTES PRODUCIDAS DURANTE EL CURSO</t>
        </is>
      </c>
      <c r="B4" s="51"/>
      <c r="C4" s="51"/>
    </row>
    <row r="5" spans="1:3" ht="18" customHeight="1">
      <c r="A5" s="10" t="inlineStr">
        <is>
          <t xml:space="preserve">Total de vacantes registradas</t>
        </is>
      </c>
      <c r="B5" s="11">
        <f>COUNTA(Registro!$D$2:$D$501)</f>
      </c>
      <c r="C5" s="6"/>
    </row>
    <row r="6" spans="1:3" ht="18" customHeight="1">
      <c r="A6" s="10" t="inlineStr">
        <is>
          <t xml:space="preserve">No adjudicadas · sin demanda</t>
        </is>
      </c>
      <c r="B6" s="11">
        <f>COUNTIF(Registro!$I$2:$I$501,"No adjudicada · sin demanda")</f>
      </c>
      <c r="C6" s="6"/>
    </row>
    <row r="7" spans="1:3" ht="18" customHeight="1">
      <c r="A7" s="10" t="inlineStr">
        <is>
          <t xml:space="preserve">Adjudicadas y no matriculadas (art. 23.3)</t>
        </is>
      </c>
      <c r="B7" s="11">
        <f>COUNTIF(Registro!$I$2:$I$501,"Adjudicada y no matriculada (art. 23.3)")</f>
      </c>
      <c r="C7" s="6"/>
    </row>
    <row r="8" spans="1:3" ht="18" customHeight="1">
      <c r="A8" s="10" t="inlineStr">
        <is>
          <t xml:space="preserve">Renuncias (hasta el 30 de noviembre)</t>
        </is>
      </c>
      <c r="B8" s="11">
        <f>COUNTIF(Registro!$I$2:$I$501,"Renuncia (hasta 30 nov)")</f>
      </c>
      <c r="C8" s="6"/>
    </row>
    <row r="9" spans="1:3" ht="18" customHeight="1">
      <c r="A9" s="10" t="inlineStr">
        <is>
          <t xml:space="preserve">Bajas (desde el 1 de diciembre)</t>
        </is>
      </c>
      <c r="B9" s="11">
        <f>COUNTIF(Registro!$I$2:$I$501,"Baja (desde 1 dic)")</f>
      </c>
      <c r="C9" s="6"/>
    </row>
    <row r="10" spans="1:3" ht="18" customHeight="1">
      <c r="A10" s="10" t="inlineStr">
        <is>
          <t xml:space="preserve">Renuncias excepcionales (art. 25.3)</t>
        </is>
      </c>
      <c r="B10" s="11">
        <f>COUNTIF(Registro!$I$2:$I$501,"Renuncia excepcional (art. 25.3)")</f>
      </c>
      <c r="C10" s="6"/>
    </row>
    <row r="11" spans="1:3" ht="18" customHeight="1">
      <c r="A11" s="10" t="inlineStr">
        <is>
          <t xml:space="preserve">Traslados de expediente</t>
        </is>
      </c>
      <c r="B11" s="11">
        <f>COUNTIF(Registro!$I$2:$I$501,"Traslado de expediente")</f>
      </c>
      <c r="C11" s="6"/>
    </row>
    <row r="12" spans="1:3" ht="18" customHeight="1">
      <c r="A12" s="10" t="inlineStr">
        <is>
          <t xml:space="preserve">Horas que nunca tuvieron alumnado</t>
        </is>
      </c>
      <c r="B12" s="11">
        <f>COUNTIF(Registro!$I$2:$I$501,"Hora que nunca tuvo alumnado")</f>
      </c>
      <c r="C12" s="6" t="inlineStr">
        <is>
          <t xml:space="preserve">no son vacantes sobrevenidas: no las sumes al total del curso</t>
        </is>
      </c>
    </row>
    <row r="13" spans="1:3" ht="18" customHeight="1">
      <c r="A13" s="10" t="inlineStr">
        <is>
          <t xml:space="preserve">Otros motivos</t>
        </is>
      </c>
      <c r="B13" s="11">
        <f>COUNTIF(Registro!$I$2:$I$501,"Otros")</f>
      </c>
      <c r="C13" s="6"/>
    </row>
    <row r="14" spans="1:3" ht="8" customHeight="1"/>
    <row r="15" spans="1:3" ht="26" customHeight="1">
      <c r="A15" s="51" t="inlineStr">
        <is>
          <t xml:space="preserve">CÓMO SE CUBRIERON  ·  orden de prelación del art. 22.3</t>
        </is>
      </c>
      <c r="B15" s="51"/>
      <c r="C15" s="51"/>
    </row>
    <row r="16" spans="1:3" ht="18" customHeight="1">
      <c r="A16" s="10" t="inlineStr">
        <is>
          <t xml:space="preserve">1.º  Lista de espera del propio centro</t>
        </is>
      </c>
      <c r="B16" s="11">
        <f>COUNTIF(Registro!$R$2:$R$501,"Lista de espera · propio centro")</f>
      </c>
      <c r="C16" s="6" t="inlineStr">
        <is>
          <t xml:space="preserve">hasta el 15 de diciembre</t>
        </is>
      </c>
    </row>
    <row r="17" spans="1:3" ht="18" customHeight="1">
      <c r="A17" s="10" t="inlineStr">
        <is>
          <t xml:space="preserve">2.º  Traslado de expediente</t>
        </is>
      </c>
      <c r="B17" s="11">
        <f>COUNTIF(Registro!$R$2:$R$501,"Traslado de expediente")</f>
      </c>
      <c r="C17" s="6" t="inlineStr">
        <is>
          <t xml:space="preserve">hasta el fin del 2.º trimestre</t>
        </is>
      </c>
    </row>
    <row r="18" spans="1:3" ht="18" customHeight="1">
      <c r="A18" s="10" t="inlineStr">
        <is>
          <t xml:space="preserve">3.º  Lista de espera de otro centro</t>
        </is>
      </c>
      <c r="B18" s="11">
        <f>COUNTIF(Registro!$R$2:$R$501,"Lista de espera · otro centro")</f>
      </c>
      <c r="C18" s="6" t="inlineStr">
        <is>
          <t xml:space="preserve">hasta el 15 de diciembre</t>
        </is>
      </c>
    </row>
    <row r="19" spans="1:3" ht="18" customHeight="1">
      <c r="A19" s="10" t="inlineStr">
        <is>
          <t xml:space="preserve">Reconvertidas en refuerzo</t>
        </is>
      </c>
      <c r="B19" s="11">
        <f>COUNTIF(Registro!$R$2:$R$501,"Reconvertida en refuerzo")</f>
      </c>
      <c r="C19" s="6"/>
    </row>
    <row r="20" spans="1:3" ht="18" customHeight="1">
      <c r="A20" s="10" t="inlineStr">
        <is>
          <t xml:space="preserve">No cubiertas</t>
        </is>
      </c>
      <c r="B20" s="11">
        <f>COUNTIF(Registro!$R$2:$R$501,"No cubierta")</f>
      </c>
      <c r="C20" s="6"/>
    </row>
    <row r="21" spans="1:3" ht="18" customHeight="1">
      <c r="A21" s="10" t="inlineStr">
        <is>
          <t xml:space="preserve">Sin vía registrada</t>
        </is>
      </c>
      <c r="B21" s="11">
        <f>COUNTIFS(Registro!$Q$2:$Q$501,"No disponible",Registro!$R$2:$R$501,"")</f>
      </c>
      <c r="C21" s="6" t="inlineStr">
        <is>
          <t xml:space="preserve">deberían ser cero: revísalas</t>
        </is>
      </c>
    </row>
    <row r="22" spans="1:3" ht="8" customHeight="1"/>
    <row r="23" spans="1:3" ht="26" customHeight="1">
      <c r="A23" s="51" t="inlineStr">
        <is>
          <t xml:space="preserve">REFUERZOS</t>
        </is>
      </c>
      <c r="B23" s="51"/>
      <c r="C23" s="51"/>
    </row>
    <row r="24" spans="1:3" ht="18" customHeight="1">
      <c r="A24" s="10" t="inlineStr">
        <is>
          <t xml:space="preserve">Refuerzos que salen de una vacante</t>
        </is>
      </c>
      <c r="B24" s="11">
        <f>COUNTIF(Registro!$O$2:$O$501,"Sí")</f>
      </c>
      <c r="C24" s="6"/>
    </row>
    <row r="25" spans="1:3" ht="18" customHeight="1">
      <c r="A25" s="10" t="inlineStr">
        <is>
          <t xml:space="preserve">Refuerzos sin vacante detrás</t>
        </is>
      </c>
      <c r="B25" s="11">
        <f>COUNTIF('Registro Refuerzo'!$H$2:$H$201,"Activo")</f>
      </c>
      <c r="C25" s="6"/>
    </row>
    <row r="26" spans="1:3" ht="18" customHeight="1">
      <c r="A26" s="10" t="inlineStr">
        <is>
          <t xml:space="preserve">Total de refuerzos activos</t>
        </is>
      </c>
      <c r="B26" s="11">
        <f>COUNTIF(Registro!$O$2:$O$501,"Sí")+COUNTIF('Registro Refuerzo'!$H$2:$H$201,"Activo")</f>
      </c>
      <c r="C26" s="6"/>
    </row>
    <row r="27" spans="1:3" ht="18" customHeight="1">
      <c r="A27" s="10" t="inlineStr">
        <is>
          <t xml:space="preserve">De los de vacante, horas completas</t>
        </is>
      </c>
      <c r="B27" s="11">
        <f>COUNTIFS(Registro!$O$2:$O$501,"Sí",Registro!$N$2:$N$501,"1 hora")</f>
      </c>
      <c r="C27" s="6"/>
    </row>
    <row r="28" spans="1:3" ht="18" customHeight="1">
      <c r="A28" s="10" t="inlineStr">
        <is>
          <t xml:space="preserve">De los de vacante, medias horas</t>
        </is>
      </c>
      <c r="B28" s="11">
        <f>COUNTIFS(Registro!$O$2:$O$501,"Sí",Registro!$N$2:$N$501,"30 minutos")</f>
      </c>
      <c r="C28" s="6"/>
    </row>
    <row r="29" spans="1:3" ht="8" customHeight="1"/>
    <row r="30" spans="1:3" ht="26" customHeight="1">
      <c r="A30" s="51" t="inlineStr">
        <is>
          <t xml:space="preserve">SITUACIÓN A DÍA DE HOY</t>
        </is>
      </c>
      <c r="B30" s="51"/>
      <c r="C30" s="51"/>
    </row>
    <row r="31" spans="1:3" ht="18" customHeight="1">
      <c r="A31" s="10" t="inlineStr">
        <is>
          <t xml:space="preserve">Disponibles</t>
        </is>
      </c>
      <c r="B31" s="11">
        <f>COUNTIF(Registro!$Q$2:$Q$501,"Disponible")</f>
      </c>
      <c r="C31" s="6"/>
    </row>
    <row r="32" spans="1:3" ht="18" customHeight="1">
      <c r="A32" s="10" t="inlineStr">
        <is>
          <t xml:space="preserve">En trámite</t>
        </is>
      </c>
      <c r="B32" s="11">
        <f>COUNTIF(Registro!$Q$2:$Q$501,"En trámite")</f>
      </c>
      <c r="C32" s="6"/>
    </row>
    <row r="33" spans="1:3" ht="18" customHeight="1">
      <c r="A33" s="10" t="inlineStr">
        <is>
          <t xml:space="preserve">No disponibles</t>
        </is>
      </c>
      <c r="B33" s="11">
        <f>COUNTIF(Registro!$Q$2:$Q$501,"No disponible")</f>
      </c>
      <c r="C33" s="6"/>
    </row>
    <row r="34" spans="1:3" ht="18" customHeight="1">
      <c r="A34" s="10" t="inlineStr">
        <is>
          <t xml:space="preserve">Horas libres sin ningún uso</t>
        </is>
      </c>
      <c r="B34" s="11">
        <f>COUNT(Registro!$AH$2:$AH$501)</f>
      </c>
      <c r="C34" s="6"/>
    </row>
    <row r="35" spans="1:3" ht="8" customHeight="1"/>
    <row r="36" spans="1:3" ht="26" customHeight="1">
      <c r="A36" s="51" t="inlineStr">
        <is>
          <t xml:space="preserve">CALIDAD DEL REGISTRO</t>
        </is>
      </c>
      <c r="B36" s="51"/>
      <c r="C36" s="51"/>
    </row>
    <row r="37" spans="1:3" ht="18" customHeight="1">
      <c r="A37" s="10" t="inlineStr">
        <is>
          <t xml:space="preserve">Filas incompletas</t>
        </is>
      </c>
      <c r="B37" s="11">
        <f>COUNTIF(Registro!$AD$2:$AD$501,"Falta*")</f>
      </c>
      <c r="C37" s="6" t="inlineStr">
        <is>
          <t xml:space="preserve">deberían ser cero al cerrar el curso</t>
        </is>
      </c>
    </row>
    <row r="38" spans="1:3" ht="18" customHeight="1">
      <c r="A38" s="10" t="inlineStr">
        <is>
          <t xml:space="preserve">Cuadre por especialidad</t>
        </is>
      </c>
      <c r="B38" s="11">
        <f>IF(SUM(Dashboard!B5:B33)=Dashboard!B40,"correcto","REVISAR: hay especialidades fuera de la lista")</f>
      </c>
      <c r="C38" s="6"/>
    </row>
    <row r="39" spans="1:3" ht="8" customHeight="1"/>
  </sheetData>
  <sheetProtection sheet="1" objects="1" scenarios="1" formatCells="1" formatColumns="1" formatRows="1" insertColumns="1" insertRows="1" insertHyperlinks="1" deleteColumns="1" deleteRows="1" sort="1" autoFilter="0" pivotTables="1" selectLockedCells="0" selectUnlockedCells="0"/>
  <mergeCells count="7">
    <mergeCell ref="A1:C1"/>
    <mergeCell ref="A2:C2"/>
    <mergeCell ref="A4:C4"/>
    <mergeCell ref="A15:C15"/>
    <mergeCell ref="A23:C23"/>
    <mergeCell ref="A30:C30"/>
    <mergeCell ref="A36:C36"/>
  </mergeCells>
  <printOptions horizontalCentered="1"/>
  <pageMargins left="0.5" right="0.5" top="0.6" bottom="0.6" header="0.3" footer="0.3"/>
  <pageSetup paperSize="9" orientation="portrait" fitToWidth="1" fitToHeight="0" horizontalDpi="300" verticalDpi="300"/>
  <headerFooter>
    <oddFooter>&amp;L&amp;"Arial,Regular"&amp;8Memoria anual&amp;C&amp;"Arial,Regular"&amp;8&amp;D&amp;R&amp;"Arial,Regular"&amp;8Página &amp;P de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16</vt:i4>
      </vt:variant>
    </vt:vector>
  </HeadingPairs>
  <TitlesOfParts>
    <vt:vector size="16" baseType="lpstr">
      <vt:lpstr>Portada</vt:lpstr>
      <vt:lpstr>Instrucciones</vt:lpstr>
      <vt:lpstr>Docentes</vt:lpstr>
      <vt:lpstr>Validaciones</vt:lpstr>
      <vt:lpstr>Dashboard</vt:lpstr>
      <vt:lpstr>Registro</vt:lpstr>
      <vt:lpstr>Aux</vt:lpstr>
      <vt:lpstr>Registro Refuerzo</vt:lpstr>
      <vt:lpstr>Aux Refuerzo</vt:lpstr>
      <vt:lpstr>Contador Refuerzo</vt:lpstr>
      <vt:lpstr>Informe · Bajas</vt:lpstr>
      <vt:lpstr>Informe · Horas disponibles</vt:lpstr>
      <vt:lpstr>Informe · Capacidad ociosa</vt:lpstr>
      <vt:lpstr>Informe · Refuerzos</vt:lpstr>
      <vt:lpstr>Informe · Horas por docente</vt:lpstr>
      <vt:lpstr>Memoria anual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José Luis Miralles Bono</cp:lastModifiedBy>
  <cp:revision>0</cp:revision>
  <dcterms:created xsi:type="dcterms:W3CDTF">2026-03-02T09:47:36Z</dcterms:created>
  <dcterms:modified xsi:type="dcterms:W3CDTF">2026-09-06T15:35:22Z</dcterms:modified>
  <cp:category/>
  <cp:contentStatus/>
</cp:coreProperties>
</file>